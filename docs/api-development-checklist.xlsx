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1"/>
  </bookViews>
  <sheets>
    <sheet name="Huong_dan" sheetId="1" r:id="rId1"/>
    <sheet name="Tong_quan" sheetId="2" r:id="rId2"/>
    <sheet name="API_Checklist" sheetId="3" r:id="rId3"/>
    <sheet name="Luong_Nghiep_vu" sheetId="4" r:id="rId4"/>
    <sheet name="Rang_buoc" sheetId="5" r:id="rId5"/>
    <sheet name="DTO_Fields" sheetId="6" r:id="rId6"/>
    <sheet name="Du_lieu" sheetId="7" r:id="rId7"/>
    <sheet name="Quyet_dinh" sheetId="8" r:id="rId8"/>
    <sheet name="Tac_vu_nen" sheetId="9" r:id="rId9"/>
    <sheet name="Kiem_thu" sheetId="10" r:id="rId10"/>
  </sheets>
  <calcPr calcId="191029" fullCalcOnLoad="1" forceFullCalc="1"/>
</workbook>
</file>

<file path=xl/styles.xml><?xml version="1.0" encoding="utf-8"?>
<styleSheet xmlns="http://schemas.openxmlformats.org/spreadsheetml/2006/main">
  <numFmts count="1">
    <numFmt numFmtId="164" formatCode="yyyy-mm-dd"/>
  </numFmts>
  <fonts count="3">
    <font>
      <sz val="11"/>
      <color rgb="FF213338"/>
      <name val="Calibri"/>
    </font>
    <font>
      <b/>
      <sz val="11"/>
      <color rgb="FFFFFFFF"/>
      <name val="Calibri"/>
    </font>
    <font>
      <u/>
      <sz val="11"/>
      <color rgb="FF087D72"/>
      <name val="Calibri"/>
    </font>
  </fonts>
  <fills count="4">
    <fill>
      <patternFill patternType="none"/>
    </fill>
    <fill>
      <patternFill patternType="gray125"/>
    </fill>
    <fill>
      <patternFill patternType="solid">
        <fgColor rgb="FFE7F4F1"/>
        <bgColor indexed="64"/>
      </patternFill>
    </fill>
    <fill>
      <patternFill patternType="solid">
        <fgColor rgb="FF193536"/>
        <bgColor indexed="64"/>
      </patternFill>
    </fill>
  </fills>
  <borders count="1">
    <border>
      <left/>
      <right/>
      <top/>
      <bottom/>
      <diagonal/>
    </border>
  </borders>
  <cellStyleXfs count="1">
    <xf numFmtId="0" fontId="0" fillId="0" borderId="0"/>
  </cellStyleXfs>
  <cellXfs count="6">
    <xf numFmtId="0" fontId="0" fillId="0" borderId="0" xfId="0" applyAlignment="1">
      <alignment vertical="top" wrapText="1"/>
    </xf>
    <xf numFmtId="0" fontId="1" fillId="3" borderId="0" xfId="0" applyAlignment="1">
      <alignment vertical="center" wrapText="1"/>
    </xf>
    <xf numFmtId="0" fontId="0" fillId="2" borderId="0" xfId="0" applyAlignment="1">
      <alignment vertical="top" wrapText="1"/>
    </xf>
    <xf numFmtId="10" fontId="0" fillId="0" borderId="0" xfId="0" applyNumberFormat="1">
      <alignment vertical="top"/>
    </xf>
    <xf numFmtId="164" fontId="0" fillId="0" borderId="0" xfId="0" applyNumberFormat="1">
      <alignment vertical="top"/>
    </xf>
    <xf numFmtId="0" fontId="2" fillId="0" borderId="0" xfId="0">
      <alignment vertical="top"/>
    </xf>
  </cellXfs>
  <cellStyles count="1">
    <cellStyle name="Normal" xfId="0" builtinId="0"/>
  </cellStyles>
  <dxfs count="2">
    <dxf>
      <fill>
        <patternFill patternType="solid">
          <fgColor rgb="FFC6EFCE"/>
          <bgColor indexed="64"/>
        </patternFill>
      </fill>
    </dxf>
    <dxf>
      <fill>
        <patternFill patternType="solid">
          <fgColor rgb="FFFFC7CE"/>
          <bgColor indexed="64"/>
        </patternFill>
      </fill>
    </dxf>
  </dxf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_rels/sheet3.xml.rels><Relationships xmlns="http://schemas.openxmlformats.org/package/2006/relationships"><Relationship Id="rId1" Type="http://schemas.openxmlformats.org/officeDocument/2006/relationships/hyperlink" Target="../api-guide.html#API-001" TargetMode="External"/><Relationship Id="rId2" Type="http://schemas.openxmlformats.org/officeDocument/2006/relationships/hyperlink" Target="../api-guide.html#API-002" TargetMode="External"/><Relationship Id="rId3" Type="http://schemas.openxmlformats.org/officeDocument/2006/relationships/hyperlink" Target="../api-guide.html#API-003" TargetMode="External"/><Relationship Id="rId4" Type="http://schemas.openxmlformats.org/officeDocument/2006/relationships/hyperlink" Target="../api-guide.html#API-004" TargetMode="External"/><Relationship Id="rId5" Type="http://schemas.openxmlformats.org/officeDocument/2006/relationships/hyperlink" Target="../api-guide.html#API-005" TargetMode="External"/><Relationship Id="rId6" Type="http://schemas.openxmlformats.org/officeDocument/2006/relationships/hyperlink" Target="../api-guide.html#API-006" TargetMode="External"/><Relationship Id="rId7" Type="http://schemas.openxmlformats.org/officeDocument/2006/relationships/hyperlink" Target="../api-guide.html#API-007" TargetMode="External"/><Relationship Id="rId8" Type="http://schemas.openxmlformats.org/officeDocument/2006/relationships/hyperlink" Target="../api-guide.html#API-008" TargetMode="External"/><Relationship Id="rId9" Type="http://schemas.openxmlformats.org/officeDocument/2006/relationships/hyperlink" Target="../api-guide.html#API-009" TargetMode="External"/><Relationship Id="rId10" Type="http://schemas.openxmlformats.org/officeDocument/2006/relationships/hyperlink" Target="../api-guide.html#API-010" TargetMode="External"/><Relationship Id="rId11" Type="http://schemas.openxmlformats.org/officeDocument/2006/relationships/hyperlink" Target="../api-guide.html#API-011" TargetMode="External"/><Relationship Id="rId12" Type="http://schemas.openxmlformats.org/officeDocument/2006/relationships/hyperlink" Target="../api-guide.html#API-012" TargetMode="External"/><Relationship Id="rId13" Type="http://schemas.openxmlformats.org/officeDocument/2006/relationships/hyperlink" Target="../api-guide.html#API-013" TargetMode="External"/><Relationship Id="rId14" Type="http://schemas.openxmlformats.org/officeDocument/2006/relationships/hyperlink" Target="../api-guide.html#API-014" TargetMode="External"/><Relationship Id="rId15" Type="http://schemas.openxmlformats.org/officeDocument/2006/relationships/hyperlink" Target="../api-guide.html#API-015" TargetMode="External"/><Relationship Id="rId16" Type="http://schemas.openxmlformats.org/officeDocument/2006/relationships/hyperlink" Target="../api-guide.html#API-016" TargetMode="External"/><Relationship Id="rId17" Type="http://schemas.openxmlformats.org/officeDocument/2006/relationships/hyperlink" Target="../api-guide.html#API-017" TargetMode="External"/><Relationship Id="rId18" Type="http://schemas.openxmlformats.org/officeDocument/2006/relationships/hyperlink" Target="../api-guide.html#API-018" TargetMode="External"/><Relationship Id="rId19" Type="http://schemas.openxmlformats.org/officeDocument/2006/relationships/hyperlink" Target="../api-guide.html#API-019" TargetMode="External"/><Relationship Id="rId20" Type="http://schemas.openxmlformats.org/officeDocument/2006/relationships/hyperlink" Target="../api-guide.html#API-020" TargetMode="External"/><Relationship Id="rId21" Type="http://schemas.openxmlformats.org/officeDocument/2006/relationships/hyperlink" Target="../api-guide.html#API-021" TargetMode="External"/><Relationship Id="rId22" Type="http://schemas.openxmlformats.org/officeDocument/2006/relationships/hyperlink" Target="../api-guide.html#API-022" TargetMode="External"/><Relationship Id="rId23" Type="http://schemas.openxmlformats.org/officeDocument/2006/relationships/hyperlink" Target="../api-guide.html#API-023" TargetMode="External"/><Relationship Id="rId24" Type="http://schemas.openxmlformats.org/officeDocument/2006/relationships/hyperlink" Target="../api-guide.html#API-024" TargetMode="External"/><Relationship Id="rId25" Type="http://schemas.openxmlformats.org/officeDocument/2006/relationships/hyperlink" Target="../api-guide.html#API-025" TargetMode="External"/><Relationship Id="rId26" Type="http://schemas.openxmlformats.org/officeDocument/2006/relationships/hyperlink" Target="../api-guide.html#API-026" TargetMode="External"/><Relationship Id="rId27" Type="http://schemas.openxmlformats.org/officeDocument/2006/relationships/hyperlink" Target="../api-guide.html#API-027" TargetMode="External"/><Relationship Id="rId28" Type="http://schemas.openxmlformats.org/officeDocument/2006/relationships/hyperlink" Target="../api-guide.html#API-028" TargetMode="External"/><Relationship Id="rId29" Type="http://schemas.openxmlformats.org/officeDocument/2006/relationships/hyperlink" Target="../api-guide.html#API-029" TargetMode="External"/><Relationship Id="rId30" Type="http://schemas.openxmlformats.org/officeDocument/2006/relationships/hyperlink" Target="../api-guide.html#API-030" TargetMode="External"/><Relationship Id="rId31" Type="http://schemas.openxmlformats.org/officeDocument/2006/relationships/hyperlink" Target="../api-guide.html#API-031" TargetMode="External"/><Relationship Id="rId32" Type="http://schemas.openxmlformats.org/officeDocument/2006/relationships/hyperlink" Target="../api-guide.html#API-032" TargetMode="External"/><Relationship Id="rId33" Type="http://schemas.openxmlformats.org/officeDocument/2006/relationships/hyperlink" Target="../api-guide.html#API-033" TargetMode="External"/><Relationship Id="rId34" Type="http://schemas.openxmlformats.org/officeDocument/2006/relationships/hyperlink" Target="../api-guide.html#API-034" TargetMode="External"/><Relationship Id="rId35" Type="http://schemas.openxmlformats.org/officeDocument/2006/relationships/hyperlink" Target="../api-guide.html#API-035" TargetMode="External"/><Relationship Id="rId36" Type="http://schemas.openxmlformats.org/officeDocument/2006/relationships/hyperlink" Target="../api-guide.html#API-036" TargetMode="External"/><Relationship Id="rId37" Type="http://schemas.openxmlformats.org/officeDocument/2006/relationships/hyperlink" Target="../api-guide.html#API-037" TargetMode="External"/><Relationship Id="rId38" Type="http://schemas.openxmlformats.org/officeDocument/2006/relationships/hyperlink" Target="../api-guide.html#API-038" TargetMode="External"/><Relationship Id="rId39" Type="http://schemas.openxmlformats.org/officeDocument/2006/relationships/hyperlink" Target="../api-guide.html#API-039" TargetMode="External"/><Relationship Id="rId40" Type="http://schemas.openxmlformats.org/officeDocument/2006/relationships/hyperlink" Target="../api-guide.html#API-040" TargetMode="External"/><Relationship Id="rId41" Type="http://schemas.openxmlformats.org/officeDocument/2006/relationships/hyperlink" Target="../api-guide.html#API-041" TargetMode="External"/><Relationship Id="rId42" Type="http://schemas.openxmlformats.org/officeDocument/2006/relationships/hyperlink" Target="../api-guide.html#API-042" TargetMode="External"/><Relationship Id="rId43" Type="http://schemas.openxmlformats.org/officeDocument/2006/relationships/hyperlink" Target="../api-guide.html#API-043" TargetMode="External"/><Relationship Id="rId44" Type="http://schemas.openxmlformats.org/officeDocument/2006/relationships/hyperlink" Target="../api-guide.html#API-044" TargetMode="External"/><Relationship Id="rId45" Type="http://schemas.openxmlformats.org/officeDocument/2006/relationships/hyperlink" Target="../api-guide.html#API-045" TargetMode="External"/><Relationship Id="rId46" Type="http://schemas.openxmlformats.org/officeDocument/2006/relationships/hyperlink" Target="../api-guide.html#API-046" TargetMode="External"/><Relationship Id="rId47" Type="http://schemas.openxmlformats.org/officeDocument/2006/relationships/hyperlink" Target="../api-guide.html#API-047" TargetMode="External"/><Relationship Id="rId48" Type="http://schemas.openxmlformats.org/officeDocument/2006/relationships/hyperlink" Target="../api-guide.html#API-048" TargetMode="External"/><Relationship Id="rId49" Type="http://schemas.openxmlformats.org/officeDocument/2006/relationships/hyperlink" Target="../api-guide.html#API-049" TargetMode="External"/><Relationship Id="rId50" Type="http://schemas.openxmlformats.org/officeDocument/2006/relationships/hyperlink" Target="../api-guide.html#API-050" TargetMode="External"/><Relationship Id="rId51" Type="http://schemas.openxmlformats.org/officeDocument/2006/relationships/hyperlink" Target="../api-guide.html#API-051" TargetMode="External"/><Relationship Id="rId52" Type="http://schemas.openxmlformats.org/officeDocument/2006/relationships/hyperlink" Target="../api-guide.html#API-052" TargetMode="External"/><Relationship Id="rId53" Type="http://schemas.openxmlformats.org/officeDocument/2006/relationships/hyperlink" Target="../api-guide.html#API-053" TargetMode="External"/><Relationship Id="rId54" Type="http://schemas.openxmlformats.org/officeDocument/2006/relationships/hyperlink" Target="../api-guide.html#API-054" TargetMode="External"/><Relationship Id="rId55" Type="http://schemas.openxmlformats.org/officeDocument/2006/relationships/hyperlink" Target="../api-guide.html#API-055" TargetMode="External"/><Relationship Id="rId56" Type="http://schemas.openxmlformats.org/officeDocument/2006/relationships/hyperlink" Target="../api-guide.html#API-056" TargetMode="External"/><Relationship Id="rId57" Type="http://schemas.openxmlformats.org/officeDocument/2006/relationships/hyperlink" Target="../api-guide.html#API-057" TargetMode="External"/><Relationship Id="rId58" Type="http://schemas.openxmlformats.org/officeDocument/2006/relationships/hyperlink" Target="../api-guide.html#API-058" TargetMode="External"/><Relationship Id="rId59" Type="http://schemas.openxmlformats.org/officeDocument/2006/relationships/hyperlink" Target="../api-guide.html#API-059" TargetMode="External"/><Relationship Id="rId60" Type="http://schemas.openxmlformats.org/officeDocument/2006/relationships/hyperlink" Target="../api-guide.html#API-060" TargetMode="External"/><Relationship Id="rId61" Type="http://schemas.openxmlformats.org/officeDocument/2006/relationships/hyperlink" Target="../api-guide.html#API-061" TargetMode="External"/><Relationship Id="rId62" Type="http://schemas.openxmlformats.org/officeDocument/2006/relationships/hyperlink" Target="../api-guide.html#API-062" TargetMode="External"/><Relationship Id="rId63" Type="http://schemas.openxmlformats.org/officeDocument/2006/relationships/hyperlink" Target="../api-guide.html#API-063" TargetMode="External"/><Relationship Id="rId64" Type="http://schemas.openxmlformats.org/officeDocument/2006/relationships/hyperlink" Target="../api-guide.html#API-064" TargetMode="External"/><Relationship Id="rId65" Type="http://schemas.openxmlformats.org/officeDocument/2006/relationships/hyperlink" Target="../api-guide.html#API-065" TargetMode="External"/><Relationship Id="rId66" Type="http://schemas.openxmlformats.org/officeDocument/2006/relationships/hyperlink" Target="../api-guide.html#API-066" TargetMode="External"/><Relationship Id="rId67" Type="http://schemas.openxmlformats.org/officeDocument/2006/relationships/hyperlink" Target="../api-guide.html#API-067" TargetMode="External"/><Relationship Id="rId68" Type="http://schemas.openxmlformats.org/officeDocument/2006/relationships/hyperlink" Target="../api-guide.html#API-068" TargetMode="External"/><Relationship Id="rId69" Type="http://schemas.openxmlformats.org/officeDocument/2006/relationships/hyperlink" Target="../api-guide.html#API-069" TargetMode="External"/><Relationship Id="rId70" Type="http://schemas.openxmlformats.org/officeDocument/2006/relationships/hyperlink" Target="../api-guide.html#API-070" TargetMode="External"/><Relationship Id="rId71" Type="http://schemas.openxmlformats.org/officeDocument/2006/relationships/hyperlink" Target="../api-guide.html#API-071" TargetMode="External"/><Relationship Id="rId72" Type="http://schemas.openxmlformats.org/officeDocument/2006/relationships/hyperlink" Target="../api-guide.html#API-072" TargetMode="External"/><Relationship Id="rId73" Type="http://schemas.openxmlformats.org/officeDocument/2006/relationships/hyperlink" Target="../api-guide.html#API-073" TargetMode="External"/><Relationship Id="rId74" Type="http://schemas.openxmlformats.org/officeDocument/2006/relationships/hyperlink" Target="../api-guide.html#API-074" TargetMode="External"/><Relationship Id="rId75" Type="http://schemas.openxmlformats.org/officeDocument/2006/relationships/hyperlink" Target="../api-guide.html#API-075" TargetMode="External"/><Relationship Id="rId76" Type="http://schemas.openxmlformats.org/officeDocument/2006/relationships/hyperlink" Target="../api-guide.html#API-076" TargetMode="External"/><Relationship Id="rId77" Type="http://schemas.openxmlformats.org/officeDocument/2006/relationships/hyperlink" Target="../api-guide.html#API-077" TargetMode="External"/><Relationship Id="rId78" Type="http://schemas.openxmlformats.org/officeDocument/2006/relationships/hyperlink" Target="../api-guide.html#API-078" TargetMode="External"/><Relationship Id="rId79" Type="http://schemas.openxmlformats.org/officeDocument/2006/relationships/hyperlink" Target="../api-guide.html#API-079" TargetMode="External"/><Relationship Id="rId80" Type="http://schemas.openxmlformats.org/officeDocument/2006/relationships/hyperlink" Target="../api-guide.html#API-080" TargetMode="External"/><Relationship Id="rId81" Type="http://schemas.openxmlformats.org/officeDocument/2006/relationships/hyperlink" Target="../api-guide.html#API-081" TargetMode="External"/><Relationship Id="rId82" Type="http://schemas.openxmlformats.org/officeDocument/2006/relationships/hyperlink" Target="../api-guide.html#API-082" TargetMode="External"/><Relationship Id="rId83" Type="http://schemas.openxmlformats.org/officeDocument/2006/relationships/hyperlink" Target="../api-guide.html#API-083" TargetMode="External"/><Relationship Id="rId84" Type="http://schemas.openxmlformats.org/officeDocument/2006/relationships/hyperlink" Target="../api-guide.html#API-084" TargetMode="External"/><Relationship Id="rId85" Type="http://schemas.openxmlformats.org/officeDocument/2006/relationships/hyperlink" Target="../api-guide.html#API-085" TargetMode="External"/><Relationship Id="rId86" Type="http://schemas.openxmlformats.org/officeDocument/2006/relationships/hyperlink" Target="../api-guide.html#API-086" TargetMode="External"/><Relationship Id="rId87" Type="http://schemas.openxmlformats.org/officeDocument/2006/relationships/hyperlink" Target="../api-guide.html#API-087" TargetMode="External"/><Relationship Id="rId88" Type="http://schemas.openxmlformats.org/officeDocument/2006/relationships/hyperlink" Target="../api-guide.html#API-088" TargetMode="External"/><Relationship Id="rId89" Type="http://schemas.openxmlformats.org/officeDocument/2006/relationships/hyperlink" Target="../api-guide.html#API-089" TargetMode="External"/><Relationship Id="rId90" Type="http://schemas.openxmlformats.org/officeDocument/2006/relationships/hyperlink" Target="../api-guide.html#API-090" TargetMode="External"/><Relationship Id="rId91" Type="http://schemas.openxmlformats.org/officeDocument/2006/relationships/hyperlink" Target="../api-guide.html#API-091" TargetMode="External"/><Relationship Id="rId92" Type="http://schemas.openxmlformats.org/officeDocument/2006/relationships/hyperlink" Target="../api-guide.html#API-092" TargetMode="External"/><Relationship Id="rId93" Type="http://schemas.openxmlformats.org/officeDocument/2006/relationships/hyperlink" Target="../api-guide.html#API-093" TargetMode="External"/><Relationship Id="rId94" Type="http://schemas.openxmlformats.org/officeDocument/2006/relationships/hyperlink" Target="../api-guide.html#API-094" TargetMode="External"/><Relationship Id="rId95" Type="http://schemas.openxmlformats.org/officeDocument/2006/relationships/hyperlink" Target="../api-guide.html#API-095" TargetMode="External"/><Relationship Id="rId96" Type="http://schemas.openxmlformats.org/officeDocument/2006/relationships/hyperlink" Target="../api-guide.html#API-096" TargetMode="External"/><Relationship Id="rId97" Type="http://schemas.openxmlformats.org/officeDocument/2006/relationships/hyperlink" Target="../api-guide.html#API-097" TargetMode="External"/><Relationship Id="rId98" Type="http://schemas.openxmlformats.org/officeDocument/2006/relationships/hyperlink" Target="../api-guide.html#API-098" TargetMode="External"/><Relationship Id="rId99" Type="http://schemas.openxmlformats.org/officeDocument/2006/relationships/hyperlink" Target="../api-guide.html#API-099" TargetMode="External"/><Relationship Id="rId100" Type="http://schemas.openxmlformats.org/officeDocument/2006/relationships/hyperlink" Target="../api-guide.html#API-100" TargetMode="External"/><Relationship Id="rId101" Type="http://schemas.openxmlformats.org/officeDocument/2006/relationships/hyperlink" Target="../api-guide.html#API-101" TargetMode="External"/><Relationship Id="rId102" Type="http://schemas.openxmlformats.org/officeDocument/2006/relationships/hyperlink" Target="../api-guide.html#API-102" TargetMode="External"/><Relationship Id="rId103" Type="http://schemas.openxmlformats.org/officeDocument/2006/relationships/hyperlink" Target="../api-guide.html#API-103" TargetMode="External"/><Relationship Id="rId104" Type="http://schemas.openxmlformats.org/officeDocument/2006/relationships/hyperlink" Target="../api-guide.html#API-104" TargetMode="External"/><Relationship Id="rId105" Type="http://schemas.openxmlformats.org/officeDocument/2006/relationships/hyperlink" Target="../api-guide.html#API-105" TargetMode="External"/><Relationship Id="rId106" Type="http://schemas.openxmlformats.org/officeDocument/2006/relationships/hyperlink" Target="../api-guide.html#API-106" TargetMode="External"/><Relationship Id="rId107" Type="http://schemas.openxmlformats.org/officeDocument/2006/relationships/hyperlink" Target="../api-guide.html#API-107" TargetMode="External"/><Relationship Id="rId108" Type="http://schemas.openxmlformats.org/officeDocument/2006/relationships/hyperlink" Target="../api-guide.html#API-108" TargetMode="External"/><Relationship Id="rId109" Type="http://schemas.openxmlformats.org/officeDocument/2006/relationships/hyperlink" Target="../api-guide.html#API-109" TargetMode="External"/><Relationship Id="rId110" Type="http://schemas.openxmlformats.org/officeDocument/2006/relationships/hyperlink" Target="../api-guide.html#API-110" TargetMode="External"/><Relationship Id="rId111" Type="http://schemas.openxmlformats.org/officeDocument/2006/relationships/hyperlink" Target="../api-guide.html#API-111" TargetMode="External"/><Relationship Id="rId112" Type="http://schemas.openxmlformats.org/officeDocument/2006/relationships/hyperlink" Target="../api-guide.html#API-112" TargetMode="External"/><Relationship Id="rId113" Type="http://schemas.openxmlformats.org/officeDocument/2006/relationships/hyperlink" Target="../api-guide.html#API-113" TargetMode="External"/><Relationship Id="rId114" Type="http://schemas.openxmlformats.org/officeDocument/2006/relationships/hyperlink" Target="../api-guide.html#API-114" TargetMode="External"/><Relationship Id="rId115" Type="http://schemas.openxmlformats.org/officeDocument/2006/relationships/hyperlink" Target="../api-guide.html#API-115" TargetMode="External"/><Relationship Id="rId116" Type="http://schemas.openxmlformats.org/officeDocument/2006/relationships/hyperlink" Target="../api-guide.html#API-116" TargetMode="External"/><Relationship Id="rId117" Type="http://schemas.openxmlformats.org/officeDocument/2006/relationships/hyperlink" Target="../api-guide.html#API-117" TargetMode="External"/><Relationship Id="rId118" Type="http://schemas.openxmlformats.org/officeDocument/2006/relationships/hyperlink" Target="../api-guide.html#API-118" TargetMode="External"/><Relationship Id="rId119" Type="http://schemas.openxmlformats.org/officeDocument/2006/relationships/hyperlink" Target="../api-guide.html#API-119" TargetMode="External"/><Relationship Id="rId120" Type="http://schemas.openxmlformats.org/officeDocument/2006/relationships/hyperlink" Target="../api-guide.html#API-120" TargetMode="External"/><Relationship Id="rId121" Type="http://schemas.openxmlformats.org/officeDocument/2006/relationships/hyperlink" Target="../api-guide.html#API-121" TargetMode="External"/><Relationship Id="rId122" Type="http://schemas.openxmlformats.org/officeDocument/2006/relationships/hyperlink" Target="../api-guide.html#API-122" TargetMode="External"/><Relationship Id="rId123" Type="http://schemas.openxmlformats.org/officeDocument/2006/relationships/hyperlink" Target="../api-guide.html#API-123" TargetMode="External"/><Relationship Id="rId124" Type="http://schemas.openxmlformats.org/officeDocument/2006/relationships/hyperlink" Target="../api-guide.html#API-124" TargetMode="External"/><Relationship Id="rId125" Type="http://schemas.openxmlformats.org/officeDocument/2006/relationships/hyperlink" Target="../api-guide.html#API-125" TargetMode="External"/><Relationship Id="rId126" Type="http://schemas.openxmlformats.org/officeDocument/2006/relationships/hyperlink" Target="../api-guide.html#API-126" TargetMode="External"/><Relationship Id="rId127" Type="http://schemas.openxmlformats.org/officeDocument/2006/relationships/hyperlink" Target="../api-guide.html#API-127" TargetMode="External"/><Relationship Id="rId128" Type="http://schemas.openxmlformats.org/officeDocument/2006/relationships/hyperlink" Target="../api-guide.html#API-128" TargetMode="External"/><Relationship Id="rId129" Type="http://schemas.openxmlformats.org/officeDocument/2006/relationships/hyperlink" Target="../api-guide.html#API-129" TargetMode="External"/><Relationship Id="rId130" Type="http://schemas.openxmlformats.org/officeDocument/2006/relationships/hyperlink" Target="../api-guide.html#API-130" TargetMode="External"/><Relationship Id="rId131" Type="http://schemas.openxmlformats.org/officeDocument/2006/relationships/hyperlink" Target="../api-guide.html#API-131" TargetMode="External"/><Relationship Id="rId132" Type="http://schemas.openxmlformats.org/officeDocument/2006/relationships/hyperlink" Target="../api-guide.html#API-132" TargetMode="External"/><Relationship Id="rId133" Type="http://schemas.openxmlformats.org/officeDocument/2006/relationships/hyperlink" Target="../api-guide.html#API-133" TargetMode="External"/><Relationship Id="rId134" Type="http://schemas.openxmlformats.org/officeDocument/2006/relationships/hyperlink" Target="../api-guide.html#API-134" TargetMode="External"/><Relationship Id="rId135" Type="http://schemas.openxmlformats.org/officeDocument/2006/relationships/hyperlink" Target="../api-guide.html#API-135" TargetMode="External"/><Relationship Id="rId136" Type="http://schemas.openxmlformats.org/officeDocument/2006/relationships/hyperlink" Target="../api-guide.html#API-136" TargetMode="External"/><Relationship Id="rId137" Type="http://schemas.openxmlformats.org/officeDocument/2006/relationships/hyperlink" Target="../api-guide.html#API-137" TargetMode="External"/><Relationship Id="rId138" Type="http://schemas.openxmlformats.org/officeDocument/2006/relationships/hyperlink" Target="../api-guide.html#API-138" TargetMode="External"/><Relationship Id="rId139" Type="http://schemas.openxmlformats.org/officeDocument/2006/relationships/hyperlink" Target="../api-guide.html#API-139" TargetMode="External"/><Relationship Id="rId140" Type="http://schemas.openxmlformats.org/officeDocument/2006/relationships/hyperlink" Target="../api-guide.html#API-140" TargetMode="External"/><Relationship Id="rId141" Type="http://schemas.openxmlformats.org/officeDocument/2006/relationships/hyperlink" Target="../api-guide.html#API-141" TargetMode="External"/><Relationship Id="rId142" Type="http://schemas.openxmlformats.org/officeDocument/2006/relationships/hyperlink" Target="../api-guide.html#API-142" TargetMode="External"/><Relationship Id="rId143" Type="http://schemas.openxmlformats.org/officeDocument/2006/relationships/hyperlink" Target="../api-guide.html#API-143" TargetMode="External"/><Relationship Id="rId144" Type="http://schemas.openxmlformats.org/officeDocument/2006/relationships/hyperlink" Target="../api-guide.html#API-144" TargetMode="External"/><Relationship Id="rId145" Type="http://schemas.openxmlformats.org/officeDocument/2006/relationships/hyperlink" Target="../api-guide.html#API-145" TargetMode="External"/><Relationship Id="rId146" Type="http://schemas.openxmlformats.org/officeDocument/2006/relationships/hyperlink" Target="../api-guide.html#API-146" TargetMode="External"/><Relationship Id="rId147" Type="http://schemas.openxmlformats.org/officeDocument/2006/relationships/hyperlink" Target="../api-guide.html#API-147" TargetMode="External"/><Relationship Id="rId148" Type="http://schemas.openxmlformats.org/officeDocument/2006/relationships/hyperlink" Target="../api-guide.html#API-148" TargetMode="External"/><Relationship Id="rId149" Type="http://schemas.openxmlformats.org/officeDocument/2006/relationships/hyperlink" Target="../api-guide.html#API-149" TargetMode="External"/><Relationship Id="rId150" Type="http://schemas.openxmlformats.org/officeDocument/2006/relationships/hyperlink" Target="../api-guide.html#API-150" TargetMode="External"/><Relationship Id="rId151" Type="http://schemas.openxmlformats.org/officeDocument/2006/relationships/hyperlink" Target="../api-guide.html#API-151" TargetMode="External"/><Relationship Id="rId152" Type="http://schemas.openxmlformats.org/officeDocument/2006/relationships/hyperlink" Target="../api-guide.html#API-152" TargetMode="External"/><Relationship Id="rId153" Type="http://schemas.openxmlformats.org/officeDocument/2006/relationships/hyperlink" Target="../api-guide.html#API-153" TargetMode="External"/><Relationship Id="rId154" Type="http://schemas.openxmlformats.org/officeDocument/2006/relationships/hyperlink" Target="../api-guide.html#API-154" TargetMode="External"/><Relationship Id="rId155" Type="http://schemas.openxmlformats.org/officeDocument/2006/relationships/hyperlink" Target="../api-guide.html#API-155" TargetMode="External"/><Relationship Id="rId156" Type="http://schemas.openxmlformats.org/officeDocument/2006/relationships/hyperlink" Target="../api-guide.html#API-156" TargetMode="External"/><Relationship Id="rId157" Type="http://schemas.openxmlformats.org/officeDocument/2006/relationships/hyperlink" Target="../api-guide.html#API-157" TargetMode="External"/><Relationship Id="rId158" Type="http://schemas.openxmlformats.org/officeDocument/2006/relationships/hyperlink" Target="../api-guide.html#API-158" TargetMode="External"/><Relationship Id="rId159" Type="http://schemas.openxmlformats.org/officeDocument/2006/relationships/hyperlink" Target="../api-guide.html#API-159" TargetMode="External"/><Relationship Id="rId160" Type="http://schemas.openxmlformats.org/officeDocument/2006/relationships/hyperlink" Target="../api-guide.html#API-160" TargetMode="External"/><Relationship Id="rId161" Type="http://schemas.openxmlformats.org/officeDocument/2006/relationships/hyperlink" Target="../api-guide.html#API-161" TargetMode="External"/><Relationship Id="rId162" Type="http://schemas.openxmlformats.org/officeDocument/2006/relationships/hyperlink" Target="../api-guide.html#API-162" TargetMode="External"/><Relationship Id="rId163" Type="http://schemas.openxmlformats.org/officeDocument/2006/relationships/hyperlink" Target="../api-guide.html#API-163" TargetMode="External"/><Relationship Id="rId164" Type="http://schemas.openxmlformats.org/officeDocument/2006/relationships/hyperlink" Target="../api-guide.html#API-164" TargetMode="External"/><Relationship Id="rId165" Type="http://schemas.openxmlformats.org/officeDocument/2006/relationships/hyperlink" Target="../api-guide.html#API-165" TargetMode="External"/><Relationship Id="rId166" Type="http://schemas.openxmlformats.org/officeDocument/2006/relationships/hyperlink" Target="../api-guide.html#API-166" TargetMode="External"/><Relationship Id="rId167" Type="http://schemas.openxmlformats.org/officeDocument/2006/relationships/hyperlink" Target="../api-guide.html#API-167" TargetMode="External"/><Relationship Id="rId168" Type="http://schemas.openxmlformats.org/officeDocument/2006/relationships/hyperlink" Target="../api-guide.html#API-168" TargetMode="External"/><Relationship Id="rId169" Type="http://schemas.openxmlformats.org/officeDocument/2006/relationships/hyperlink" Target="../api-guide.html#API-169" TargetMode="External"/><Relationship Id="rId170" Type="http://schemas.openxmlformats.org/officeDocument/2006/relationships/hyperlink" Target="../api-guide.html#API-170" TargetMode="External"/><Relationship Id="rId171" Type="http://schemas.openxmlformats.org/officeDocument/2006/relationships/hyperlink" Target="../api-guide.html#API-171" TargetMode="External"/><Relationship Id="rId172" Type="http://schemas.openxmlformats.org/officeDocument/2006/relationships/hyperlink" Target="../api-guide.html#API-172" TargetMode="External"/><Relationship Id="rId173" Type="http://schemas.openxmlformats.org/officeDocument/2006/relationships/hyperlink" Target="../api-guide.html#API-173" TargetMode="External"/><Relationship Id="rId174" Type="http://schemas.openxmlformats.org/officeDocument/2006/relationships/hyperlink" Target="../api-guide.html#API-174" TargetMode="External"/><Relationship Id="rId175" Type="http://schemas.openxmlformats.org/officeDocument/2006/relationships/hyperlink" Target="../api-guide.html#API-175" TargetMode="External"/><Relationship Id="rId176" Type="http://schemas.openxmlformats.org/officeDocument/2006/relationships/hyperlink" Target="../api-guide.html#API-176" TargetMode="External"/></Relationships>
</file>

<file path=xl/worksheets/sheet1.xml><?xml version="1.0" encoding="utf-8"?>
<worksheet xmlns="http://schemas.openxmlformats.org/spreadsheetml/2006/main" xmlns:r="http://schemas.openxmlformats.org/officeDocument/2006/relationships">
  <dimension ref="A1:B13"/>
  <sheetViews>
    <sheetView workbookViewId="0">
      <pane xSplit="0" ySplit="1" topLeftCell="A2" activePane="bottomRight" state="frozen"/>
    </sheetView>
  </sheetViews>
  <sheetFormatPr defaultRowHeight="20"/>
  <cols>
    <col min="1" max="1" width="26" customWidth="1"/>
    <col min="2" max="2" width="135" customWidth="1"/>
  </cols>
  <sheetData>
    <row r="1" ht="36" customHeight="1">
      <c r="A1" s="1" t="inlineStr">
        <is>
          <t xml:space="preserve">Mục</t>
        </is>
      </c>
      <c r="B1" s="1" t="inlineStr">
        <is>
          <t xml:space="preserve">Hướng dẫn</t>
        </is>
      </c>
    </row>
    <row r="2" ht="70" customHeight="1">
      <c r="A2" s="2" t="inlineStr">
        <is>
          <t xml:space="preserve">Mục đích</t>
        </is>
      </c>
      <c r="B2" s="2" t="inlineStr">
        <is>
          <t xml:space="preserve">Checklist bản gốc sinh từ đặc tả API; tất cả endpoint chưa triển khai. Ngày đặc tả 29/10/2026.</t>
        </is>
      </c>
    </row>
    <row r="3" ht="70" customHeight="1">
      <c r="A3" s="0" t="inlineStr">
        <is>
          <t xml:space="preserve">Bắt đầu</t>
        </is>
      </c>
      <c r="B3" s="0" t="inlineStr">
        <is>
          <t xml:space="preserve">Lưu một bản sao workbook để theo dõi thực tế. File master sẽ được ghi lại khi chạy npm run api:build.</t>
        </is>
      </c>
    </row>
    <row r="4" ht="70" customHeight="1">
      <c r="A4" s="2" t="inlineStr">
        <is>
          <t xml:space="preserve">Cập nhật</t>
        </is>
      </c>
      <c r="B4" s="2" t="inlineStr">
        <is>
          <t xml:space="preserve">Trong API_Checklist: chọn owner/ưu tiên/trạng thái; đánh dấu 8 bước Q:X; ghi ngày bắt đầu/hạn/ngày xong/PR/bằng chứng test.</t>
        </is>
      </c>
    </row>
    <row r="5" ht="70" customHeight="1">
      <c r="A5" s="0" t="inlineStr">
        <is>
          <t xml:space="preserve">Tiến độ</t>
        </is>
      </c>
      <c r="B5" s="0" t="inlineStr">
        <is>
          <t xml:space="preserve">Công thức đếm Xong / 8. Không áp dụng vẫn chưa tính xong: ghi lý do và chỉ đặt Xong khi reviewer xác nhận tiêu chí đã được xử lý.</t>
        </is>
      </c>
    </row>
    <row r="6" ht="70" customHeight="1">
      <c r="A6" s="2" t="inlineStr">
        <is>
          <t xml:space="preserve">Hoàn thành</t>
        </is>
      </c>
      <c r="B6" s="2" t="inlineStr">
        <is>
          <t xml:space="preserve">Chỉ chọn Hoàn thành khi DTO, auth/scope, nghiệp vụ/giao dịch, unit/integration test, tài liệu và review đã có bằng chứng. Dropdown trạng thái là nhập tay; dashboard đếm trạng thái, tiến độ kỹ thuật ở cột Y.</t>
        </is>
      </c>
    </row>
    <row r="7" ht="70" customHeight="1">
      <c r="A7" s="0" t="inlineStr">
        <is>
          <t xml:space="preserve">Ưu tiên</t>
        </is>
      </c>
      <c r="B7" s="0" t="inlineStr">
        <is>
          <t xml:space="preserve">P0: nền tảng và tính đúng giao dịch; P1: tính năng cơ sở tiếp theo; P2: mở rộng/chính sách chưa chốt. Đây là thứ tự đề xuất, có thể thay.</t>
        </is>
      </c>
    </row>
    <row r="8" ht="70" customHeight="1">
      <c r="A8" s="2" t="inlineStr">
        <is>
          <t xml:space="preserve">Tổng quan</t>
        </is>
      </c>
      <c r="B8" s="2" t="inlineStr">
        <is>
          <t xml:space="preserve">Dashboard dùng COUNTIF/COUNTIFS/AVERAGE tham chiếu API_Checklist. Excel tính lại khi mở; workbook chứa công thức, lọc, cố định hàng/cột, dropdown và liên kết trang.</t>
        </is>
      </c>
    </row>
    <row r="9" ht="70" customHeight="1">
      <c r="A9" s="0" t="inlineStr">
        <is>
          <t xml:space="preserve">Các sheet</t>
        </is>
      </c>
      <c r="B9" s="0" t="inlineStr">
        <is>
          <t xml:space="preserve">Luong_Nghiep_vu truy vết đủ 47 luồng; Rang_buoc giữ rule nguồn; DTO_Fields giữ đầu vào; Du_lieu lấy từ SQL thật, gồm ALTER; Quyet_dinh liệt kê phần cần chốt.</t>
        </is>
      </c>
    </row>
    <row r="10" ht="70" customHeight="1">
      <c r="A10" s="2" t="inlineStr">
        <is>
          <t xml:space="preserve">Phạm vi</t>
        </is>
      </c>
      <c r="B10" s="2" t="inlineStr">
        <is>
          <t xml:space="preserve">Không có backend/cổng thanh toán đã triển khai. Stored procedure có sẵn vẫn cần API/controller/auth/mapping/lỗi/tests; route import/realtime có phụ thuộc riêng.</t>
        </is>
      </c>
    </row>
    <row r="11" ht="70" customHeight="1">
      <c r="A11" s="0" t="inlineStr">
        <is>
          <t xml:space="preserve">Tệp liên quan</t>
        </is>
      </c>
      <c r="B11" s="0" t="inlineStr">
        <is>
          <t xml:space="preserve">api-guide.html ở thư mục gốc; docs/api-catalog.json là dữ liệu chung. Mở trang bằng file trực tiếp không cần server; file Excel được tải từ nút trên trang.</t>
        </is>
      </c>
    </row>
    <row r="12" ht="70" customHeight="1">
      <c r="A12" s="2" t="inlineStr">
        <is>
          <t xml:space="preserve">Nguồn</t>
        </is>
      </c>
      <c r="B12" s="2" t="inlineStr">
        <is>
          <t xml:space="preserve">business-guide.js; docs/business-rules.md; app.js; house-rights.js; database/schema.sql. Hash nguồn có trong api-catalog.json.</t>
        </is>
      </c>
    </row>
    <row r="13" ht="70" customHeight="1">
      <c r="A13" s="0" t="inlineStr">
        <is>
          <t xml:space="preserve">Đồng bộ</t>
        </is>
      </c>
      <c r="B13" s="0" t="inlineStr">
        <is>
          <t xml:space="preserve">node scripts/build-api-guide.cjs (cần Node 22+ và Python 3); npm run api:check kiểm tra dữ liệu/sự tồn tại và cấu trúc Excel. Không chạy migration lên CSDL.</t>
        </is>
      </c>
    </row>
  </sheetData>
  <pageMargins left="0.25" right="0.25" top="0.5" bottom="0.5" header="0.2" footer="0.2"/>
  <pageSetup orientation="landscape" paperSize="9"/>
</worksheet>
</file>

<file path=xl/worksheets/sheet2.xml><?xml version="1.0" encoding="utf-8"?>
<worksheet xmlns="http://schemas.openxmlformats.org/spreadsheetml/2006/main" xmlns:r="http://schemas.openxmlformats.org/officeDocument/2006/relationships">
  <dimension ref="A1:C25"/>
  <sheetViews>
    <sheetView workbookViewId="0">
      <pane xSplit="0" ySplit="1" topLeftCell="A2" activePane="bottomRight" state="frozen"/>
    </sheetView>
  </sheetViews>
  <sheetFormatPr defaultRowHeight="20"/>
  <cols>
    <col min="1" max="1" width="45" customWidth="1"/>
    <col min="2" max="2" width="28" customWidth="1"/>
    <col min="3" max="3" width="72" customWidth="1"/>
  </cols>
  <sheetData>
    <row r="1" ht="36" customHeight="1">
      <c r="A1" s="1" t="inlineStr">
        <is>
          <t xml:space="preserve">Chỉ số / nhóm</t>
        </is>
      </c>
      <c r="B1" s="1" t="inlineStr">
        <is>
          <t xml:space="preserve">Giá trị</t>
        </is>
      </c>
      <c r="C1" s="1" t="inlineStr">
        <is>
          <t xml:space="preserve">Diễn giải / đã xong</t>
        </is>
      </c>
    </row>
    <row r="2" ht="70" customHeight="1">
      <c r="A2" s="2" t="inlineStr">
        <is>
          <t xml:space="preserve">Ngày đặc tả</t>
        </is>
      </c>
      <c r="B2" s="2" t="inlineStr">
        <is>
          <t xml:space="preserve">2026-10-29</t>
        </is>
      </c>
      <c r="C2" s="2" t="inlineStr">
        <is>
          <t xml:space="preserve">Bản đề xuất; chưa có backend</t>
        </is>
      </c>
    </row>
    <row r="3" ht="70" customHeight="1">
      <c r="A3" s="0" t="inlineStr">
        <is>
          <t xml:space="preserve">Tổng API</t>
        </is>
      </c>
      <c r="B3" s="0">
        <v>176</v>
      </c>
      <c r="C3" s="0" t="inlineStr">
        <is>
          <t xml:space="preserve">Một hàng = một method + path</t>
        </is>
      </c>
    </row>
    <row r="4" ht="70" customHeight="1">
      <c r="A4" s="2" t="inlineStr">
        <is>
          <t xml:space="preserve">Tổng luồng</t>
        </is>
      </c>
      <c r="B4" s="2">
        <v>47</v>
      </c>
      <c r="C4" s="2" t="inlineStr">
        <is>
          <t xml:space="preserve">Gồm các luồng không phải HTTP</t>
        </is>
      </c>
    </row>
    <row r="5" ht="70" customHeight="1">
      <c r="A5" s="0" t="inlineStr">
        <is>
          <t xml:space="preserve">Tổng bảng SQL</t>
        </is>
      </c>
      <c r="B5" s="0">
        <v>43</v>
      </c>
      <c r="C5" s="0" t="inlineStr">
        <is>
          <t xml:space="preserve">Tạo từ schema hiện tại</t>
        </is>
      </c>
    </row>
    <row r="6" ht="70" customHeight="1">
      <c r="A6" s="2" t="inlineStr">
        <is>
          <t xml:space="preserve">Hoàn thành</t>
        </is>
      </c>
      <c r="B6" s="2">
        <f>COUNTIF(API_Checklist!P2:P177,"Hoàn thành")</f>
        <v>0</v>
      </c>
      <c r="C6" s="2" t="inlineStr">
        <is>
          <t xml:space="preserve">Trạng thái nhập tay</t>
        </is>
      </c>
    </row>
    <row r="7" ht="70" customHeight="1">
      <c r="A7" s="0" t="inlineStr">
        <is>
          <t xml:space="preserve">Đang làm</t>
        </is>
      </c>
      <c r="B7" s="0">
        <f>COUNTIF(API_Checklist!P2:P177,"Đang làm")</f>
        <v>0</v>
      </c>
      <c r="C7" s="0" t="inlineStr">
        <is>
          <t xml:space="preserve"/>
        </is>
      </c>
    </row>
    <row r="8" ht="70" customHeight="1">
      <c r="A8" s="2" t="inlineStr">
        <is>
          <t xml:space="preserve">Bị chặn</t>
        </is>
      </c>
      <c r="B8" s="2">
        <f>COUNTIF(API_Checklist!P2:P177,"Bị chặn")</f>
        <v>0</v>
      </c>
      <c r="C8" s="2" t="inlineStr">
        <is>
          <t xml:space="preserve"/>
        </is>
      </c>
    </row>
    <row r="9" ht="70" customHeight="1">
      <c r="A9" s="0" t="inlineStr">
        <is>
          <t xml:space="preserve">Chưa làm</t>
        </is>
      </c>
      <c r="B9" s="0">
        <f>COUNTIF(API_Checklist!P2:P177,"Chưa làm")</f>
        <v>176</v>
      </c>
      <c r="C9" s="0" t="inlineStr">
        <is>
          <t xml:space="preserve"/>
        </is>
      </c>
    </row>
    <row r="10" ht="70" customHeight="1">
      <c r="A10" s="2" t="inlineStr">
        <is>
          <t xml:space="preserve">Chờ review</t>
        </is>
      </c>
      <c r="B10" s="2">
        <f>COUNTIF(API_Checklist!P2:P177,"Chờ review")</f>
        <v>0</v>
      </c>
      <c r="C10" s="2" t="inlineStr">
        <is>
          <t xml:space="preserve"/>
        </is>
      </c>
    </row>
    <row r="11" ht="70" customHeight="1">
      <c r="A11" s="0" t="inlineStr">
        <is>
          <t xml:space="preserve">Tiến độ kỹ thuật TB</t>
        </is>
      </c>
      <c r="B11" s="3">
        <f>AVERAGE(API_Checklist!Y2:Y177)</f>
        <v>0</v>
      </c>
      <c r="C11" s="0" t="inlineStr">
        <is>
          <t xml:space="preserve">Đếm 8 bước / endpoint</t>
        </is>
      </c>
    </row>
    <row r="12" ht="70" customHeight="1">
      <c r="A12" s="2" t="inlineStr">
        <is>
          <t xml:space="preserve">Hoàn thành nhưng thiếu bước</t>
        </is>
      </c>
      <c r="B12" s="2">
        <f>COUNTIFS(API_Checklist!P2:P177,"Hoàn thành",API_Checklist!Y2:Y177,"&lt;1")</f>
        <v>0</v>
      </c>
      <c r="C12" s="2" t="inlineStr">
        <is>
          <t xml:space="preserve">Cần review lại trước nghiệm thu</t>
        </is>
      </c>
    </row>
    <row r="13" ht="70" customHeight="1">
      <c r="A13" s="0" t="inlineStr">
        <is>
          <t xml:space="preserve">Theo nhóm</t>
        </is>
      </c>
      <c r="B13" s="0" t="inlineStr">
        <is>
          <t xml:space="preserve">Số API</t>
        </is>
      </c>
      <c r="C13" s="0" t="inlineStr">
        <is>
          <t xml:space="preserve">Đã hoàn thành</t>
        </is>
      </c>
    </row>
    <row r="14" ht="70" customHeight="1">
      <c r="A14" s="2" t="inlineStr">
        <is>
          <t xml:space="preserve">Tài khoản &amp; xác minh</t>
        </is>
      </c>
      <c r="B14" s="2">
        <f>COUNTIF(API_Checklist!B2:B177,A14)</f>
        <v>28</v>
      </c>
      <c r="C14" s="2">
        <f>COUNTIFS(API_Checklist!B2:B177,A14,API_Checklist!P2:P177,"Hoàn thành")</f>
        <v>0</v>
      </c>
    </row>
    <row r="15" ht="70" customHeight="1">
      <c r="A15" s="0" t="inlineStr">
        <is>
          <t xml:space="preserve">Nhà, quyền cho thuê &amp; phòng</t>
        </is>
      </c>
      <c r="B15" s="0">
        <f>COUNTIF(API_Checklist!B2:B177,A15)</f>
        <v>22</v>
      </c>
      <c r="C15" s="0">
        <f>COUNTIFS(API_Checklist!B2:B177,A15,API_Checklist!P2:P177,"Hoàn thành")</f>
        <v>0</v>
      </c>
    </row>
    <row r="16" ht="70" customHeight="1">
      <c r="A16" s="2" t="inlineStr">
        <is>
          <t xml:space="preserve">Tin đăng &amp; tìm phòng</t>
        </is>
      </c>
      <c r="B16" s="2">
        <f>COUNTIF(API_Checklist!B2:B177,A16)</f>
        <v>12</v>
      </c>
      <c r="C16" s="2">
        <f>COUNTIFS(API_Checklist!B2:B177,A16,API_Checklist!P2:P177,"Hoàn thành")</f>
        <v>0</v>
      </c>
    </row>
    <row r="17" ht="70" customHeight="1">
      <c r="A17" s="0" t="inlineStr">
        <is>
          <t xml:space="preserve">Hồ sơ &amp; kết nối ở ghép</t>
        </is>
      </c>
      <c r="B17" s="0">
        <f>COUNTIF(API_Checklist!B2:B177,A17)</f>
        <v>14</v>
      </c>
      <c r="C17" s="0">
        <f>COUNTIFS(API_Checklist!B2:B177,A17,API_Checklist!P2:P177,"Hoàn thành")</f>
        <v>0</v>
      </c>
    </row>
    <row r="18" ht="70" customHeight="1">
      <c r="A18" s="2" t="inlineStr">
        <is>
          <t xml:space="preserve">Tin nhắn &amp; thông báo</t>
        </is>
      </c>
      <c r="B18" s="2">
        <f>COUNTIF(API_Checklist!B2:B177,A18)</f>
        <v>15</v>
      </c>
      <c r="C18" s="2">
        <f>COUNTIFS(API_Checklist!B2:B177,A18,API_Checklist!P2:P177,"Hoàn thành")</f>
        <v>0</v>
      </c>
    </row>
    <row r="19" ht="70" customHeight="1">
      <c r="A19" s="0" t="inlineStr">
        <is>
          <t xml:space="preserve">Hẹn xem &amp; quyết định thuê</t>
        </is>
      </c>
      <c r="B19" s="0">
        <f>COUNTIF(API_Checklist!B2:B177,A19)</f>
        <v>10</v>
      </c>
      <c r="C19" s="0">
        <f>COUNTIFS(API_Checklist!B2:B177,A19,API_Checklist!P2:P177,"Hoàn thành")</f>
        <v>0</v>
      </c>
    </row>
    <row r="20" ht="70" customHeight="1">
      <c r="A20" s="2" t="inlineStr">
        <is>
          <t xml:space="preserve">Hợp đồng &amp; vào ở</t>
        </is>
      </c>
      <c r="B20" s="2">
        <f>COUNTIF(API_Checklist!B2:B177,A20)</f>
        <v>13</v>
      </c>
      <c r="C20" s="2">
        <f>COUNTIFS(API_Checklist!B2:B177,A20,API_Checklist!P2:P177,"Hoàn thành")</f>
        <v>0</v>
      </c>
    </row>
    <row r="21" ht="70" customHeight="1">
      <c r="A21" s="0" t="inlineStr">
        <is>
          <t xml:space="preserve">Người ở &amp; đại diện</t>
        </is>
      </c>
      <c r="B21" s="0">
        <f>COUNTIF(API_Checklist!B2:B177,A21)</f>
        <v>15</v>
      </c>
      <c r="C21" s="0">
        <f>COUNTIFS(API_Checklist!B2:B177,A21,API_Checklist!P2:P177,"Hoàn thành")</f>
        <v>0</v>
      </c>
    </row>
    <row r="22" ht="70" customHeight="1">
      <c r="A22" s="2" t="inlineStr">
        <is>
          <t xml:space="preserve">Gia hạn, đổi phòng, kết thúc</t>
        </is>
      </c>
      <c r="B22" s="2">
        <f>COUNTIF(API_Checklist!B2:B177,A22)</f>
        <v>8</v>
      </c>
      <c r="C22" s="2">
        <f>COUNTIFS(API_Checklist!B2:B177,A22,API_Checklist!P2:P177,"Hoàn thành")</f>
        <v>0</v>
      </c>
    </row>
    <row r="23" ht="70" customHeight="1">
      <c r="A23" s="0" t="inlineStr">
        <is>
          <t xml:space="preserve">Dịch vụ &amp; hóa đơn</t>
        </is>
      </c>
      <c r="B23" s="0">
        <f>COUNTIF(API_Checklist!B2:B177,A23)</f>
        <v>16</v>
      </c>
      <c r="C23" s="0">
        <f>COUNTIFS(API_Checklist!B2:B177,A23,API_Checklist!P2:P177,"Hoàn thành")</f>
        <v>0</v>
      </c>
    </row>
    <row r="24" ht="70" customHeight="1">
      <c r="A24" s="2" t="inlineStr">
        <is>
          <t xml:space="preserve">Đánh giá &amp; quản trị</t>
        </is>
      </c>
      <c r="B24" s="2">
        <f>COUNTIF(API_Checklist!B2:B177,A24)</f>
        <v>18</v>
      </c>
      <c r="C24" s="2">
        <f>COUNTIFS(API_Checklist!B2:B177,A24,API_Checklist!P2:P177,"Hoàn thành")</f>
        <v>0</v>
      </c>
    </row>
    <row r="25" ht="70" customHeight="1">
      <c r="A25" s="0" t="inlineStr">
        <is>
          <t xml:space="preserve">Dữ liệu &amp; tích hợp</t>
        </is>
      </c>
      <c r="B25" s="0">
        <f>COUNTIF(API_Checklist!B2:B177,A25)</f>
        <v>5</v>
      </c>
      <c r="C25" s="0">
        <f>COUNTIFS(API_Checklist!B2:B177,A25,API_Checklist!P2:P177,"Hoàn thành")</f>
        <v>0</v>
      </c>
    </row>
  </sheetData>
  <pageMargins left="0.25" right="0.25" top="0.5" bottom="0.5" header="0.2" footer="0.2"/>
  <pageSetup orientation="landscape" paperSize="9"/>
</worksheet>
</file>

<file path=xl/worksheets/sheet3.xml><?xml version="1.0" encoding="utf-8"?>
<worksheet xmlns="http://schemas.openxmlformats.org/spreadsheetml/2006/main" xmlns:r="http://schemas.openxmlformats.org/officeDocument/2006/relationships">
  <dimension ref="A1:AF177"/>
  <sheetViews>
    <sheetView workbookViewId="0">
      <pane xSplit="5" ySplit="1" topLeftCell="F2" activePane="bottomRight" state="frozen"/>
    </sheetView>
  </sheetViews>
  <sheetFormatPr defaultRowHeight="20"/>
  <cols>
    <col min="1" max="1" width="13" customWidth="1"/>
    <col min="2" max="2" width="28" customWidth="1"/>
    <col min="3" max="3" width="30" customWidth="1"/>
    <col min="4" max="4" width="10" customWidth="1"/>
    <col min="5" max="5" width="58" customWidth="1"/>
    <col min="6" max="6" width="42" customWidth="1"/>
    <col min="7" max="7" width="44" customWidth="1"/>
    <col min="8" max="8" width="10" customWidth="1"/>
    <col min="9" max="9" width="48" customWidth="1"/>
    <col min="10" max="10" width="48" customWidth="1"/>
    <col min="11" max="11" width="65" customWidth="1"/>
    <col min="12" max="12" width="55" customWidth="1"/>
    <col min="13" max="13" width="80" customWidth="1"/>
    <col min="14" max="14" width="50" customWidth="1"/>
    <col min="15" max="15" width="20" customWidth="1"/>
    <col min="16" max="16" width="20" customWidth="1"/>
    <col min="17" max="17" width="24" customWidth="1"/>
    <col min="18" max="18" width="24" customWidth="1"/>
    <col min="19" max="19" width="24" customWidth="1"/>
    <col min="20" max="20" width="24" customWidth="1"/>
    <col min="21" max="21" width="24" customWidth="1"/>
    <col min="22" max="22" width="24" customWidth="1"/>
    <col min="23" max="23" width="24" customWidth="1"/>
    <col min="24" max="24" width="24" customWidth="1"/>
    <col min="25" max="25" width="15" customWidth="1"/>
    <col min="26" max="26" width="24" customWidth="1"/>
    <col min="27" max="27" width="24" customWidth="1"/>
    <col min="28" max="28" width="24" customWidth="1"/>
    <col min="29" max="29" width="24" customWidth="1"/>
    <col min="30" max="30" width="80" customWidth="1"/>
    <col min="31" max="31" width="45" customWidth="1"/>
    <col min="32" max="32" width="18" customWidth="1"/>
  </cols>
  <sheetData>
    <row r="1" ht="36" customHeight="1">
      <c r="A1" s="1" t="inlineStr">
        <is>
          <t xml:space="preserve">Mã API</t>
        </is>
      </c>
      <c r="B1" s="1" t="inlineStr">
        <is>
          <t xml:space="preserve">Nhóm</t>
        </is>
      </c>
      <c r="C1" s="1" t="inlineStr">
        <is>
          <t xml:space="preserve">Luồng liên quan</t>
        </is>
      </c>
      <c r="D1" s="1" t="inlineStr">
        <is>
          <t xml:space="preserve">Method</t>
        </is>
      </c>
      <c r="E1" s="1" t="inlineStr">
        <is>
          <t xml:space="preserve">Endpoint</t>
        </is>
      </c>
      <c r="F1" s="1" t="inlineStr">
        <is>
          <t xml:space="preserve">Chức năng</t>
        </is>
      </c>
      <c r="G1" s="1" t="inlineStr">
        <is>
          <t xml:space="preserve">Quyền truy cập</t>
        </is>
      </c>
      <c r="H1" s="1" t="inlineStr">
        <is>
          <t xml:space="preserve">Ưu tiên</t>
        </is>
      </c>
      <c r="I1" s="1" t="inlineStr">
        <is>
          <t xml:space="preserve">Phụ thuộc / quyết định</t>
        </is>
      </c>
      <c r="J1" s="1" t="inlineStr">
        <is>
          <t xml:space="preserve">SQL / adapter</t>
        </is>
      </c>
      <c r="K1" s="1" t="inlineStr">
        <is>
          <t xml:space="preserve">Request / ràng buộc</t>
        </is>
      </c>
      <c r="L1" s="1" t="inlineStr">
        <is>
          <t xml:space="preserve">Response data</t>
        </is>
      </c>
      <c r="M1" s="1" t="inlineStr">
        <is>
          <t xml:space="preserve">Logic nghiệp vụ</t>
        </is>
      </c>
      <c r="N1" s="1" t="inlineStr">
        <is>
          <t xml:space="preserve">Lỗi cần kiểm tra</t>
        </is>
      </c>
      <c r="O1" s="1" t="inlineStr">
        <is>
          <t xml:space="preserve">Người phụ trách</t>
        </is>
      </c>
      <c r="P1" s="1" t="inlineStr">
        <is>
          <t xml:space="preserve">Trạng thái</t>
        </is>
      </c>
      <c r="Q1" s="1" t="inlineStr">
        <is>
          <t xml:space="preserve">Thiết kế</t>
        </is>
      </c>
      <c r="R1" s="1" t="inlineStr">
        <is>
          <t xml:space="preserve">DTO / Validate</t>
        </is>
      </c>
      <c r="S1" s="1" t="inlineStr">
        <is>
          <t xml:space="preserve">Auth / Scope</t>
        </is>
      </c>
      <c r="T1" s="1" t="inlineStr">
        <is>
          <t xml:space="preserve">Logic / SQL</t>
        </is>
      </c>
      <c r="U1" s="1" t="inlineStr">
        <is>
          <t xml:space="preserve">Unit test</t>
        </is>
      </c>
      <c r="V1" s="1" t="inlineStr">
        <is>
          <t xml:space="preserve">Integration test</t>
        </is>
      </c>
      <c r="W1" s="1" t="inlineStr">
        <is>
          <t xml:space="preserve">Tài liệu</t>
        </is>
      </c>
      <c r="X1" s="1" t="inlineStr">
        <is>
          <t xml:space="preserve">Review</t>
        </is>
      </c>
      <c r="Y1" s="1" t="inlineStr">
        <is>
          <t xml:space="preserve">Tiến độ</t>
        </is>
      </c>
      <c r="Z1" s="1" t="inlineStr">
        <is>
          <t xml:space="preserve">Ngày bắt đầu</t>
        </is>
      </c>
      <c r="AA1" s="1" t="inlineStr">
        <is>
          <t xml:space="preserve">Hạn hoàn thành</t>
        </is>
      </c>
      <c r="AB1" s="1" t="inlineStr">
        <is>
          <t xml:space="preserve">Ngày xong</t>
        </is>
      </c>
      <c r="AC1" s="1" t="inlineStr">
        <is>
          <t xml:space="preserve">PR / commit</t>
        </is>
      </c>
      <c r="AD1" s="1" t="inlineStr">
        <is>
          <t xml:space="preserve">Tiêu chí nghiệm thu</t>
        </is>
      </c>
      <c r="AE1" s="1" t="inlineStr">
        <is>
          <t xml:space="preserve">Bằng chứng test / ghi chú</t>
        </is>
      </c>
      <c r="AF1" s="1" t="inlineStr">
        <is>
          <t xml:space="preserve">Liên kết trang</t>
        </is>
      </c>
    </row>
    <row r="2" ht="70" customHeight="1">
      <c r="A2" s="2" t="inlineStr">
        <is>
          <t xml:space="preserve">API-001</t>
        </is>
      </c>
      <c r="B2" s="2" t="inlineStr">
        <is>
          <t xml:space="preserve">Tài khoản &amp; xác minh</t>
        </is>
      </c>
      <c r="C2" s="2" t="inlineStr">
        <is>
          <t xml:space="preserve">account-access</t>
        </is>
      </c>
      <c r="D2" s="2" t="inlineStr">
        <is>
          <t xml:space="preserve">POST</t>
        </is>
      </c>
      <c r="E2" s="2" t="inlineStr">
        <is>
          <t xml:space="preserve">/api/v1/auth/register</t>
        </is>
      </c>
      <c r="F2" s="2" t="inlineStr">
        <is>
          <t xml:space="preserve">Đăng ký tài khoản người thuê</t>
        </is>
      </c>
      <c r="G2" s="2" t="inlineStr">
        <is>
          <t xml:space="preserve">PUBLIC</t>
        </is>
      </c>
      <c r="H2" s="2" t="inlineStr">
        <is>
          <t xml:space="preserve">P0</t>
        </is>
      </c>
      <c r="I2" s="2" t="inlineStr">
        <is>
          <t xml:space="preserve">D09: idempotency store nếu chưa có khóa tự nhiên</t>
        </is>
      </c>
      <c r="J2" s="2" t="inlineStr">
        <is>
          <t xml:space="preserve">SERVICE: cần triển khai giao dịch backend</t>
        </is>
      </c>
      <c r="K2" s="2" t="inlineStr">
        <is>
          <t xml:space="preserve">fullName: string (bắt buộc) — 1–150 ký tự.
email: string (tùy chọn) — Email chuẩn hóa, ≤150, duy nhất.
phoneNumber: string (tùy chọn) — Chuẩn hóa số điện thoại, ≤20, duy nhất.
password: string (bắt buộc) — Chính sách mật khẩu backend; không log/lưu nguyên văn.</t>
        </is>
      </c>
      <c r="L2" s="2" t="inlineStr">
        <is>
          <t xml:space="preserve">User {id,fullName,roles,status}; không trả passwordHash</t>
        </is>
      </c>
      <c r="M2" s="2" t="inlineStr">
        <is>
          <t xml:space="preserve">Ít nhất một email/phone; transaction tạo users + tenants + personal_profiles. Không nhận ADMIN/LANDLORD từ body.</t>
        </is>
      </c>
      <c r="N2" s="2" t="inlineStr">
        <is>
          <t xml:space="preserve">400 BAD_REQUEST
404 RESOURCE_NOT_FOUND
409 STATE_CONFLICT
409 IDEMPOTENCY_KEY_REUSED
422 VALIDATION_ERROR
409 CONTACT_ALREADY_USED
422 CONTACT_REQUIRED</t>
        </is>
      </c>
      <c r="O2" s="2" t="inlineStr">
        <is>
          <t xml:space="preserve"/>
        </is>
      </c>
      <c r="P2" s="2" t="inlineStr">
        <is>
          <t xml:space="preserve">Chưa làm</t>
        </is>
      </c>
      <c r="Q2" s="2" t="inlineStr">
        <is>
          <t xml:space="preserve">Chưa</t>
        </is>
      </c>
      <c r="R2" s="2" t="inlineStr">
        <is>
          <t xml:space="preserve">Chưa</t>
        </is>
      </c>
      <c r="S2" s="2" t="inlineStr">
        <is>
          <t xml:space="preserve">Chưa</t>
        </is>
      </c>
      <c r="T2" s="2" t="inlineStr">
        <is>
          <t xml:space="preserve">Chưa</t>
        </is>
      </c>
      <c r="U2" s="2" t="inlineStr">
        <is>
          <t xml:space="preserve">Chưa</t>
        </is>
      </c>
      <c r="V2" s="2" t="inlineStr">
        <is>
          <t xml:space="preserve">Chưa</t>
        </is>
      </c>
      <c r="W2" s="2" t="inlineStr">
        <is>
          <t xml:space="preserve">Chưa</t>
        </is>
      </c>
      <c r="X2" s="2" t="inlineStr">
        <is>
          <t xml:space="preserve">Chưa</t>
        </is>
      </c>
      <c r="Y2" s="3">
        <f>COUNTIF(Q2:X2,"Xong")/8</f>
        <v>0</v>
      </c>
      <c r="Z2" s="4" t="inlineStr">
        <is>
          <t xml:space="preserve"/>
        </is>
      </c>
      <c r="AA2" s="4" t="inlineStr">
        <is>
          <t xml:space="preserve"/>
        </is>
      </c>
      <c r="AB2" s="4" t="inlineStr">
        <is>
          <t xml:space="preserve"/>
        </is>
      </c>
      <c r="AC2" s="2" t="inlineStr">
        <is>
          <t xml:space="preserve"/>
        </is>
      </c>
      <c r="AD2" s="2" t="inlineStr">
        <is>
          <t xml:space="preserve">Happy path: Đăng ký tài khoản người thuê; kiểm tra User {id,fullName,roles,status}; không trả passwordHash.
Đầu vào sai/ID ẩn: không lộ dữ liệu riêng tư.
Ràng buộc: Email và số điện thoại có khóa duy nhất; phải có ít nhất một thông tin liên hệ. Vai trò chính thuộc TENANT / LANDLORD / ADMIN.
Gửi lặp cùng khóa trả kết quả cũ; cùng khóa khác payload trả 409; hai request tranh cùng tài nguyên không vượt hạn mức.
Kiểm tra lỗi DB/provider không để lại cập nhật dở hoặc trả thành công giả.</t>
        </is>
      </c>
      <c r="AE2" s="2" t="inlineStr">
        <is>
          <t xml:space="preserve"/>
        </is>
      </c>
      <c r="AF2" s="5" t="inlineStr">
        <is>
          <t xml:space="preserve">Mở đặc tả</t>
        </is>
      </c>
    </row>
    <row r="3" ht="70" customHeight="1">
      <c r="A3" s="0" t="inlineStr">
        <is>
          <t xml:space="preserve">API-002</t>
        </is>
      </c>
      <c r="B3" s="0" t="inlineStr">
        <is>
          <t xml:space="preserve">Tài khoản &amp; xác minh</t>
        </is>
      </c>
      <c r="C3" s="0" t="inlineStr">
        <is>
          <t xml:space="preserve">account-access</t>
        </is>
      </c>
      <c r="D3" s="0" t="inlineStr">
        <is>
          <t xml:space="preserve">POST</t>
        </is>
      </c>
      <c r="E3" s="0" t="inlineStr">
        <is>
          <t xml:space="preserve">/api/v1/auth/login</t>
        </is>
      </c>
      <c r="F3" s="0" t="inlineStr">
        <is>
          <t xml:space="preserve">Đăng nhập và mở phiên</t>
        </is>
      </c>
      <c r="G3" s="0" t="inlineStr">
        <is>
          <t xml:space="preserve">PUBLIC</t>
        </is>
      </c>
      <c r="H3" s="0" t="inlineStr">
        <is>
          <t xml:space="preserve">P0</t>
        </is>
      </c>
      <c r="I3" s="0" t="inlineStr">
        <is>
          <t xml:space="preserve">D09: idempotency store nếu chưa có khóa tự nhiên</t>
        </is>
      </c>
      <c r="J3" s="0" t="inlineStr">
        <is>
          <t xml:space="preserve">SERVICE: cần triển khai giao dịch backend</t>
        </is>
      </c>
      <c r="K3" s="0" t="inlineStr">
        <is>
          <t xml:space="preserve">identifier: string (bắt buộc) — Email hoặc điện thoại đã chuẩn hóa.
password: string (bắt buộc) — So sánh hash an toàn.</t>
        </is>
      </c>
      <c r="L3" s="0" t="inlineStr">
        <is>
          <t xml:space="preserve">Session {accessToken,expiresAt,user}; refresh cookie HttpOnly</t>
        </is>
      </c>
      <c r="M3" s="0" t="inlineStr">
        <is>
          <t xml:space="preserve">Chặn LOCKED/DISABLED; rate limit; tạo auth_sessions, lưu hash refresh token. Access token gắn sessionKey. Không dùng bộ chuyển vai trò demo làm xác thực.</t>
        </is>
      </c>
      <c r="N3" s="0" t="inlineStr">
        <is>
          <t xml:space="preserve">400 BAD_REQUEST
404 RESOURCE_NOT_FOUND
409 STATE_CONFLICT
409 IDEMPOTENCY_KEY_REUSED
422 VALIDATION_ERROR
409 CONTACT_ALREADY_USED
422 CONTACT_REQUIRED</t>
        </is>
      </c>
      <c r="O3" s="0" t="inlineStr">
        <is>
          <t xml:space="preserve"/>
        </is>
      </c>
      <c r="P3" s="0" t="inlineStr">
        <is>
          <t xml:space="preserve">Chưa làm</t>
        </is>
      </c>
      <c r="Q3" s="0" t="inlineStr">
        <is>
          <t xml:space="preserve">Chưa</t>
        </is>
      </c>
      <c r="R3" s="0" t="inlineStr">
        <is>
          <t xml:space="preserve">Chưa</t>
        </is>
      </c>
      <c r="S3" s="0" t="inlineStr">
        <is>
          <t xml:space="preserve">Chưa</t>
        </is>
      </c>
      <c r="T3" s="0" t="inlineStr">
        <is>
          <t xml:space="preserve">Chưa</t>
        </is>
      </c>
      <c r="U3" s="0" t="inlineStr">
        <is>
          <t xml:space="preserve">Chưa</t>
        </is>
      </c>
      <c r="V3" s="0" t="inlineStr">
        <is>
          <t xml:space="preserve">Chưa</t>
        </is>
      </c>
      <c r="W3" s="0" t="inlineStr">
        <is>
          <t xml:space="preserve">Chưa</t>
        </is>
      </c>
      <c r="X3" s="0" t="inlineStr">
        <is>
          <t xml:space="preserve">Chưa</t>
        </is>
      </c>
      <c r="Y3" s="3">
        <f>COUNTIF(Q3:X3,"Xong")/8</f>
        <v>0</v>
      </c>
      <c r="Z3" s="4" t="inlineStr">
        <is>
          <t xml:space="preserve"/>
        </is>
      </c>
      <c r="AA3" s="4" t="inlineStr">
        <is>
          <t xml:space="preserve"/>
        </is>
      </c>
      <c r="AB3" s="4" t="inlineStr">
        <is>
          <t xml:space="preserve"/>
        </is>
      </c>
      <c r="AC3" s="0" t="inlineStr">
        <is>
          <t xml:space="preserve"/>
        </is>
      </c>
      <c r="AD3" s="0" t="inlineStr">
        <is>
          <t xml:space="preserve">Happy path: Đăng nhập và mở phiên; kiểm tra Session {accessToken,expiresAt,user}; refresh cookie HttpOnly.
Đầu vào sai/ID ẩn: không lộ dữ liệu riêng tư.
Ràng buộc: Email và số điện thoại có khóa duy nhất; phải có ít nhất một thông tin liên hệ. Vai trò chính thuộc TENANT / LANDLORD / ADMIN.
Gửi lặp cùng khóa trả kết quả cũ; cùng khóa khác payload trả 409; hai request tranh cùng tài nguyên không vượt hạn mức.
Kiểm tra lỗi DB/provider không để lại cập nhật dở hoặc trả thành công giả.</t>
        </is>
      </c>
      <c r="AE3" s="0" t="inlineStr">
        <is>
          <t xml:space="preserve"/>
        </is>
      </c>
      <c r="AF3" s="5" t="inlineStr">
        <is>
          <t xml:space="preserve">Mở đặc tả</t>
        </is>
      </c>
    </row>
    <row r="4" ht="70" customHeight="1">
      <c r="A4" s="2" t="inlineStr">
        <is>
          <t xml:space="preserve">API-003</t>
        </is>
      </c>
      <c r="B4" s="2" t="inlineStr">
        <is>
          <t xml:space="preserve">Tài khoản &amp; xác minh</t>
        </is>
      </c>
      <c r="C4" s="2" t="inlineStr">
        <is>
          <t xml:space="preserve">account-access</t>
        </is>
      </c>
      <c r="D4" s="2" t="inlineStr">
        <is>
          <t xml:space="preserve">GET</t>
        </is>
      </c>
      <c r="E4" s="2" t="inlineStr">
        <is>
          <t xml:space="preserve">/api/v1/me</t>
        </is>
      </c>
      <c r="F4" s="2" t="inlineStr">
        <is>
          <t xml:space="preserve">Đọc tài khoản và các vai trò thực</t>
        </is>
      </c>
      <c r="G4" s="2" t="inlineStr">
        <is>
          <t xml:space="preserve">USER: tài khoản ACTIVE; chỉ dữ liệu của mình</t>
        </is>
      </c>
      <c r="H4" s="2" t="inlineStr">
        <is>
          <t xml:space="preserve">P0</t>
        </is>
      </c>
      <c r="I4" s="2" t="inlineStr">
        <is>
          <t xml:space="preserve">Middleware auth/session/role + object scope</t>
        </is>
      </c>
      <c r="J4" s="2" t="inlineStr">
        <is>
          <t xml:space="preserve">READ: truy vấn có scope quyền</t>
        </is>
      </c>
      <c r="K4" s="2" t="inlineStr">
        <is>
          <t xml:space="preserve">Không có JSON body</t>
        </is>
      </c>
      <c r="L4" s="2" t="inlineStr">
        <is>
          <t xml:space="preserve">User {id,fullName,email,phoneNumber,roles,status,profile}</t>
        </is>
      </c>
      <c r="M4" s="2" t="inlineStr">
        <is>
          <t xml:space="preserve">Roles lấy từ tenants/landlords/admins. role trong users là vai trò hiển thị; mỗi request kiểm tra lại quyền đối tượng.</t>
        </is>
      </c>
      <c r="N4" s="2" t="inlineStr">
        <is>
          <t xml:space="preserve">400 BAD_REQUEST
401 UNAUTHENTICATED
403 FORBIDDEN
404 RESOURCE_NOT_FOUND</t>
        </is>
      </c>
      <c r="O4" s="2" t="inlineStr">
        <is>
          <t xml:space="preserve"/>
        </is>
      </c>
      <c r="P4" s="2" t="inlineStr">
        <is>
          <t xml:space="preserve">Chưa làm</t>
        </is>
      </c>
      <c r="Q4" s="2" t="inlineStr">
        <is>
          <t xml:space="preserve">Chưa</t>
        </is>
      </c>
      <c r="R4" s="2" t="inlineStr">
        <is>
          <t xml:space="preserve">Chưa</t>
        </is>
      </c>
      <c r="S4" s="2" t="inlineStr">
        <is>
          <t xml:space="preserve">Chưa</t>
        </is>
      </c>
      <c r="T4" s="2" t="inlineStr">
        <is>
          <t xml:space="preserve">Chưa</t>
        </is>
      </c>
      <c r="U4" s="2" t="inlineStr">
        <is>
          <t xml:space="preserve">Chưa</t>
        </is>
      </c>
      <c r="V4" s="2" t="inlineStr">
        <is>
          <t xml:space="preserve">Chưa</t>
        </is>
      </c>
      <c r="W4" s="2" t="inlineStr">
        <is>
          <t xml:space="preserve">Chưa</t>
        </is>
      </c>
      <c r="X4" s="2" t="inlineStr">
        <is>
          <t xml:space="preserve">Chưa</t>
        </is>
      </c>
      <c r="Y4" s="3">
        <f>COUNTIF(Q4:X4,"Xong")/8</f>
        <v>0</v>
      </c>
      <c r="Z4" s="4" t="inlineStr">
        <is>
          <t xml:space="preserve"/>
        </is>
      </c>
      <c r="AA4" s="4" t="inlineStr">
        <is>
          <t xml:space="preserve"/>
        </is>
      </c>
      <c r="AB4" s="4" t="inlineStr">
        <is>
          <t xml:space="preserve"/>
        </is>
      </c>
      <c r="AC4" s="2" t="inlineStr">
        <is>
          <t xml:space="preserve"/>
        </is>
      </c>
      <c r="AD4" s="2" t="inlineStr">
        <is>
          <t xml:space="preserve">Happy path: Đọc tài khoản và các vai trò thực; kiểm tra User {id,fullName,email,phoneNumber,roles,status,profile}.
Thiếu phiên/phiên revoked/actor LOCKED và actor khác chủ hoặc khác participant phải bị chặn.
Ràng buộc: Email và số điện thoại có khóa duy nhất; phải có ít nhất một thông tin liên hệ. Vai trò chính thuộc TENANT / LANDLORD / ADMIN.
Phân trang/lọc đúng scope; dữ liệu riêng tư bị loại trên server, không chỉ ẩn UI.
Kiểm tra lỗi DB/provider không để lại cập nhật dở hoặc trả thành công giả.</t>
        </is>
      </c>
      <c r="AE4" s="2" t="inlineStr">
        <is>
          <t xml:space="preserve"/>
        </is>
      </c>
      <c r="AF4" s="5" t="inlineStr">
        <is>
          <t xml:space="preserve">Mở đặc tả</t>
        </is>
      </c>
    </row>
    <row r="5" ht="70" customHeight="1">
      <c r="A5" s="0" t="inlineStr">
        <is>
          <t xml:space="preserve">API-004</t>
        </is>
      </c>
      <c r="B5" s="0" t="inlineStr">
        <is>
          <t xml:space="preserve">Tài khoản &amp; xác minh</t>
        </is>
      </c>
      <c r="C5" s="0" t="inlineStr">
        <is>
          <t xml:space="preserve">profile</t>
        </is>
      </c>
      <c r="D5" s="0" t="inlineStr">
        <is>
          <t xml:space="preserve">PATCH</t>
        </is>
      </c>
      <c r="E5" s="0" t="inlineStr">
        <is>
          <t xml:space="preserve">/api/v1/me/profile</t>
        </is>
      </c>
      <c r="F5" s="0" t="inlineStr">
        <is>
          <t xml:space="preserve">Cập nhật hồ sơ cá nhân</t>
        </is>
      </c>
      <c r="G5" s="0" t="inlineStr">
        <is>
          <t xml:space="preserve">USER: tài khoản ACTIVE; chỉ dữ liệu của mình</t>
        </is>
      </c>
      <c r="H5" s="0" t="inlineStr">
        <is>
          <t xml:space="preserve">P0</t>
        </is>
      </c>
      <c r="I5" s="0" t="inlineStr">
        <is>
          <t xml:space="preserve">Middleware auth/session/role + object scope
D09: idempotency store nếu chưa có khóa tự nhiên</t>
        </is>
      </c>
      <c r="J5" s="0" t="inlineStr">
        <is>
          <t xml:space="preserve">SERVICE: cần triển khai giao dịch backend</t>
        </is>
      </c>
      <c r="K5" s="0" t="inlineStr">
        <is>
          <t xml:space="preserve">fullName: string (tùy chọn) — 1–150 ký tự sau trim.
address: string (tùy chọn) — Tối đa 500 ký tự.
gender: string (tùy chọn) — Tối đa 30 ký tự.
occupation: string (tùy chọn) — Tối đa 150 ký tự.
university: string (tùy chọn) — Tối đa 200 ký tự.
bio: string (tùy chọn) — Giới hạn API cần cấu hình; SQL TEXT.
avatarFileId: id (tùy chọn) — Tệp AVATAR ACTIVE thuộc người dùng.</t>
        </is>
      </c>
      <c r="L5" s="0" t="inlineStr">
        <is>
          <t xml:space="preserve">PersonalProfile sau cập nhật</t>
        </is>
      </c>
      <c r="M5" s="0" t="inlineStr">
        <is>
          <t xml:space="preserve">Chỉ cập nhật whitelist; không sửa role/status/contact xác thực bằng form profile. Tệp avatar phải thuộc mình. Ghi users.full_name và personal_profiles trong một giao dịch.</t>
        </is>
      </c>
      <c r="N5" s="0" t="inlineStr">
        <is>
          <t xml:space="preserve">400 BAD_REQUEST
401 UNAUTHENTICATED
403 FORBIDDEN
404 RESOURCE_NOT_FOUND
409 STATE_CONFLICT
409 IDEMPOTENCY_KEY_REUSED
422 VALIDATION_ERROR
422 PROFILE_INVALID</t>
        </is>
      </c>
      <c r="O5" s="0" t="inlineStr">
        <is>
          <t xml:space="preserve"/>
        </is>
      </c>
      <c r="P5" s="0" t="inlineStr">
        <is>
          <t xml:space="preserve">Chưa làm</t>
        </is>
      </c>
      <c r="Q5" s="0" t="inlineStr">
        <is>
          <t xml:space="preserve">Chưa</t>
        </is>
      </c>
      <c r="R5" s="0" t="inlineStr">
        <is>
          <t xml:space="preserve">Chưa</t>
        </is>
      </c>
      <c r="S5" s="0" t="inlineStr">
        <is>
          <t xml:space="preserve">Chưa</t>
        </is>
      </c>
      <c r="T5" s="0" t="inlineStr">
        <is>
          <t xml:space="preserve">Chưa</t>
        </is>
      </c>
      <c r="U5" s="0" t="inlineStr">
        <is>
          <t xml:space="preserve">Chưa</t>
        </is>
      </c>
      <c r="V5" s="0" t="inlineStr">
        <is>
          <t xml:space="preserve">Chưa</t>
        </is>
      </c>
      <c r="W5" s="0" t="inlineStr">
        <is>
          <t xml:space="preserve">Chưa</t>
        </is>
      </c>
      <c r="X5" s="0" t="inlineStr">
        <is>
          <t xml:space="preserve">Chưa</t>
        </is>
      </c>
      <c r="Y5" s="3">
        <f>COUNTIF(Q5:X5,"Xong")/8</f>
        <v>0</v>
      </c>
      <c r="Z5" s="4" t="inlineStr">
        <is>
          <t xml:space="preserve"/>
        </is>
      </c>
      <c r="AA5" s="4" t="inlineStr">
        <is>
          <t xml:space="preserve"/>
        </is>
      </c>
      <c r="AB5" s="4" t="inlineStr">
        <is>
          <t xml:space="preserve"/>
        </is>
      </c>
      <c r="AC5" s="0" t="inlineStr">
        <is>
          <t xml:space="preserve"/>
        </is>
      </c>
      <c r="AD5" s="0" t="inlineStr">
        <is>
          <t xml:space="preserve">Happy path: Cập nhật hồ sơ cá nhân; kiểm tra PersonalProfile sau cập nhật.
Thiếu phiên/phiên revoked/actor LOCKED và actor khác chủ hoặc khác participant phải bị chặn.
Ràng buộc: personal_profiles có một hồ sơ cho mỗi user; thông tin cá nhân không mặc định là dữ liệu công khai.
Gửi lặp cùng khóa trả kết quả cũ; cùng khóa khác payload trả 409; hai request tranh cùng tài nguyên không vượt hạn mức.
Kiểm tra lỗi DB/provider không để lại cập nhật dở hoặc trả thành công giả.</t>
        </is>
      </c>
      <c r="AE5" s="0" t="inlineStr">
        <is>
          <t xml:space="preserve"/>
        </is>
      </c>
      <c r="AF5" s="5" t="inlineStr">
        <is>
          <t xml:space="preserve">Mở đặc tả</t>
        </is>
      </c>
    </row>
    <row r="6" ht="70" customHeight="1">
      <c r="A6" s="2" t="inlineStr">
        <is>
          <t xml:space="preserve">API-005</t>
        </is>
      </c>
      <c r="B6" s="2" t="inlineStr">
        <is>
          <t xml:space="preserve">Tài khoản &amp; xác minh</t>
        </is>
      </c>
      <c r="C6" s="2" t="inlineStr">
        <is>
          <t xml:space="preserve">profile</t>
        </is>
      </c>
      <c r="D6" s="2" t="inlineStr">
        <is>
          <t xml:space="preserve">PATCH</t>
        </is>
      </c>
      <c r="E6" s="2" t="inlineStr">
        <is>
          <t xml:space="preserve">/api/v1/me/notification-settings</t>
        </is>
      </c>
      <c r="F6" s="2" t="inlineStr">
        <is>
          <t xml:space="preserve">Cấu hình kênh thông báo</t>
        </is>
      </c>
      <c r="G6" s="2" t="inlineStr">
        <is>
          <t xml:space="preserve">USER: tài khoản ACTIVE; chỉ dữ liệu của mình</t>
        </is>
      </c>
      <c r="H6" s="2" t="inlineStr">
        <is>
          <t xml:space="preserve">P0</t>
        </is>
      </c>
      <c r="I6" s="2" t="inlineStr">
        <is>
          <t xml:space="preserve">Middleware auth/session/role + object scope
D09: idempotency store nếu chưa có khóa tự nhiên
D04</t>
        </is>
      </c>
      <c r="J6" s="2" t="inlineStr">
        <is>
          <t xml:space="preserve">SERVICE: cần triển khai giao dịch backend</t>
        </is>
      </c>
      <c r="K6" s="2" t="inlineStr">
        <is>
          <t xml:space="preserve">inAppEnabled: boolean (tùy chọn) — Ít nhất một field.
emailEnabled: boolean (tùy chọn) — Chỉ bật kênh backend hỗ trợ.
pushEnabled: boolean (tùy chọn) — Push delivery cần provider/device registry bổ sung.</t>
        </is>
      </c>
      <c r="L6" s="2" t="inlineStr">
        <is>
          <t xml:space="preserve">Settings {inAppEnabled,emailEnabled,pushEnabled}</t>
        </is>
      </c>
      <c r="M6" s="2" t="inlineStr">
        <is>
          <t xml:space="preserve">Cập nhật flags users. Việc bật flag không đồng nghĩa có dịch vụ email/push hiện tại.</t>
        </is>
      </c>
      <c r="N6" s="2" t="inlineStr">
        <is>
          <t xml:space="preserve">400 BAD_REQUEST
401 UNAUTHENTICATED
403 FORBIDDEN
404 RESOURCE_NOT_FOUND
409 STATE_CONFLICT
409 IDEMPOTENCY_KEY_REUSED
422 VALIDATION_ERROR
422 PROFILE_INVALID</t>
        </is>
      </c>
      <c r="O6" s="2" t="inlineStr">
        <is>
          <t xml:space="preserve"/>
        </is>
      </c>
      <c r="P6" s="2" t="inlineStr">
        <is>
          <t xml:space="preserve">Chưa làm</t>
        </is>
      </c>
      <c r="Q6" s="2" t="inlineStr">
        <is>
          <t xml:space="preserve">Chưa</t>
        </is>
      </c>
      <c r="R6" s="2" t="inlineStr">
        <is>
          <t xml:space="preserve">Chưa</t>
        </is>
      </c>
      <c r="S6" s="2" t="inlineStr">
        <is>
          <t xml:space="preserve">Chưa</t>
        </is>
      </c>
      <c r="T6" s="2" t="inlineStr">
        <is>
          <t xml:space="preserve">Chưa</t>
        </is>
      </c>
      <c r="U6" s="2" t="inlineStr">
        <is>
          <t xml:space="preserve">Chưa</t>
        </is>
      </c>
      <c r="V6" s="2" t="inlineStr">
        <is>
          <t xml:space="preserve">Chưa</t>
        </is>
      </c>
      <c r="W6" s="2" t="inlineStr">
        <is>
          <t xml:space="preserve">Chưa</t>
        </is>
      </c>
      <c r="X6" s="2" t="inlineStr">
        <is>
          <t xml:space="preserve">Chưa</t>
        </is>
      </c>
      <c r="Y6" s="3">
        <f>COUNTIF(Q6:X6,"Xong")/8</f>
        <v>0</v>
      </c>
      <c r="Z6" s="4" t="inlineStr">
        <is>
          <t xml:space="preserve"/>
        </is>
      </c>
      <c r="AA6" s="4" t="inlineStr">
        <is>
          <t xml:space="preserve"/>
        </is>
      </c>
      <c r="AB6" s="4" t="inlineStr">
        <is>
          <t xml:space="preserve"/>
        </is>
      </c>
      <c r="AC6" s="2" t="inlineStr">
        <is>
          <t xml:space="preserve"/>
        </is>
      </c>
      <c r="AD6" s="2" t="inlineStr">
        <is>
          <t xml:space="preserve">Happy path: Cấu hình kênh thông báo; kiểm tra Settings {inAppEnabled,emailEnabled,pushEnabled}.
Thiếu phiên/phiên revoked/actor LOCKED và actor khác chủ hoặc khác participant phải bị chặn.
Ràng buộc: personal_profiles có một hồ sơ cho mỗi user; thông tin cá nhân không mặc định là dữ liệu công khai.
Gửi lặp cùng khóa trả kết quả cũ; cùng khóa khác payload trả 409; hai request tranh cùng tài nguyên không vượt hạn mức.
Kiểm tra lỗi DB/provider không để lại cập nhật dở hoặc trả thành công giả.</t>
        </is>
      </c>
      <c r="AE6" s="2" t="inlineStr">
        <is>
          <t xml:space="preserve"/>
        </is>
      </c>
      <c r="AF6" s="5" t="inlineStr">
        <is>
          <t xml:space="preserve">Mở đặc tả</t>
        </is>
      </c>
    </row>
    <row r="7" ht="70" customHeight="1">
      <c r="A7" s="0" t="inlineStr">
        <is>
          <t xml:space="preserve">API-006</t>
        </is>
      </c>
      <c r="B7" s="0" t="inlineStr">
        <is>
          <t xml:space="preserve">Tài khoản &amp; xác minh</t>
        </is>
      </c>
      <c r="C7" s="0" t="inlineStr">
        <is>
          <t xml:space="preserve">identity</t>
        </is>
      </c>
      <c r="D7" s="0" t="inlineStr">
        <is>
          <t xml:space="preserve">POST</t>
        </is>
      </c>
      <c r="E7" s="0" t="inlineStr">
        <is>
          <t xml:space="preserve">/api/v1/me/identity-verifications</t>
        </is>
      </c>
      <c r="F7" s="0" t="inlineStr">
        <is>
          <t xml:space="preserve">Nộp xác minh danh tính người thuê</t>
        </is>
      </c>
      <c r="G7" s="0" t="inlineStr">
        <is>
          <t xml:space="preserve">TENANT: chỉ chính người thuê và tài nguyên được phép</t>
        </is>
      </c>
      <c r="H7" s="0" t="inlineStr">
        <is>
          <t xml:space="preserve">P0</t>
        </is>
      </c>
      <c r="I7" s="0" t="inlineStr">
        <is>
          <t xml:space="preserve">Middleware auth/session/role + object scope
D09: idempotency store nếu chưa có khóa tự nhiên
D05</t>
        </is>
      </c>
      <c r="J7" s="0" t="inlineStr">
        <is>
          <t xml:space="preserve">SERVICE: cần triển khai giao dịch backend</t>
        </is>
      </c>
      <c r="K7" s="0" t="inlineStr">
        <is>
          <t xml:space="preserve">identityNumber: string (bắt buộc) — 1–30 ký tự, xử lý như dữ liệu riêng tư.
identityFileId: id (bắt buộc) — Tệp IDENTITY PRIVATE ACTIVE thuộc người nộp.</t>
        </is>
      </c>
      <c r="L7" s="0" t="inlineStr">
        <is>
          <t xml:space="preserve">IdentityVerification {id,status:PENDING,createdAt}</t>
        </is>
      </c>
      <c r="M7" s="0" t="inlineStr">
        <is>
          <t xml:space="preserve">Chỉ một PENDING/người; lưu số giấy tờ, tệp và hạn lưu theo chính sách. Không công khai giấy tờ.</t>
        </is>
      </c>
      <c r="N7" s="0" t="inlineStr">
        <is>
          <t xml:space="preserve">400 BAD_REQUEST
401 UNAUTHENTICATED
403 FORBIDDEN
404 RESOURCE_NOT_FOUND
409 STATE_CONFLICT
409 IDEMPOTENCY_KEY_REUSED
422 VALIDATION_ERROR
409 PENDING_VERIFICATION_EXISTS
422 FILE_INVALID</t>
        </is>
      </c>
      <c r="O7" s="0" t="inlineStr">
        <is>
          <t xml:space="preserve"/>
        </is>
      </c>
      <c r="P7" s="0" t="inlineStr">
        <is>
          <t xml:space="preserve">Chưa làm</t>
        </is>
      </c>
      <c r="Q7" s="0" t="inlineStr">
        <is>
          <t xml:space="preserve">Chưa</t>
        </is>
      </c>
      <c r="R7" s="0" t="inlineStr">
        <is>
          <t xml:space="preserve">Chưa</t>
        </is>
      </c>
      <c r="S7" s="0" t="inlineStr">
        <is>
          <t xml:space="preserve">Chưa</t>
        </is>
      </c>
      <c r="T7" s="0" t="inlineStr">
        <is>
          <t xml:space="preserve">Chưa</t>
        </is>
      </c>
      <c r="U7" s="0" t="inlineStr">
        <is>
          <t xml:space="preserve">Chưa</t>
        </is>
      </c>
      <c r="V7" s="0" t="inlineStr">
        <is>
          <t xml:space="preserve">Chưa</t>
        </is>
      </c>
      <c r="W7" s="0" t="inlineStr">
        <is>
          <t xml:space="preserve">Chưa</t>
        </is>
      </c>
      <c r="X7" s="0" t="inlineStr">
        <is>
          <t xml:space="preserve">Chưa</t>
        </is>
      </c>
      <c r="Y7" s="3">
        <f>COUNTIF(Q7:X7,"Xong")/8</f>
        <v>0</v>
      </c>
      <c r="Z7" s="4" t="inlineStr">
        <is>
          <t xml:space="preserve"/>
        </is>
      </c>
      <c r="AA7" s="4" t="inlineStr">
        <is>
          <t xml:space="preserve"/>
        </is>
      </c>
      <c r="AB7" s="4" t="inlineStr">
        <is>
          <t xml:space="preserve"/>
        </is>
      </c>
      <c r="AC7" s="0" t="inlineStr">
        <is>
          <t xml:space="preserve"/>
        </is>
      </c>
      <c r="AD7" s="0" t="inlineStr">
        <is>
          <t xml:space="preserve">Happy path: Nộp xác minh danh tính người thuê; kiểm tra IdentityVerification {id,status:PENDING,createdAt}.
Thiếu phiên/phiên revoked/actor LOCKED và actor khác chủ hoặc khác participant phải bị chặn.
Ràng buộc: Mỗi người chỉ có một hồ sơ xác minh cùng loại đang PENDING; quyết định duyệt/từ chối lưu người và thời điểm.
Gửi lặp cùng khóa trả kết quả cũ; cùng khóa khác payload trả 409; hai request tranh cùng tài nguyên không vượt hạn mức.
Kiểm tra lỗi DB/provider không để lại cập nhật dở hoặc trả thành công giả.</t>
        </is>
      </c>
      <c r="AE7" s="0" t="inlineStr">
        <is>
          <t xml:space="preserve"/>
        </is>
      </c>
      <c r="AF7" s="5" t="inlineStr">
        <is>
          <t xml:space="preserve">Mở đặc tả</t>
        </is>
      </c>
    </row>
    <row r="8" ht="70" customHeight="1">
      <c r="A8" s="2" t="inlineStr">
        <is>
          <t xml:space="preserve">API-007</t>
        </is>
      </c>
      <c r="B8" s="2" t="inlineStr">
        <is>
          <t xml:space="preserve">Tài khoản &amp; xác minh</t>
        </is>
      </c>
      <c r="C8" s="2" t="inlineStr">
        <is>
          <t xml:space="preserve">identity</t>
        </is>
      </c>
      <c r="D8" s="2" t="inlineStr">
        <is>
          <t xml:space="preserve">GET</t>
        </is>
      </c>
      <c r="E8" s="2" t="inlineStr">
        <is>
          <t xml:space="preserve">/api/v1/me/identity-verifications</t>
        </is>
      </c>
      <c r="F8" s="2" t="inlineStr">
        <is>
          <t xml:space="preserve">Lịch sử xác minh của mình</t>
        </is>
      </c>
      <c r="G8" s="2" t="inlineStr">
        <is>
          <t xml:space="preserve">TENANT: chỉ chính người thuê và tài nguyên được phép</t>
        </is>
      </c>
      <c r="H8" s="2" t="inlineStr">
        <is>
          <t xml:space="preserve">P0</t>
        </is>
      </c>
      <c r="I8" s="2" t="inlineStr">
        <is>
          <t xml:space="preserve">Middleware auth/session/role + object scope</t>
        </is>
      </c>
      <c r="J8" s="2" t="inlineStr">
        <is>
          <t xml:space="preserve">READ: truy vấn có scope quyền</t>
        </is>
      </c>
      <c r="K8" s="2" t="inlineStr">
        <is>
          <t xml:space="preserve">Không có JSON body</t>
        </is>
      </c>
      <c r="L8" s="2" t="inlineStr">
        <is>
          <t xml:space="preserve">IdentityVerification[]; che số giấy tờ, không trả URL kho</t>
        </is>
      </c>
      <c r="M8" s="2" t="inlineStr">
        <is>
          <t xml:space="preserve">Chỉ tenant_id = actor; giấy tờ mở bằng API file có quyền.</t>
        </is>
      </c>
      <c r="N8" s="2" t="inlineStr">
        <is>
          <t xml:space="preserve">400 BAD_REQUEST
401 UNAUTHENTICATED
403 FORBIDDEN
404 RESOURCE_NOT_FOUND
422 VALIDATION_ERROR</t>
        </is>
      </c>
      <c r="O8" s="2" t="inlineStr">
        <is>
          <t xml:space="preserve"/>
        </is>
      </c>
      <c r="P8" s="2" t="inlineStr">
        <is>
          <t xml:space="preserve">Chưa làm</t>
        </is>
      </c>
      <c r="Q8" s="2" t="inlineStr">
        <is>
          <t xml:space="preserve">Chưa</t>
        </is>
      </c>
      <c r="R8" s="2" t="inlineStr">
        <is>
          <t xml:space="preserve">Chưa</t>
        </is>
      </c>
      <c r="S8" s="2" t="inlineStr">
        <is>
          <t xml:space="preserve">Chưa</t>
        </is>
      </c>
      <c r="T8" s="2" t="inlineStr">
        <is>
          <t xml:space="preserve">Chưa</t>
        </is>
      </c>
      <c r="U8" s="2" t="inlineStr">
        <is>
          <t xml:space="preserve">Chưa</t>
        </is>
      </c>
      <c r="V8" s="2" t="inlineStr">
        <is>
          <t xml:space="preserve">Chưa</t>
        </is>
      </c>
      <c r="W8" s="2" t="inlineStr">
        <is>
          <t xml:space="preserve">Chưa</t>
        </is>
      </c>
      <c r="X8" s="2" t="inlineStr">
        <is>
          <t xml:space="preserve">Chưa</t>
        </is>
      </c>
      <c r="Y8" s="3">
        <f>COUNTIF(Q8:X8,"Xong")/8</f>
        <v>0</v>
      </c>
      <c r="Z8" s="4" t="inlineStr">
        <is>
          <t xml:space="preserve"/>
        </is>
      </c>
      <c r="AA8" s="4" t="inlineStr">
        <is>
          <t xml:space="preserve"/>
        </is>
      </c>
      <c r="AB8" s="4" t="inlineStr">
        <is>
          <t xml:space="preserve"/>
        </is>
      </c>
      <c r="AC8" s="2" t="inlineStr">
        <is>
          <t xml:space="preserve"/>
        </is>
      </c>
      <c r="AD8" s="2" t="inlineStr">
        <is>
          <t xml:space="preserve">Happy path: Lịch sử xác minh của mình; kiểm tra IdentityVerification[]; che số giấy tờ, không trả URL kho.
Thiếu phiên/phiên revoked/actor LOCKED và actor khác chủ hoặc khác participant phải bị chặn.
Ràng buộc: Mỗi người chỉ có một hồ sơ xác minh cùng loại đang PENDING; quyết định duyệt/từ chối lưu người và thời điểm.
Phân trang/lọc đúng scope; dữ liệu riêng tư bị loại trên server, không chỉ ẩn UI.
Kiểm tra lỗi DB/provider không để lại cập nhật dở hoặc trả thành công giả.</t>
        </is>
      </c>
      <c r="AE8" s="2" t="inlineStr">
        <is>
          <t xml:space="preserve"/>
        </is>
      </c>
      <c r="AF8" s="5" t="inlineStr">
        <is>
          <t xml:space="preserve">Mở đặc tả</t>
        </is>
      </c>
    </row>
    <row r="9" ht="70" customHeight="1">
      <c r="A9" s="0" t="inlineStr">
        <is>
          <t xml:space="preserve">API-008</t>
        </is>
      </c>
      <c r="B9" s="0" t="inlineStr">
        <is>
          <t xml:space="preserve">Tài khoản &amp; xác minh</t>
        </is>
      </c>
      <c r="C9" s="0" t="inlineStr">
        <is>
          <t xml:space="preserve">identity</t>
        </is>
      </c>
      <c r="D9" s="0" t="inlineStr">
        <is>
          <t xml:space="preserve">POST</t>
        </is>
      </c>
      <c r="E9" s="0" t="inlineStr">
        <is>
          <t xml:space="preserve">/api/v1/me/identity-verifications/{verificationId}/withdraw</t>
        </is>
      </c>
      <c r="F9" s="0" t="inlineStr">
        <is>
          <t xml:space="preserve">Rút hồ sơ danh tính đang chờ</t>
        </is>
      </c>
      <c r="G9" s="0" t="inlineStr">
        <is>
          <t xml:space="preserve">TENANT: chỉ chính người thuê và tài nguyên được phép</t>
        </is>
      </c>
      <c r="H9" s="0" t="inlineStr">
        <is>
          <t xml:space="preserve">P0</t>
        </is>
      </c>
      <c r="I9" s="0" t="inlineStr">
        <is>
          <t xml:space="preserve">Middleware auth/session/role + object scope
D09: idempotency store nếu chưa có khóa tự nhiên</t>
        </is>
      </c>
      <c r="J9" s="0" t="inlineStr">
        <is>
          <t xml:space="preserve">SERVICE: cần triển khai giao dịch backend</t>
        </is>
      </c>
      <c r="K9" s="0" t="inlineStr">
        <is>
          <t xml:space="preserve">Không có JSON body</t>
        </is>
      </c>
      <c r="L9" s="0" t="inlineStr">
        <is>
          <t xml:space="preserve">IdentityVerification {id,status:WITHDRAWN}</t>
        </is>
      </c>
      <c r="M9" s="0" t="inlineStr">
        <is>
          <t xml:space="preserve">Khóa hồ sơ thuộc mình; chỉ PENDING → WITHDRAWN; giữ lịch sử.</t>
        </is>
      </c>
      <c r="N9" s="0" t="inlineStr">
        <is>
          <t xml:space="preserve">400 BAD_REQUEST
401 UNAUTHENTICATED
403 FORBIDDEN
404 RESOURCE_NOT_FOUND
409 STATE_CONFLICT
409 IDEMPOTENCY_KEY_REUSED
422 VALIDATION_ERROR
409 PENDING_VERIFICATION_EXISTS
422 FILE_INVALID</t>
        </is>
      </c>
      <c r="O9" s="0" t="inlineStr">
        <is>
          <t xml:space="preserve"/>
        </is>
      </c>
      <c r="P9" s="0" t="inlineStr">
        <is>
          <t xml:space="preserve">Chưa làm</t>
        </is>
      </c>
      <c r="Q9" s="0" t="inlineStr">
        <is>
          <t xml:space="preserve">Chưa</t>
        </is>
      </c>
      <c r="R9" s="0" t="inlineStr">
        <is>
          <t xml:space="preserve">Chưa</t>
        </is>
      </c>
      <c r="S9" s="0" t="inlineStr">
        <is>
          <t xml:space="preserve">Chưa</t>
        </is>
      </c>
      <c r="T9" s="0" t="inlineStr">
        <is>
          <t xml:space="preserve">Chưa</t>
        </is>
      </c>
      <c r="U9" s="0" t="inlineStr">
        <is>
          <t xml:space="preserve">Chưa</t>
        </is>
      </c>
      <c r="V9" s="0" t="inlineStr">
        <is>
          <t xml:space="preserve">Chưa</t>
        </is>
      </c>
      <c r="W9" s="0" t="inlineStr">
        <is>
          <t xml:space="preserve">Chưa</t>
        </is>
      </c>
      <c r="X9" s="0" t="inlineStr">
        <is>
          <t xml:space="preserve">Chưa</t>
        </is>
      </c>
      <c r="Y9" s="3">
        <f>COUNTIF(Q9:X9,"Xong")/8</f>
        <v>0</v>
      </c>
      <c r="Z9" s="4" t="inlineStr">
        <is>
          <t xml:space="preserve"/>
        </is>
      </c>
      <c r="AA9" s="4" t="inlineStr">
        <is>
          <t xml:space="preserve"/>
        </is>
      </c>
      <c r="AB9" s="4" t="inlineStr">
        <is>
          <t xml:space="preserve"/>
        </is>
      </c>
      <c r="AC9" s="0" t="inlineStr">
        <is>
          <t xml:space="preserve"/>
        </is>
      </c>
      <c r="AD9" s="0" t="inlineStr">
        <is>
          <t xml:space="preserve">Happy path: Rút hồ sơ danh tính đang chờ; kiểm tra IdentityVerification {id,status:WITHDRAWN}.
Thiếu phiên/phiên revoked/actor LOCKED và actor khác chủ hoặc khác participant phải bị chặn.
Ràng buộc: Mỗi người chỉ có một hồ sơ xác minh cùng loại đang PENDING; quyết định duyệt/từ chối lưu người và thời điểm.
Gửi lặp cùng khóa trả kết quả cũ; cùng khóa khác payload trả 409; hai request tranh cùng tài nguyên không vượt hạn mức.
Kiểm tra lỗi DB/provider không để lại cập nhật dở hoặc trả thành công giả.</t>
        </is>
      </c>
      <c r="AE9" s="0" t="inlineStr">
        <is>
          <t xml:space="preserve"/>
        </is>
      </c>
      <c r="AF9" s="5" t="inlineStr">
        <is>
          <t xml:space="preserve">Mở đặc tả</t>
        </is>
      </c>
    </row>
    <row r="10" ht="70" customHeight="1">
      <c r="A10" s="2" t="inlineStr">
        <is>
          <t xml:space="preserve">API-009</t>
        </is>
      </c>
      <c r="B10" s="2" t="inlineStr">
        <is>
          <t xml:space="preserve">Tài khoản &amp; xác minh</t>
        </is>
      </c>
      <c r="C10" s="2" t="inlineStr">
        <is>
          <t xml:space="preserve">identity</t>
        </is>
      </c>
      <c r="D10" s="2" t="inlineStr">
        <is>
          <t xml:space="preserve">POST</t>
        </is>
      </c>
      <c r="E10" s="2" t="inlineStr">
        <is>
          <t xml:space="preserve">/api/v1/me/landlord-verifications</t>
        </is>
      </c>
      <c r="F10" s="2" t="inlineStr">
        <is>
          <t xml:space="preserve">Xin cấp vai trò chủ trọ</t>
        </is>
      </c>
      <c r="G10" s="2" t="inlineStr">
        <is>
          <t xml:space="preserve">USER: tài khoản ACTIVE; chỉ dữ liệu của mình</t>
        </is>
      </c>
      <c r="H10" s="2" t="inlineStr">
        <is>
          <t xml:space="preserve">P0</t>
        </is>
      </c>
      <c r="I10" s="2" t="inlineStr">
        <is>
          <t xml:space="preserve">Middleware auth/session/role + object scope
D09: idempotency store nếu chưa có khóa tự nhiên</t>
        </is>
      </c>
      <c r="J10" s="2" t="inlineStr">
        <is>
          <t xml:space="preserve">SERVICE: cần triển khai giao dịch backend</t>
        </is>
      </c>
      <c r="K10" s="2" t="inlineStr">
        <is>
          <t xml:space="preserve">identityNumber: string (bắt buộc) — 1–30 ký tự, xử lý như dữ liệu riêng tư.
identityFileId: id (bắt buộc) — Tệp IDENTITY PRIVATE ACTIVE thuộc người nộp.</t>
        </is>
      </c>
      <c r="L10" s="2" t="inlineStr">
        <is>
          <t xml:space="preserve">LandlordVerification {id,status:PENDING}</t>
        </is>
      </c>
      <c r="M10" s="2" t="inlineStr">
        <is>
          <t xml:space="preserve">applicant_user_id lấy từ phiên. Chỉ một PENDING; tệp IDENTITY PRIVATE thuộc mình. Duyệt tài khoản không tự xác minh nhà.</t>
        </is>
      </c>
      <c r="N10" s="2" t="inlineStr">
        <is>
          <t xml:space="preserve">400 BAD_REQUEST
401 UNAUTHENTICATED
403 FORBIDDEN
404 RESOURCE_NOT_FOUND
409 STATE_CONFLICT
409 IDEMPOTENCY_KEY_REUSED
422 VALIDATION_ERROR
409 PENDING_VERIFICATION_EXISTS
422 FILE_INVALID</t>
        </is>
      </c>
      <c r="O10" s="2" t="inlineStr">
        <is>
          <t xml:space="preserve"/>
        </is>
      </c>
      <c r="P10" s="2" t="inlineStr">
        <is>
          <t xml:space="preserve">Chưa làm</t>
        </is>
      </c>
      <c r="Q10" s="2" t="inlineStr">
        <is>
          <t xml:space="preserve">Chưa</t>
        </is>
      </c>
      <c r="R10" s="2" t="inlineStr">
        <is>
          <t xml:space="preserve">Chưa</t>
        </is>
      </c>
      <c r="S10" s="2" t="inlineStr">
        <is>
          <t xml:space="preserve">Chưa</t>
        </is>
      </c>
      <c r="T10" s="2" t="inlineStr">
        <is>
          <t xml:space="preserve">Chưa</t>
        </is>
      </c>
      <c r="U10" s="2" t="inlineStr">
        <is>
          <t xml:space="preserve">Chưa</t>
        </is>
      </c>
      <c r="V10" s="2" t="inlineStr">
        <is>
          <t xml:space="preserve">Chưa</t>
        </is>
      </c>
      <c r="W10" s="2" t="inlineStr">
        <is>
          <t xml:space="preserve">Chưa</t>
        </is>
      </c>
      <c r="X10" s="2" t="inlineStr">
        <is>
          <t xml:space="preserve">Chưa</t>
        </is>
      </c>
      <c r="Y10" s="3">
        <f>COUNTIF(Q10:X10,"Xong")/8</f>
        <v>0</v>
      </c>
      <c r="Z10" s="4" t="inlineStr">
        <is>
          <t xml:space="preserve"/>
        </is>
      </c>
      <c r="AA10" s="4" t="inlineStr">
        <is>
          <t xml:space="preserve"/>
        </is>
      </c>
      <c r="AB10" s="4" t="inlineStr">
        <is>
          <t xml:space="preserve"/>
        </is>
      </c>
      <c r="AC10" s="2" t="inlineStr">
        <is>
          <t xml:space="preserve"/>
        </is>
      </c>
      <c r="AD10" s="2" t="inlineStr">
        <is>
          <t xml:space="preserve">Happy path: Xin cấp vai trò chủ trọ; kiểm tra LandlordVerification {id,status:PENDING}.
Thiếu phiên/phiên revoked/actor LOCKED và actor khác chủ hoặc khác participant phải bị chặn.
Ràng buộc: Mỗi người chỉ có một hồ sơ xác minh cùng loại đang PENDING; quyết định duyệt/từ chối lưu người và thời điểm.
Gửi lặp cùng khóa trả kết quả cũ; cùng khóa khác payload trả 409; hai request tranh cùng tài nguyên không vượt hạn mức.
Kiểm tra lỗi DB/provider không để lại cập nhật dở hoặc trả thành công giả.</t>
        </is>
      </c>
      <c r="AE10" s="2" t="inlineStr">
        <is>
          <t xml:space="preserve"/>
        </is>
      </c>
      <c r="AF10" s="5" t="inlineStr">
        <is>
          <t xml:space="preserve">Mở đặc tả</t>
        </is>
      </c>
    </row>
    <row r="11" ht="70" customHeight="1">
      <c r="A11" s="0" t="inlineStr">
        <is>
          <t xml:space="preserve">API-010</t>
        </is>
      </c>
      <c r="B11" s="0" t="inlineStr">
        <is>
          <t xml:space="preserve">Tài khoản &amp; xác minh</t>
        </is>
      </c>
      <c r="C11" s="0" t="inlineStr">
        <is>
          <t xml:space="preserve">identity</t>
        </is>
      </c>
      <c r="D11" s="0" t="inlineStr">
        <is>
          <t xml:space="preserve">GET</t>
        </is>
      </c>
      <c r="E11" s="0" t="inlineStr">
        <is>
          <t xml:space="preserve">/api/v1/me/landlord-verifications</t>
        </is>
      </c>
      <c r="F11" s="0" t="inlineStr">
        <is>
          <t xml:space="preserve">Lịch sử hồ sơ xin làm chủ trọ</t>
        </is>
      </c>
      <c r="G11" s="0" t="inlineStr">
        <is>
          <t xml:space="preserve">USER: tài khoản ACTIVE; chỉ dữ liệu của mình</t>
        </is>
      </c>
      <c r="H11" s="0" t="inlineStr">
        <is>
          <t xml:space="preserve">P0</t>
        </is>
      </c>
      <c r="I11" s="0" t="inlineStr">
        <is>
          <t xml:space="preserve">Middleware auth/session/role + object scope</t>
        </is>
      </c>
      <c r="J11" s="0" t="inlineStr">
        <is>
          <t xml:space="preserve">READ: truy vấn có scope quyền</t>
        </is>
      </c>
      <c r="K11" s="0" t="inlineStr">
        <is>
          <t xml:space="preserve">Không có JSON body</t>
        </is>
      </c>
      <c r="L11" s="0" t="inlineStr">
        <is>
          <t xml:space="preserve">LandlordVerification[]</t>
        </is>
      </c>
      <c r="M11" s="0" t="inlineStr">
        <is>
          <t xml:space="preserve">Chỉ hồ sơ applicant_user_id của mình.</t>
        </is>
      </c>
      <c r="N11" s="0" t="inlineStr">
        <is>
          <t xml:space="preserve">400 BAD_REQUEST
401 UNAUTHENTICATED
403 FORBIDDEN
404 RESOURCE_NOT_FOUND
422 VALIDATION_ERROR</t>
        </is>
      </c>
      <c r="O11" s="0" t="inlineStr">
        <is>
          <t xml:space="preserve"/>
        </is>
      </c>
      <c r="P11" s="0" t="inlineStr">
        <is>
          <t xml:space="preserve">Chưa làm</t>
        </is>
      </c>
      <c r="Q11" s="0" t="inlineStr">
        <is>
          <t xml:space="preserve">Chưa</t>
        </is>
      </c>
      <c r="R11" s="0" t="inlineStr">
        <is>
          <t xml:space="preserve">Chưa</t>
        </is>
      </c>
      <c r="S11" s="0" t="inlineStr">
        <is>
          <t xml:space="preserve">Chưa</t>
        </is>
      </c>
      <c r="T11" s="0" t="inlineStr">
        <is>
          <t xml:space="preserve">Chưa</t>
        </is>
      </c>
      <c r="U11" s="0" t="inlineStr">
        <is>
          <t xml:space="preserve">Chưa</t>
        </is>
      </c>
      <c r="V11" s="0" t="inlineStr">
        <is>
          <t xml:space="preserve">Chưa</t>
        </is>
      </c>
      <c r="W11" s="0" t="inlineStr">
        <is>
          <t xml:space="preserve">Chưa</t>
        </is>
      </c>
      <c r="X11" s="0" t="inlineStr">
        <is>
          <t xml:space="preserve">Chưa</t>
        </is>
      </c>
      <c r="Y11" s="3">
        <f>COUNTIF(Q11:X11,"Xong")/8</f>
        <v>0</v>
      </c>
      <c r="Z11" s="4" t="inlineStr">
        <is>
          <t xml:space="preserve"/>
        </is>
      </c>
      <c r="AA11" s="4" t="inlineStr">
        <is>
          <t xml:space="preserve"/>
        </is>
      </c>
      <c r="AB11" s="4" t="inlineStr">
        <is>
          <t xml:space="preserve"/>
        </is>
      </c>
      <c r="AC11" s="0" t="inlineStr">
        <is>
          <t xml:space="preserve"/>
        </is>
      </c>
      <c r="AD11" s="0" t="inlineStr">
        <is>
          <t xml:space="preserve">Happy path: Lịch sử hồ sơ xin làm chủ trọ; kiểm tra LandlordVerification[].
Thiếu phiên/phiên revoked/actor LOCKED và actor khác chủ hoặc khác participant phải bị chặn.
Ràng buộc: Mỗi người chỉ có một hồ sơ xác minh cùng loại đang PENDING; quyết định duyệt/từ chối lưu người và thời điểm.
Phân trang/lọc đúng scope; dữ liệu riêng tư bị loại trên server, không chỉ ẩn UI.
Kiểm tra lỗi DB/provider không để lại cập nhật dở hoặc trả thành công giả.</t>
        </is>
      </c>
      <c r="AE11" s="0" t="inlineStr">
        <is>
          <t xml:space="preserve"/>
        </is>
      </c>
      <c r="AF11" s="5" t="inlineStr">
        <is>
          <t xml:space="preserve">Mở đặc tả</t>
        </is>
      </c>
    </row>
    <row r="12" ht="70" customHeight="1">
      <c r="A12" s="2" t="inlineStr">
        <is>
          <t xml:space="preserve">API-011</t>
        </is>
      </c>
      <c r="B12" s="2" t="inlineStr">
        <is>
          <t xml:space="preserve">Tài khoản &amp; xác minh</t>
        </is>
      </c>
      <c r="C12" s="2" t="inlineStr">
        <is>
          <t xml:space="preserve">identity</t>
        </is>
      </c>
      <c r="D12" s="2" t="inlineStr">
        <is>
          <t xml:space="preserve">POST</t>
        </is>
      </c>
      <c r="E12" s="2" t="inlineStr">
        <is>
          <t xml:space="preserve">/api/v1/me/landlord-verifications/{verificationId}/withdraw</t>
        </is>
      </c>
      <c r="F12" s="2" t="inlineStr">
        <is>
          <t xml:space="preserve">Rút hồ sơ chủ trọ đang chờ</t>
        </is>
      </c>
      <c r="G12" s="2" t="inlineStr">
        <is>
          <t xml:space="preserve">USER: tài khoản ACTIVE; chỉ dữ liệu của mình</t>
        </is>
      </c>
      <c r="H12" s="2" t="inlineStr">
        <is>
          <t xml:space="preserve">P0</t>
        </is>
      </c>
      <c r="I12" s="2" t="inlineStr">
        <is>
          <t xml:space="preserve">Middleware auth/session/role + object scope
D09: idempotency store nếu chưa có khóa tự nhiên</t>
        </is>
      </c>
      <c r="J12" s="2" t="inlineStr">
        <is>
          <t xml:space="preserve">SERVICE: cần triển khai giao dịch backend</t>
        </is>
      </c>
      <c r="K12" s="2" t="inlineStr">
        <is>
          <t xml:space="preserve">Không có JSON body</t>
        </is>
      </c>
      <c r="L12" s="2" t="inlineStr">
        <is>
          <t xml:space="preserve">LandlordVerification {id,status:WITHDRAWN}</t>
        </is>
      </c>
      <c r="M12" s="2" t="inlineStr">
        <is>
          <t xml:space="preserve">Chỉ applicant và hồ sơ PENDING; không thu hồi vai trò đã có.</t>
        </is>
      </c>
      <c r="N12" s="2" t="inlineStr">
        <is>
          <t xml:space="preserve">400 BAD_REQUEST
401 UNAUTHENTICATED
403 FORBIDDEN
404 RESOURCE_NOT_FOUND
409 STATE_CONFLICT
409 IDEMPOTENCY_KEY_REUSED
422 VALIDATION_ERROR
409 PENDING_VERIFICATION_EXISTS
422 FILE_INVALID</t>
        </is>
      </c>
      <c r="O12" s="2" t="inlineStr">
        <is>
          <t xml:space="preserve"/>
        </is>
      </c>
      <c r="P12" s="2" t="inlineStr">
        <is>
          <t xml:space="preserve">Chưa làm</t>
        </is>
      </c>
      <c r="Q12" s="2" t="inlineStr">
        <is>
          <t xml:space="preserve">Chưa</t>
        </is>
      </c>
      <c r="R12" s="2" t="inlineStr">
        <is>
          <t xml:space="preserve">Chưa</t>
        </is>
      </c>
      <c r="S12" s="2" t="inlineStr">
        <is>
          <t xml:space="preserve">Chưa</t>
        </is>
      </c>
      <c r="T12" s="2" t="inlineStr">
        <is>
          <t xml:space="preserve">Chưa</t>
        </is>
      </c>
      <c r="U12" s="2" t="inlineStr">
        <is>
          <t xml:space="preserve">Chưa</t>
        </is>
      </c>
      <c r="V12" s="2" t="inlineStr">
        <is>
          <t xml:space="preserve">Chưa</t>
        </is>
      </c>
      <c r="W12" s="2" t="inlineStr">
        <is>
          <t xml:space="preserve">Chưa</t>
        </is>
      </c>
      <c r="X12" s="2" t="inlineStr">
        <is>
          <t xml:space="preserve">Chưa</t>
        </is>
      </c>
      <c r="Y12" s="3">
        <f>COUNTIF(Q12:X12,"Xong")/8</f>
        <v>0</v>
      </c>
      <c r="Z12" s="4" t="inlineStr">
        <is>
          <t xml:space="preserve"/>
        </is>
      </c>
      <c r="AA12" s="4" t="inlineStr">
        <is>
          <t xml:space="preserve"/>
        </is>
      </c>
      <c r="AB12" s="4" t="inlineStr">
        <is>
          <t xml:space="preserve"/>
        </is>
      </c>
      <c r="AC12" s="2" t="inlineStr">
        <is>
          <t xml:space="preserve"/>
        </is>
      </c>
      <c r="AD12" s="2" t="inlineStr">
        <is>
          <t xml:space="preserve">Happy path: Rút hồ sơ chủ trọ đang chờ; kiểm tra LandlordVerification {id,status:WITHDRAWN}.
Thiếu phiên/phiên revoked/actor LOCKED và actor khác chủ hoặc khác participant phải bị chặn.
Ràng buộc: Mỗi người chỉ có một hồ sơ xác minh cùng loại đang PENDING; quyết định duyệt/từ chối lưu người và thời điểm.
Gửi lặp cùng khóa trả kết quả cũ; cùng khóa khác payload trả 409; hai request tranh cùng tài nguyên không vượt hạn mức.
Kiểm tra lỗi DB/provider không để lại cập nhật dở hoặc trả thành công giả.</t>
        </is>
      </c>
      <c r="AE12" s="2" t="inlineStr">
        <is>
          <t xml:space="preserve"/>
        </is>
      </c>
      <c r="AF12" s="5" t="inlineStr">
        <is>
          <t xml:space="preserve">Mở đặc tả</t>
        </is>
      </c>
    </row>
    <row r="13" ht="70" customHeight="1">
      <c r="A13" s="0" t="inlineStr">
        <is>
          <t xml:space="preserve">API-012</t>
        </is>
      </c>
      <c r="B13" s="0" t="inlineStr">
        <is>
          <t xml:space="preserve">Tài khoản &amp; xác minh</t>
        </is>
      </c>
      <c r="C13" s="0" t="inlineStr">
        <is>
          <t xml:space="preserve">identity</t>
        </is>
      </c>
      <c r="D13" s="0" t="inlineStr">
        <is>
          <t xml:space="preserve">GET</t>
        </is>
      </c>
      <c r="E13" s="0" t="inlineStr">
        <is>
          <t xml:space="preserve">/api/v1/admin/identity-verifications</t>
        </is>
      </c>
      <c r="F13" s="0" t="inlineStr">
        <is>
          <t xml:space="preserve">Danh sách hồ sơ identity</t>
        </is>
      </c>
      <c r="G13" s="0" t="inlineStr">
        <is>
          <t xml:space="preserve">ADMIN: tài khoản ACTIVE có dòng admins</t>
        </is>
      </c>
      <c r="H13" s="0" t="inlineStr">
        <is>
          <t xml:space="preserve">P0</t>
        </is>
      </c>
      <c r="I13" s="0" t="inlineStr">
        <is>
          <t xml:space="preserve">Middleware auth/session/role + object scope</t>
        </is>
      </c>
      <c r="J13" s="0" t="inlineStr">
        <is>
          <t xml:space="preserve">READ: truy vấn có scope quyền</t>
        </is>
      </c>
      <c r="K13" s="0" t="inlineStr">
        <is>
          <t xml:space="preserve">Không có JSON body</t>
        </is>
      </c>
      <c r="L13" s="0" t="inlineStr">
        <is>
          <t xml:space="preserve">Verification[]; status,applicant,submittedAt</t>
        </is>
      </c>
      <c r="M13" s="0" t="inlineStr">
        <is>
          <t xml:space="preserve">Lọc status/ngày; không nhúng bytes giấy tờ vào danh sách.</t>
        </is>
      </c>
      <c r="N13" s="0" t="inlineStr">
        <is>
          <t xml:space="preserve">400 BAD_REQUEST
401 UNAUTHENTICATED
403 FORBIDDEN
404 RESOURCE_NOT_FOUND
422 VALIDATION_ERROR</t>
        </is>
      </c>
      <c r="O13" s="0" t="inlineStr">
        <is>
          <t xml:space="preserve"/>
        </is>
      </c>
      <c r="P13" s="0" t="inlineStr">
        <is>
          <t xml:space="preserve">Chưa làm</t>
        </is>
      </c>
      <c r="Q13" s="0" t="inlineStr">
        <is>
          <t xml:space="preserve">Chưa</t>
        </is>
      </c>
      <c r="R13" s="0" t="inlineStr">
        <is>
          <t xml:space="preserve">Chưa</t>
        </is>
      </c>
      <c r="S13" s="0" t="inlineStr">
        <is>
          <t xml:space="preserve">Chưa</t>
        </is>
      </c>
      <c r="T13" s="0" t="inlineStr">
        <is>
          <t xml:space="preserve">Chưa</t>
        </is>
      </c>
      <c r="U13" s="0" t="inlineStr">
        <is>
          <t xml:space="preserve">Chưa</t>
        </is>
      </c>
      <c r="V13" s="0" t="inlineStr">
        <is>
          <t xml:space="preserve">Chưa</t>
        </is>
      </c>
      <c r="W13" s="0" t="inlineStr">
        <is>
          <t xml:space="preserve">Chưa</t>
        </is>
      </c>
      <c r="X13" s="0" t="inlineStr">
        <is>
          <t xml:space="preserve">Chưa</t>
        </is>
      </c>
      <c r="Y13" s="3">
        <f>COUNTIF(Q13:X13,"Xong")/8</f>
        <v>0</v>
      </c>
      <c r="Z13" s="4" t="inlineStr">
        <is>
          <t xml:space="preserve"/>
        </is>
      </c>
      <c r="AA13" s="4" t="inlineStr">
        <is>
          <t xml:space="preserve"/>
        </is>
      </c>
      <c r="AB13" s="4" t="inlineStr">
        <is>
          <t xml:space="preserve"/>
        </is>
      </c>
      <c r="AC13" s="0" t="inlineStr">
        <is>
          <t xml:space="preserve"/>
        </is>
      </c>
      <c r="AD13" s="0" t="inlineStr">
        <is>
          <t xml:space="preserve">Happy path: Danh sách hồ sơ identity; kiểm tra Verification[]; status,applicant,submittedAt.
Thiếu phiên/phiên revoked/actor LOCKED và actor khác chủ hoặc khác participant phải bị chặn.
Ràng buộc: Mỗi người chỉ có một hồ sơ xác minh cùng loại đang PENDING; quyết định duyệt/từ chối lưu người và thời điểm.
Phân trang/lọc đúng scope; dữ liệu riêng tư bị loại trên server, không chỉ ẩn UI.
Kiểm tra lỗi DB/provider không để lại cập nhật dở hoặc trả thành công giả.</t>
        </is>
      </c>
      <c r="AE13" s="0" t="inlineStr">
        <is>
          <t xml:space="preserve"/>
        </is>
      </c>
      <c r="AF13" s="5" t="inlineStr">
        <is>
          <t xml:space="preserve">Mở đặc tả</t>
        </is>
      </c>
    </row>
    <row r="14" ht="70" customHeight="1">
      <c r="A14" s="2" t="inlineStr">
        <is>
          <t xml:space="preserve">API-013</t>
        </is>
      </c>
      <c r="B14" s="2" t="inlineStr">
        <is>
          <t xml:space="preserve">Tài khoản &amp; xác minh</t>
        </is>
      </c>
      <c r="C14" s="2" t="inlineStr">
        <is>
          <t xml:space="preserve">identity</t>
        </is>
      </c>
      <c r="D14" s="2" t="inlineStr">
        <is>
          <t xml:space="preserve">GET</t>
        </is>
      </c>
      <c r="E14" s="2" t="inlineStr">
        <is>
          <t xml:space="preserve">/api/v1/admin/identity-verifications/{verificationId}</t>
        </is>
      </c>
      <c r="F14" s="2" t="inlineStr">
        <is>
          <t xml:space="preserve">Chi tiết hồ sơ identity</t>
        </is>
      </c>
      <c r="G14" s="2" t="inlineStr">
        <is>
          <t xml:space="preserve">ADMIN: tài khoản ACTIVE có dòng admins</t>
        </is>
      </c>
      <c r="H14" s="2" t="inlineStr">
        <is>
          <t xml:space="preserve">P0</t>
        </is>
      </c>
      <c r="I14" s="2" t="inlineStr">
        <is>
          <t xml:space="preserve">Middleware auth/session/role + object scope</t>
        </is>
      </c>
      <c r="J14" s="2" t="inlineStr">
        <is>
          <t xml:space="preserve">READ: truy vấn có scope quyền</t>
        </is>
      </c>
      <c r="K14" s="2" t="inlineStr">
        <is>
          <t xml:space="preserve">Không có JSON body</t>
        </is>
      </c>
      <c r="L14" s="2" t="inlineStr">
        <is>
          <t xml:space="preserve">Verification và danh sách fileId có quyền mở</t>
        </is>
      </c>
      <c r="M14" s="2" t="inlineStr">
        <is>
          <t xml:space="preserve">Đọc đủ chứng cứ hiện hành; ghi truy vết việc truy cập tài liệu nhạy cảm.</t>
        </is>
      </c>
      <c r="N14" s="2" t="inlineStr">
        <is>
          <t xml:space="preserve">400 BAD_REQUEST
401 UNAUTHENTICATED
403 FORBIDDEN
404 RESOURCE_NOT_FOUND</t>
        </is>
      </c>
      <c r="O14" s="2" t="inlineStr">
        <is>
          <t xml:space="preserve"/>
        </is>
      </c>
      <c r="P14" s="2" t="inlineStr">
        <is>
          <t xml:space="preserve">Chưa làm</t>
        </is>
      </c>
      <c r="Q14" s="2" t="inlineStr">
        <is>
          <t xml:space="preserve">Chưa</t>
        </is>
      </c>
      <c r="R14" s="2" t="inlineStr">
        <is>
          <t xml:space="preserve">Chưa</t>
        </is>
      </c>
      <c r="S14" s="2" t="inlineStr">
        <is>
          <t xml:space="preserve">Chưa</t>
        </is>
      </c>
      <c r="T14" s="2" t="inlineStr">
        <is>
          <t xml:space="preserve">Chưa</t>
        </is>
      </c>
      <c r="U14" s="2" t="inlineStr">
        <is>
          <t xml:space="preserve">Chưa</t>
        </is>
      </c>
      <c r="V14" s="2" t="inlineStr">
        <is>
          <t xml:space="preserve">Chưa</t>
        </is>
      </c>
      <c r="W14" s="2" t="inlineStr">
        <is>
          <t xml:space="preserve">Chưa</t>
        </is>
      </c>
      <c r="X14" s="2" t="inlineStr">
        <is>
          <t xml:space="preserve">Chưa</t>
        </is>
      </c>
      <c r="Y14" s="3">
        <f>COUNTIF(Q14:X14,"Xong")/8</f>
        <v>0</v>
      </c>
      <c r="Z14" s="4" t="inlineStr">
        <is>
          <t xml:space="preserve"/>
        </is>
      </c>
      <c r="AA14" s="4" t="inlineStr">
        <is>
          <t xml:space="preserve"/>
        </is>
      </c>
      <c r="AB14" s="4" t="inlineStr">
        <is>
          <t xml:space="preserve"/>
        </is>
      </c>
      <c r="AC14" s="2" t="inlineStr">
        <is>
          <t xml:space="preserve"/>
        </is>
      </c>
      <c r="AD14" s="2" t="inlineStr">
        <is>
          <t xml:space="preserve">Happy path: Chi tiết hồ sơ identity; kiểm tra Verification và danh sách fileId có quyền mở.
Thiếu phiên/phiên revoked/actor LOCKED và actor khác chủ hoặc khác participant phải bị chặn.
Ràng buộc: Mỗi người chỉ có một hồ sơ xác minh cùng loại đang PENDING; quyết định duyệt/từ chối lưu người và thời điểm.
Phân trang/lọc đúng scope; dữ liệu riêng tư bị loại trên server, không chỉ ẩn UI.
Kiểm tra lỗi DB/provider không để lại cập nhật dở hoặc trả thành công giả.</t>
        </is>
      </c>
      <c r="AE14" s="2" t="inlineStr">
        <is>
          <t xml:space="preserve"/>
        </is>
      </c>
      <c r="AF14" s="5" t="inlineStr">
        <is>
          <t xml:space="preserve">Mở đặc tả</t>
        </is>
      </c>
    </row>
    <row r="15" ht="70" customHeight="1">
      <c r="A15" s="0" t="inlineStr">
        <is>
          <t xml:space="preserve">API-014</t>
        </is>
      </c>
      <c r="B15" s="0" t="inlineStr">
        <is>
          <t xml:space="preserve">Tài khoản &amp; xác minh</t>
        </is>
      </c>
      <c r="C15" s="0" t="inlineStr">
        <is>
          <t xml:space="preserve">identity</t>
        </is>
      </c>
      <c r="D15" s="0" t="inlineStr">
        <is>
          <t xml:space="preserve">POST</t>
        </is>
      </c>
      <c r="E15" s="0" t="inlineStr">
        <is>
          <t xml:space="preserve">/api/v1/admin/identity-verifications/{verificationId}/decision</t>
        </is>
      </c>
      <c r="F15" s="0" t="inlineStr">
        <is>
          <t xml:space="preserve">Duyệt hoặc từ chối hồ sơ identity</t>
        </is>
      </c>
      <c r="G15" s="0" t="inlineStr">
        <is>
          <t xml:space="preserve">ADMIN: tài khoản ACTIVE có dòng admins</t>
        </is>
      </c>
      <c r="H15" s="0" t="inlineStr">
        <is>
          <t xml:space="preserve">P0</t>
        </is>
      </c>
      <c r="I15" s="0" t="inlineStr">
        <is>
          <t xml:space="preserve">Middleware auth/session/role + object scope
D09: idempotency store nếu chưa có khóa tự nhiên</t>
        </is>
      </c>
      <c r="J15" s="0" t="inlineStr">
        <is>
          <t xml:space="preserve">SERVICE: cần triển khai giao dịch backend</t>
        </is>
      </c>
      <c r="K15" s="0" t="inlineStr">
        <is>
          <t xml:space="preserve">decision: enum (bắt buộc) — APPROVE hoặc REJECT.
reason: string (tùy chọn) — Bắt buộc khi REJECT; tối đa 1.000 ký tự.</t>
        </is>
      </c>
      <c r="L15" s="0" t="inlineStr">
        <is>
          <t xml:space="preserve">Verification sau quyết định</t>
        </is>
      </c>
      <c r="M15" s="0" t="inlineStr">
        <is>
          <t xml:space="preserve">Khóa PENDING; REJECT cần reason; APPROVE hồ sơ landlord tạo dòng landlords trong cùng transaction. Ghi reviewer/time + moderation_actions; không duyệt quyền nhà.</t>
        </is>
      </c>
      <c r="N15" s="0" t="inlineStr">
        <is>
          <t xml:space="preserve">400 BAD_REQUEST
401 UNAUTHENTICATED
403 FORBIDDEN
404 RESOURCE_NOT_FOUND
409 STATE_CONFLICT
409 IDEMPOTENCY_KEY_REUSED
422 VALIDATION_ERROR
409 PENDING_VERIFICATION_EXISTS
422 FILE_INVALID</t>
        </is>
      </c>
      <c r="O15" s="0" t="inlineStr">
        <is>
          <t xml:space="preserve"/>
        </is>
      </c>
      <c r="P15" s="0" t="inlineStr">
        <is>
          <t xml:space="preserve">Chưa làm</t>
        </is>
      </c>
      <c r="Q15" s="0" t="inlineStr">
        <is>
          <t xml:space="preserve">Chưa</t>
        </is>
      </c>
      <c r="R15" s="0" t="inlineStr">
        <is>
          <t xml:space="preserve">Chưa</t>
        </is>
      </c>
      <c r="S15" s="0" t="inlineStr">
        <is>
          <t xml:space="preserve">Chưa</t>
        </is>
      </c>
      <c r="T15" s="0" t="inlineStr">
        <is>
          <t xml:space="preserve">Chưa</t>
        </is>
      </c>
      <c r="U15" s="0" t="inlineStr">
        <is>
          <t xml:space="preserve">Chưa</t>
        </is>
      </c>
      <c r="V15" s="0" t="inlineStr">
        <is>
          <t xml:space="preserve">Chưa</t>
        </is>
      </c>
      <c r="W15" s="0" t="inlineStr">
        <is>
          <t xml:space="preserve">Chưa</t>
        </is>
      </c>
      <c r="X15" s="0" t="inlineStr">
        <is>
          <t xml:space="preserve">Chưa</t>
        </is>
      </c>
      <c r="Y15" s="3">
        <f>COUNTIF(Q15:X15,"Xong")/8</f>
        <v>0</v>
      </c>
      <c r="Z15" s="4" t="inlineStr">
        <is>
          <t xml:space="preserve"/>
        </is>
      </c>
      <c r="AA15" s="4" t="inlineStr">
        <is>
          <t xml:space="preserve"/>
        </is>
      </c>
      <c r="AB15" s="4" t="inlineStr">
        <is>
          <t xml:space="preserve"/>
        </is>
      </c>
      <c r="AC15" s="0" t="inlineStr">
        <is>
          <t xml:space="preserve"/>
        </is>
      </c>
      <c r="AD15" s="0" t="inlineStr">
        <is>
          <t xml:space="preserve">Happy path: Duyệt hoặc từ chối hồ sơ identity; kiểm tra Verification sau quyết định.
Thiếu phiên/phiên revoked/actor LOCKED và actor khác chủ hoặc khác participant phải bị chặn.
Ràng buộc: Mỗi người chỉ có một hồ sơ xác minh cùng loại đang PENDING; quyết định duyệt/từ chối lưu người và thời điểm.
Gửi lặp cùng khóa trả kết quả cũ; cùng khóa khác payload trả 409; hai request tranh cùng tài nguyên không vượt hạn mức.
Kiểm tra lỗi DB/provider không để lại cập nhật dở hoặc trả thành công giả.</t>
        </is>
      </c>
      <c r="AE15" s="0" t="inlineStr">
        <is>
          <t xml:space="preserve"/>
        </is>
      </c>
      <c r="AF15" s="5" t="inlineStr">
        <is>
          <t xml:space="preserve">Mở đặc tả</t>
        </is>
      </c>
    </row>
    <row r="16" ht="70" customHeight="1">
      <c r="A16" s="2" t="inlineStr">
        <is>
          <t xml:space="preserve">API-015</t>
        </is>
      </c>
      <c r="B16" s="2" t="inlineStr">
        <is>
          <t xml:space="preserve">Tài khoản &amp; xác minh</t>
        </is>
      </c>
      <c r="C16" s="2" t="inlineStr">
        <is>
          <t xml:space="preserve">identity</t>
        </is>
      </c>
      <c r="D16" s="2" t="inlineStr">
        <is>
          <t xml:space="preserve">GET</t>
        </is>
      </c>
      <c r="E16" s="2" t="inlineStr">
        <is>
          <t xml:space="preserve">/api/v1/admin/landlord-verifications</t>
        </is>
      </c>
      <c r="F16" s="2" t="inlineStr">
        <is>
          <t xml:space="preserve">Danh sách hồ sơ landlord</t>
        </is>
      </c>
      <c r="G16" s="2" t="inlineStr">
        <is>
          <t xml:space="preserve">ADMIN: tài khoản ACTIVE có dòng admins</t>
        </is>
      </c>
      <c r="H16" s="2" t="inlineStr">
        <is>
          <t xml:space="preserve">P0</t>
        </is>
      </c>
      <c r="I16" s="2" t="inlineStr">
        <is>
          <t xml:space="preserve">Middleware auth/session/role + object scope</t>
        </is>
      </c>
      <c r="J16" s="2" t="inlineStr">
        <is>
          <t xml:space="preserve">READ: truy vấn có scope quyền</t>
        </is>
      </c>
      <c r="K16" s="2" t="inlineStr">
        <is>
          <t xml:space="preserve">Không có JSON body</t>
        </is>
      </c>
      <c r="L16" s="2" t="inlineStr">
        <is>
          <t xml:space="preserve">Verification[]; status,applicant,submittedAt</t>
        </is>
      </c>
      <c r="M16" s="2" t="inlineStr">
        <is>
          <t xml:space="preserve">Lọc status/ngày; không nhúng bytes giấy tờ vào danh sách.</t>
        </is>
      </c>
      <c r="N16" s="2" t="inlineStr">
        <is>
          <t xml:space="preserve">400 BAD_REQUEST
401 UNAUTHENTICATED
403 FORBIDDEN
404 RESOURCE_NOT_FOUND
422 VALIDATION_ERROR</t>
        </is>
      </c>
      <c r="O16" s="2" t="inlineStr">
        <is>
          <t xml:space="preserve"/>
        </is>
      </c>
      <c r="P16" s="2" t="inlineStr">
        <is>
          <t xml:space="preserve">Chưa làm</t>
        </is>
      </c>
      <c r="Q16" s="2" t="inlineStr">
        <is>
          <t xml:space="preserve">Chưa</t>
        </is>
      </c>
      <c r="R16" s="2" t="inlineStr">
        <is>
          <t xml:space="preserve">Chưa</t>
        </is>
      </c>
      <c r="S16" s="2" t="inlineStr">
        <is>
          <t xml:space="preserve">Chưa</t>
        </is>
      </c>
      <c r="T16" s="2" t="inlineStr">
        <is>
          <t xml:space="preserve">Chưa</t>
        </is>
      </c>
      <c r="U16" s="2" t="inlineStr">
        <is>
          <t xml:space="preserve">Chưa</t>
        </is>
      </c>
      <c r="V16" s="2" t="inlineStr">
        <is>
          <t xml:space="preserve">Chưa</t>
        </is>
      </c>
      <c r="W16" s="2" t="inlineStr">
        <is>
          <t xml:space="preserve">Chưa</t>
        </is>
      </c>
      <c r="X16" s="2" t="inlineStr">
        <is>
          <t xml:space="preserve">Chưa</t>
        </is>
      </c>
      <c r="Y16" s="3">
        <f>COUNTIF(Q16:X16,"Xong")/8</f>
        <v>0</v>
      </c>
      <c r="Z16" s="4" t="inlineStr">
        <is>
          <t xml:space="preserve"/>
        </is>
      </c>
      <c r="AA16" s="4" t="inlineStr">
        <is>
          <t xml:space="preserve"/>
        </is>
      </c>
      <c r="AB16" s="4" t="inlineStr">
        <is>
          <t xml:space="preserve"/>
        </is>
      </c>
      <c r="AC16" s="2" t="inlineStr">
        <is>
          <t xml:space="preserve"/>
        </is>
      </c>
      <c r="AD16" s="2" t="inlineStr">
        <is>
          <t xml:space="preserve">Happy path: Danh sách hồ sơ landlord; kiểm tra Verification[]; status,applicant,submittedAt.
Thiếu phiên/phiên revoked/actor LOCKED và actor khác chủ hoặc khác participant phải bị chặn.
Ràng buộc: Mỗi người chỉ có một hồ sơ xác minh cùng loại đang PENDING; quyết định duyệt/từ chối lưu người và thời điểm.
Phân trang/lọc đúng scope; dữ liệu riêng tư bị loại trên server, không chỉ ẩn UI.
Kiểm tra lỗi DB/provider không để lại cập nhật dở hoặc trả thành công giả.</t>
        </is>
      </c>
      <c r="AE16" s="2" t="inlineStr">
        <is>
          <t xml:space="preserve"/>
        </is>
      </c>
      <c r="AF16" s="5" t="inlineStr">
        <is>
          <t xml:space="preserve">Mở đặc tả</t>
        </is>
      </c>
    </row>
    <row r="17" ht="70" customHeight="1">
      <c r="A17" s="0" t="inlineStr">
        <is>
          <t xml:space="preserve">API-016</t>
        </is>
      </c>
      <c r="B17" s="0" t="inlineStr">
        <is>
          <t xml:space="preserve">Tài khoản &amp; xác minh</t>
        </is>
      </c>
      <c r="C17" s="0" t="inlineStr">
        <is>
          <t xml:space="preserve">identity</t>
        </is>
      </c>
      <c r="D17" s="0" t="inlineStr">
        <is>
          <t xml:space="preserve">GET</t>
        </is>
      </c>
      <c r="E17" s="0" t="inlineStr">
        <is>
          <t xml:space="preserve">/api/v1/admin/landlord-verifications/{verificationId}</t>
        </is>
      </c>
      <c r="F17" s="0" t="inlineStr">
        <is>
          <t xml:space="preserve">Chi tiết hồ sơ landlord</t>
        </is>
      </c>
      <c r="G17" s="0" t="inlineStr">
        <is>
          <t xml:space="preserve">ADMIN: tài khoản ACTIVE có dòng admins</t>
        </is>
      </c>
      <c r="H17" s="0" t="inlineStr">
        <is>
          <t xml:space="preserve">P0</t>
        </is>
      </c>
      <c r="I17" s="0" t="inlineStr">
        <is>
          <t xml:space="preserve">Middleware auth/session/role + object scope</t>
        </is>
      </c>
      <c r="J17" s="0" t="inlineStr">
        <is>
          <t xml:space="preserve">READ: truy vấn có scope quyền</t>
        </is>
      </c>
      <c r="K17" s="0" t="inlineStr">
        <is>
          <t xml:space="preserve">Không có JSON body</t>
        </is>
      </c>
      <c r="L17" s="0" t="inlineStr">
        <is>
          <t xml:space="preserve">Verification và danh sách fileId có quyền mở</t>
        </is>
      </c>
      <c r="M17" s="0" t="inlineStr">
        <is>
          <t xml:space="preserve">Đọc đủ chứng cứ hiện hành; ghi truy vết việc truy cập tài liệu nhạy cảm.</t>
        </is>
      </c>
      <c r="N17" s="0" t="inlineStr">
        <is>
          <t xml:space="preserve">400 BAD_REQUEST
401 UNAUTHENTICATED
403 FORBIDDEN
404 RESOURCE_NOT_FOUND</t>
        </is>
      </c>
      <c r="O17" s="0" t="inlineStr">
        <is>
          <t xml:space="preserve"/>
        </is>
      </c>
      <c r="P17" s="0" t="inlineStr">
        <is>
          <t xml:space="preserve">Chưa làm</t>
        </is>
      </c>
      <c r="Q17" s="0" t="inlineStr">
        <is>
          <t xml:space="preserve">Chưa</t>
        </is>
      </c>
      <c r="R17" s="0" t="inlineStr">
        <is>
          <t xml:space="preserve">Chưa</t>
        </is>
      </c>
      <c r="S17" s="0" t="inlineStr">
        <is>
          <t xml:space="preserve">Chưa</t>
        </is>
      </c>
      <c r="T17" s="0" t="inlineStr">
        <is>
          <t xml:space="preserve">Chưa</t>
        </is>
      </c>
      <c r="U17" s="0" t="inlineStr">
        <is>
          <t xml:space="preserve">Chưa</t>
        </is>
      </c>
      <c r="V17" s="0" t="inlineStr">
        <is>
          <t xml:space="preserve">Chưa</t>
        </is>
      </c>
      <c r="W17" s="0" t="inlineStr">
        <is>
          <t xml:space="preserve">Chưa</t>
        </is>
      </c>
      <c r="X17" s="0" t="inlineStr">
        <is>
          <t xml:space="preserve">Chưa</t>
        </is>
      </c>
      <c r="Y17" s="3">
        <f>COUNTIF(Q17:X17,"Xong")/8</f>
        <v>0</v>
      </c>
      <c r="Z17" s="4" t="inlineStr">
        <is>
          <t xml:space="preserve"/>
        </is>
      </c>
      <c r="AA17" s="4" t="inlineStr">
        <is>
          <t xml:space="preserve"/>
        </is>
      </c>
      <c r="AB17" s="4" t="inlineStr">
        <is>
          <t xml:space="preserve"/>
        </is>
      </c>
      <c r="AC17" s="0" t="inlineStr">
        <is>
          <t xml:space="preserve"/>
        </is>
      </c>
      <c r="AD17" s="0" t="inlineStr">
        <is>
          <t xml:space="preserve">Happy path: Chi tiết hồ sơ landlord; kiểm tra Verification và danh sách fileId có quyền mở.
Thiếu phiên/phiên revoked/actor LOCKED và actor khác chủ hoặc khác participant phải bị chặn.
Ràng buộc: Mỗi người chỉ có một hồ sơ xác minh cùng loại đang PENDING; quyết định duyệt/từ chối lưu người và thời điểm.
Phân trang/lọc đúng scope; dữ liệu riêng tư bị loại trên server, không chỉ ẩn UI.
Kiểm tra lỗi DB/provider không để lại cập nhật dở hoặc trả thành công giả.</t>
        </is>
      </c>
      <c r="AE17" s="0" t="inlineStr">
        <is>
          <t xml:space="preserve"/>
        </is>
      </c>
      <c r="AF17" s="5" t="inlineStr">
        <is>
          <t xml:space="preserve">Mở đặc tả</t>
        </is>
      </c>
    </row>
    <row r="18" ht="70" customHeight="1">
      <c r="A18" s="2" t="inlineStr">
        <is>
          <t xml:space="preserve">API-017</t>
        </is>
      </c>
      <c r="B18" s="2" t="inlineStr">
        <is>
          <t xml:space="preserve">Tài khoản &amp; xác minh</t>
        </is>
      </c>
      <c r="C18" s="2" t="inlineStr">
        <is>
          <t xml:space="preserve">identity</t>
        </is>
      </c>
      <c r="D18" s="2" t="inlineStr">
        <is>
          <t xml:space="preserve">POST</t>
        </is>
      </c>
      <c r="E18" s="2" t="inlineStr">
        <is>
          <t xml:space="preserve">/api/v1/admin/landlord-verifications/{verificationId}/decision</t>
        </is>
      </c>
      <c r="F18" s="2" t="inlineStr">
        <is>
          <t xml:space="preserve">Duyệt hoặc từ chối hồ sơ landlord</t>
        </is>
      </c>
      <c r="G18" s="2" t="inlineStr">
        <is>
          <t xml:space="preserve">ADMIN: tài khoản ACTIVE có dòng admins</t>
        </is>
      </c>
      <c r="H18" s="2" t="inlineStr">
        <is>
          <t xml:space="preserve">P0</t>
        </is>
      </c>
      <c r="I18" s="2" t="inlineStr">
        <is>
          <t xml:space="preserve">Middleware auth/session/role + object scope
D09: idempotency store nếu chưa có khóa tự nhiên</t>
        </is>
      </c>
      <c r="J18" s="2" t="inlineStr">
        <is>
          <t xml:space="preserve">SERVICE: cần triển khai giao dịch backend</t>
        </is>
      </c>
      <c r="K18" s="2" t="inlineStr">
        <is>
          <t xml:space="preserve">decision: enum (bắt buộc) — APPROVE hoặc REJECT.
reason: string (tùy chọn) — Bắt buộc khi REJECT; tối đa 1.000 ký tự.</t>
        </is>
      </c>
      <c r="L18" s="2" t="inlineStr">
        <is>
          <t xml:space="preserve">Verification sau quyết định</t>
        </is>
      </c>
      <c r="M18" s="2" t="inlineStr">
        <is>
          <t xml:space="preserve">Khóa PENDING; REJECT cần reason; APPROVE hồ sơ landlord tạo dòng landlords trong cùng transaction. Ghi reviewer/time + moderation_actions; không duyệt quyền nhà.</t>
        </is>
      </c>
      <c r="N18" s="2" t="inlineStr">
        <is>
          <t xml:space="preserve">400 BAD_REQUEST
401 UNAUTHENTICATED
403 FORBIDDEN
404 RESOURCE_NOT_FOUND
409 STATE_CONFLICT
409 IDEMPOTENCY_KEY_REUSED
422 VALIDATION_ERROR
409 PENDING_VERIFICATION_EXISTS
422 FILE_INVALID</t>
        </is>
      </c>
      <c r="O18" s="2" t="inlineStr">
        <is>
          <t xml:space="preserve"/>
        </is>
      </c>
      <c r="P18" s="2" t="inlineStr">
        <is>
          <t xml:space="preserve">Chưa làm</t>
        </is>
      </c>
      <c r="Q18" s="2" t="inlineStr">
        <is>
          <t xml:space="preserve">Chưa</t>
        </is>
      </c>
      <c r="R18" s="2" t="inlineStr">
        <is>
          <t xml:space="preserve">Chưa</t>
        </is>
      </c>
      <c r="S18" s="2" t="inlineStr">
        <is>
          <t xml:space="preserve">Chưa</t>
        </is>
      </c>
      <c r="T18" s="2" t="inlineStr">
        <is>
          <t xml:space="preserve">Chưa</t>
        </is>
      </c>
      <c r="U18" s="2" t="inlineStr">
        <is>
          <t xml:space="preserve">Chưa</t>
        </is>
      </c>
      <c r="V18" s="2" t="inlineStr">
        <is>
          <t xml:space="preserve">Chưa</t>
        </is>
      </c>
      <c r="W18" s="2" t="inlineStr">
        <is>
          <t xml:space="preserve">Chưa</t>
        </is>
      </c>
      <c r="X18" s="2" t="inlineStr">
        <is>
          <t xml:space="preserve">Chưa</t>
        </is>
      </c>
      <c r="Y18" s="3">
        <f>COUNTIF(Q18:X18,"Xong")/8</f>
        <v>0</v>
      </c>
      <c r="Z18" s="4" t="inlineStr">
        <is>
          <t xml:space="preserve"/>
        </is>
      </c>
      <c r="AA18" s="4" t="inlineStr">
        <is>
          <t xml:space="preserve"/>
        </is>
      </c>
      <c r="AB18" s="4" t="inlineStr">
        <is>
          <t xml:space="preserve"/>
        </is>
      </c>
      <c r="AC18" s="2" t="inlineStr">
        <is>
          <t xml:space="preserve"/>
        </is>
      </c>
      <c r="AD18" s="2" t="inlineStr">
        <is>
          <t xml:space="preserve">Happy path: Duyệt hoặc từ chối hồ sơ landlord; kiểm tra Verification sau quyết định.
Thiếu phiên/phiên revoked/actor LOCKED và actor khác chủ hoặc khác participant phải bị chặn.
Ràng buộc: Mỗi người chỉ có một hồ sơ xác minh cùng loại đang PENDING; quyết định duyệt/từ chối lưu người và thời điểm.
Gửi lặp cùng khóa trả kết quả cũ; cùng khóa khác payload trả 409; hai request tranh cùng tài nguyên không vượt hạn mức.
Kiểm tra lỗi DB/provider không để lại cập nhật dở hoặc trả thành công giả.</t>
        </is>
      </c>
      <c r="AE18" s="2" t="inlineStr">
        <is>
          <t xml:space="preserve"/>
        </is>
      </c>
      <c r="AF18" s="5" t="inlineStr">
        <is>
          <t xml:space="preserve">Mở đặc tả</t>
        </is>
      </c>
    </row>
    <row r="19" ht="70" customHeight="1">
      <c r="A19" s="0" t="inlineStr">
        <is>
          <t xml:space="preserve">API-018</t>
        </is>
      </c>
      <c r="B19" s="0" t="inlineStr">
        <is>
          <t xml:space="preserve">Tài khoản &amp; xác minh</t>
        </is>
      </c>
      <c r="C19" s="0" t="inlineStr">
        <is>
          <t xml:space="preserve">sessions</t>
        </is>
      </c>
      <c r="D19" s="0" t="inlineStr">
        <is>
          <t xml:space="preserve">POST</t>
        </is>
      </c>
      <c r="E19" s="0" t="inlineStr">
        <is>
          <t xml:space="preserve">/api/v1/auth/refresh</t>
        </is>
      </c>
      <c r="F19" s="0" t="inlineStr">
        <is>
          <t xml:space="preserve">Luân chuyển refresh token</t>
        </is>
      </c>
      <c r="G19" s="0" t="inlineStr">
        <is>
          <t xml:space="preserve">PUBLIC</t>
        </is>
      </c>
      <c r="H19" s="0" t="inlineStr">
        <is>
          <t xml:space="preserve">P0</t>
        </is>
      </c>
      <c r="I19" s="0" t="inlineStr">
        <is>
          <t xml:space="preserve">D09: idempotency store nếu chưa có khóa tự nhiên</t>
        </is>
      </c>
      <c r="J19" s="0" t="inlineStr">
        <is>
          <t xml:space="preserve">SERVICE: cần triển khai giao dịch backend</t>
        </is>
      </c>
      <c r="K19" s="0" t="inlineStr">
        <is>
          <t xml:space="preserve">Không có JSON body</t>
        </is>
      </c>
      <c r="L19" s="0" t="inlineStr">
        <is>
          <t xml:space="preserve">Session {accessToken,expiresAt}; refresh cookie mới</t>
        </is>
      </c>
      <c r="M19" s="0" t="inlineStr">
        <is>
          <t xml:space="preserve">Đọc refresh cookie; khóa phiên còn hạn/chưa revoked, so sánh hash, đổi token nguyên tử; token cũ không dùng lại. CSRF/Origin bảo vệ cookie.</t>
        </is>
      </c>
      <c r="N19" s="0" t="inlineStr">
        <is>
          <t xml:space="preserve">400 BAD_REQUEST
404 RESOURCE_NOT_FOUND
409 STATE_CONFLICT
409 IDEMPOTENCY_KEY_REUSED
422 VALIDATION_ERROR
422 TOKEN_INVALID_OR_EXPIRED
409 TOKEN_ALREADY_CONSUMED
429 RATE_LIMITED</t>
        </is>
      </c>
      <c r="O19" s="0" t="inlineStr">
        <is>
          <t xml:space="preserve"/>
        </is>
      </c>
      <c r="P19" s="0" t="inlineStr">
        <is>
          <t xml:space="preserve">Chưa làm</t>
        </is>
      </c>
      <c r="Q19" s="0" t="inlineStr">
        <is>
          <t xml:space="preserve">Chưa</t>
        </is>
      </c>
      <c r="R19" s="0" t="inlineStr">
        <is>
          <t xml:space="preserve">Chưa</t>
        </is>
      </c>
      <c r="S19" s="0" t="inlineStr">
        <is>
          <t xml:space="preserve">Chưa</t>
        </is>
      </c>
      <c r="T19" s="0" t="inlineStr">
        <is>
          <t xml:space="preserve">Chưa</t>
        </is>
      </c>
      <c r="U19" s="0" t="inlineStr">
        <is>
          <t xml:space="preserve">Chưa</t>
        </is>
      </c>
      <c r="V19" s="0" t="inlineStr">
        <is>
          <t xml:space="preserve">Chưa</t>
        </is>
      </c>
      <c r="W19" s="0" t="inlineStr">
        <is>
          <t xml:space="preserve">Chưa</t>
        </is>
      </c>
      <c r="X19" s="0" t="inlineStr">
        <is>
          <t xml:space="preserve">Chưa</t>
        </is>
      </c>
      <c r="Y19" s="3">
        <f>COUNTIF(Q19:X19,"Xong")/8</f>
        <v>0</v>
      </c>
      <c r="Z19" s="4" t="inlineStr">
        <is>
          <t xml:space="preserve"/>
        </is>
      </c>
      <c r="AA19" s="4" t="inlineStr">
        <is>
          <t xml:space="preserve"/>
        </is>
      </c>
      <c r="AB19" s="4" t="inlineStr">
        <is>
          <t xml:space="preserve"/>
        </is>
      </c>
      <c r="AC19" s="0" t="inlineStr">
        <is>
          <t xml:space="preserve"/>
        </is>
      </c>
      <c r="AD19" s="0" t="inlineStr">
        <is>
          <t xml:space="preserve">Happy path: Luân chuyển refresh token; kiểm tra Session {accessToken,expiresAt}; refresh cookie mới.
Đầu vào sai/ID ẩn: không lộ dữ liệu riêng tư.
Ràng buộc: selector, session_key và refresh_token_hash có khóa duy nhất; expires_at phải sau created_at.
Gửi lặp cùng khóa trả kết quả cũ; cùng khóa khác payload trả 409; hai request tranh cùng tài nguyên không vượt hạn mức.
Kiểm tra lỗi DB/provider không để lại cập nhật dở hoặc trả thành công giả.</t>
        </is>
      </c>
      <c r="AE19" s="0" t="inlineStr">
        <is>
          <t xml:space="preserve"/>
        </is>
      </c>
      <c r="AF19" s="5" t="inlineStr">
        <is>
          <t xml:space="preserve">Mở đặc tả</t>
        </is>
      </c>
    </row>
    <row r="20" ht="70" customHeight="1">
      <c r="A20" s="2" t="inlineStr">
        <is>
          <t xml:space="preserve">API-019</t>
        </is>
      </c>
      <c r="B20" s="2" t="inlineStr">
        <is>
          <t xml:space="preserve">Tài khoản &amp; xác minh</t>
        </is>
      </c>
      <c r="C20" s="2" t="inlineStr">
        <is>
          <t xml:space="preserve">sessions</t>
        </is>
      </c>
      <c r="D20" s="2" t="inlineStr">
        <is>
          <t xml:space="preserve">POST</t>
        </is>
      </c>
      <c r="E20" s="2" t="inlineStr">
        <is>
          <t xml:space="preserve">/api/v1/auth/logout</t>
        </is>
      </c>
      <c r="F20" s="2" t="inlineStr">
        <is>
          <t xml:space="preserve">Đăng xuất phiên hiện tại</t>
        </is>
      </c>
      <c r="G20" s="2" t="inlineStr">
        <is>
          <t xml:space="preserve">USER: tài khoản ACTIVE; chỉ dữ liệu của mình</t>
        </is>
      </c>
      <c r="H20" s="2" t="inlineStr">
        <is>
          <t xml:space="preserve">P0</t>
        </is>
      </c>
      <c r="I20" s="2" t="inlineStr">
        <is>
          <t xml:space="preserve">Middleware auth/session/role + object scope
D09: idempotency store nếu chưa có khóa tự nhiên</t>
        </is>
      </c>
      <c r="J20" s="2" t="inlineStr">
        <is>
          <t xml:space="preserve">SERVICE: cần triển khai giao dịch backend</t>
        </is>
      </c>
      <c r="K20" s="2" t="inlineStr">
        <is>
          <t xml:space="preserve">Không có JSON body</t>
        </is>
      </c>
      <c r="L20" s="2" t="inlineStr">
        <is>
          <t xml:space="preserve">{revoked:true}</t>
        </is>
      </c>
      <c r="M20" s="2" t="inlineStr">
        <is>
          <t xml:space="preserve">Thu hồi session gắn token/cookie và xóa refresh cookie. Không cho logout user khác.</t>
        </is>
      </c>
      <c r="N20" s="2" t="inlineStr">
        <is>
          <t xml:space="preserve">400 BAD_REQUEST
401 UNAUTHENTICATED
403 FORBIDDEN
404 RESOURCE_NOT_FOUND
409 STATE_CONFLICT
409 IDEMPOTENCY_KEY_REUSED
422 VALIDATION_ERROR
422 TOKEN_INVALID_OR_EXPIRED
409 TOKEN_ALREADY_CONSUMED
429 RATE_LIMITED</t>
        </is>
      </c>
      <c r="O20" s="2" t="inlineStr">
        <is>
          <t xml:space="preserve"/>
        </is>
      </c>
      <c r="P20" s="2" t="inlineStr">
        <is>
          <t xml:space="preserve">Chưa làm</t>
        </is>
      </c>
      <c r="Q20" s="2" t="inlineStr">
        <is>
          <t xml:space="preserve">Chưa</t>
        </is>
      </c>
      <c r="R20" s="2" t="inlineStr">
        <is>
          <t xml:space="preserve">Chưa</t>
        </is>
      </c>
      <c r="S20" s="2" t="inlineStr">
        <is>
          <t xml:space="preserve">Chưa</t>
        </is>
      </c>
      <c r="T20" s="2" t="inlineStr">
        <is>
          <t xml:space="preserve">Chưa</t>
        </is>
      </c>
      <c r="U20" s="2" t="inlineStr">
        <is>
          <t xml:space="preserve">Chưa</t>
        </is>
      </c>
      <c r="V20" s="2" t="inlineStr">
        <is>
          <t xml:space="preserve">Chưa</t>
        </is>
      </c>
      <c r="W20" s="2" t="inlineStr">
        <is>
          <t xml:space="preserve">Chưa</t>
        </is>
      </c>
      <c r="X20" s="2" t="inlineStr">
        <is>
          <t xml:space="preserve">Chưa</t>
        </is>
      </c>
      <c r="Y20" s="3">
        <f>COUNTIF(Q20:X20,"Xong")/8</f>
        <v>0</v>
      </c>
      <c r="Z20" s="4" t="inlineStr">
        <is>
          <t xml:space="preserve"/>
        </is>
      </c>
      <c r="AA20" s="4" t="inlineStr">
        <is>
          <t xml:space="preserve"/>
        </is>
      </c>
      <c r="AB20" s="4" t="inlineStr">
        <is>
          <t xml:space="preserve"/>
        </is>
      </c>
      <c r="AC20" s="2" t="inlineStr">
        <is>
          <t xml:space="preserve"/>
        </is>
      </c>
      <c r="AD20" s="2" t="inlineStr">
        <is>
          <t xml:space="preserve">Happy path: Đăng xuất phiên hiện tại; kiểm tra {revoked:true}.
Thiếu phiên/phiên revoked/actor LOCKED và actor khác chủ hoặc khác participant phải bị chặn.
Ràng buộc: selector, session_key và refresh_token_hash có khóa duy nhất; expires_at phải sau created_at.
Gửi lặp cùng khóa trả kết quả cũ; cùng khóa khác payload trả 409; hai request tranh cùng tài nguyên không vượt hạn mức.
Kiểm tra lỗi DB/provider không để lại cập nhật dở hoặc trả thành công giả.</t>
        </is>
      </c>
      <c r="AE20" s="2" t="inlineStr">
        <is>
          <t xml:space="preserve"/>
        </is>
      </c>
      <c r="AF20" s="5" t="inlineStr">
        <is>
          <t xml:space="preserve">Mở đặc tả</t>
        </is>
      </c>
    </row>
    <row r="21" ht="70" customHeight="1">
      <c r="A21" s="0" t="inlineStr">
        <is>
          <t xml:space="preserve">API-020</t>
        </is>
      </c>
      <c r="B21" s="0" t="inlineStr">
        <is>
          <t xml:space="preserve">Tài khoản &amp; xác minh</t>
        </is>
      </c>
      <c r="C21" s="0" t="inlineStr">
        <is>
          <t xml:space="preserve">sessions</t>
        </is>
      </c>
      <c r="D21" s="0" t="inlineStr">
        <is>
          <t xml:space="preserve">GET</t>
        </is>
      </c>
      <c r="E21" s="0" t="inlineStr">
        <is>
          <t xml:space="preserve">/api/v1/me/sessions</t>
        </is>
      </c>
      <c r="F21" s="0" t="inlineStr">
        <is>
          <t xml:space="preserve">Danh sách phiên của mình</t>
        </is>
      </c>
      <c r="G21" s="0" t="inlineStr">
        <is>
          <t xml:space="preserve">USER: tài khoản ACTIVE; chỉ dữ liệu của mình</t>
        </is>
      </c>
      <c r="H21" s="0" t="inlineStr">
        <is>
          <t xml:space="preserve">P0</t>
        </is>
      </c>
      <c r="I21" s="0" t="inlineStr">
        <is>
          <t xml:space="preserve">Middleware auth/session/role + object scope</t>
        </is>
      </c>
      <c r="J21" s="0" t="inlineStr">
        <is>
          <t xml:space="preserve">READ: truy vấn có scope quyền</t>
        </is>
      </c>
      <c r="K21" s="0" t="inlineStr">
        <is>
          <t xml:space="preserve">Không có JSON body</t>
        </is>
      </c>
      <c r="L21" s="0" t="inlineStr">
        <is>
          <t xml:space="preserve">Session[] {id,createdAt,lastSeenAt,expiresAt,revokedAt,isCurrent}</t>
        </is>
      </c>
      <c r="M21" s="0" t="inlineStr">
        <is>
          <t xml:space="preserve">Không trả refresh hash/session secret.</t>
        </is>
      </c>
      <c r="N21" s="0" t="inlineStr">
        <is>
          <t xml:space="preserve">400 BAD_REQUEST
401 UNAUTHENTICATED
403 FORBIDDEN
404 RESOURCE_NOT_FOUND
422 VALIDATION_ERROR</t>
        </is>
      </c>
      <c r="O21" s="0" t="inlineStr">
        <is>
          <t xml:space="preserve"/>
        </is>
      </c>
      <c r="P21" s="0" t="inlineStr">
        <is>
          <t xml:space="preserve">Chưa làm</t>
        </is>
      </c>
      <c r="Q21" s="0" t="inlineStr">
        <is>
          <t xml:space="preserve">Chưa</t>
        </is>
      </c>
      <c r="R21" s="0" t="inlineStr">
        <is>
          <t xml:space="preserve">Chưa</t>
        </is>
      </c>
      <c r="S21" s="0" t="inlineStr">
        <is>
          <t xml:space="preserve">Chưa</t>
        </is>
      </c>
      <c r="T21" s="0" t="inlineStr">
        <is>
          <t xml:space="preserve">Chưa</t>
        </is>
      </c>
      <c r="U21" s="0" t="inlineStr">
        <is>
          <t xml:space="preserve">Chưa</t>
        </is>
      </c>
      <c r="V21" s="0" t="inlineStr">
        <is>
          <t xml:space="preserve">Chưa</t>
        </is>
      </c>
      <c r="W21" s="0" t="inlineStr">
        <is>
          <t xml:space="preserve">Chưa</t>
        </is>
      </c>
      <c r="X21" s="0" t="inlineStr">
        <is>
          <t xml:space="preserve">Chưa</t>
        </is>
      </c>
      <c r="Y21" s="3">
        <f>COUNTIF(Q21:X21,"Xong")/8</f>
        <v>0</v>
      </c>
      <c r="Z21" s="4" t="inlineStr">
        <is>
          <t xml:space="preserve"/>
        </is>
      </c>
      <c r="AA21" s="4" t="inlineStr">
        <is>
          <t xml:space="preserve"/>
        </is>
      </c>
      <c r="AB21" s="4" t="inlineStr">
        <is>
          <t xml:space="preserve"/>
        </is>
      </c>
      <c r="AC21" s="0" t="inlineStr">
        <is>
          <t xml:space="preserve"/>
        </is>
      </c>
      <c r="AD21" s="0" t="inlineStr">
        <is>
          <t xml:space="preserve">Happy path: Danh sách phiên của mình; kiểm tra Session[] {id,createdAt,lastSeenAt,expiresAt,revokedAt,isCurrent}.
Thiếu phiên/phiên revoked/actor LOCKED và actor khác chủ hoặc khác participant phải bị chặn.
Ràng buộc: selector, session_key và refresh_token_hash có khóa duy nhất; expires_at phải sau created_at.
Phân trang/lọc đúng scope; dữ liệu riêng tư bị loại trên server, không chỉ ẩn UI.
Kiểm tra lỗi DB/provider không để lại cập nhật dở hoặc trả thành công giả.</t>
        </is>
      </c>
      <c r="AE21" s="0" t="inlineStr">
        <is>
          <t xml:space="preserve"/>
        </is>
      </c>
      <c r="AF21" s="5" t="inlineStr">
        <is>
          <t xml:space="preserve">Mở đặc tả</t>
        </is>
      </c>
    </row>
    <row r="22" ht="70" customHeight="1">
      <c r="A22" s="2" t="inlineStr">
        <is>
          <t xml:space="preserve">API-021</t>
        </is>
      </c>
      <c r="B22" s="2" t="inlineStr">
        <is>
          <t xml:space="preserve">Tài khoản &amp; xác minh</t>
        </is>
      </c>
      <c r="C22" s="2" t="inlineStr">
        <is>
          <t xml:space="preserve">sessions</t>
        </is>
      </c>
      <c r="D22" s="2" t="inlineStr">
        <is>
          <t xml:space="preserve">DELETE</t>
        </is>
      </c>
      <c r="E22" s="2" t="inlineStr">
        <is>
          <t xml:space="preserve">/api/v1/me/sessions/{sessionId}</t>
        </is>
      </c>
      <c r="F22" s="2" t="inlineStr">
        <is>
          <t xml:space="preserve">Thu hồi một phiên</t>
        </is>
      </c>
      <c r="G22" s="2" t="inlineStr">
        <is>
          <t xml:space="preserve">USER: tài khoản ACTIVE; chỉ dữ liệu của mình</t>
        </is>
      </c>
      <c r="H22" s="2" t="inlineStr">
        <is>
          <t xml:space="preserve">P0</t>
        </is>
      </c>
      <c r="I22" s="2" t="inlineStr">
        <is>
          <t xml:space="preserve">Middleware auth/session/role + object scope
D09: idempotency store nếu chưa có khóa tự nhiên</t>
        </is>
      </c>
      <c r="J22" s="2" t="inlineStr">
        <is>
          <t xml:space="preserve">SERVICE: cần triển khai giao dịch backend</t>
        </is>
      </c>
      <c r="K22" s="2" t="inlineStr">
        <is>
          <t xml:space="preserve">Không có JSON body</t>
        </is>
      </c>
      <c r="L22" s="2" t="inlineStr">
        <is>
          <t xml:space="preserve">{id,revoked:true}</t>
        </is>
      </c>
      <c r="M22" s="2" t="inlineStr">
        <is>
          <t xml:space="preserve">Chỉ phiên của actor; gọi lặp không tạo tác dụng phụ mới. Middleware từ chối token gắn phiên đã thu hồi.</t>
        </is>
      </c>
      <c r="N22" s="2" t="inlineStr">
        <is>
          <t xml:space="preserve">400 BAD_REQUEST
401 UNAUTHENTICATED
403 FORBIDDEN
404 RESOURCE_NOT_FOUND
409 STATE_CONFLICT
409 IDEMPOTENCY_KEY_REUSED
422 VALIDATION_ERROR
422 TOKEN_INVALID_OR_EXPIRED
409 TOKEN_ALREADY_CONSUMED
429 RATE_LIMITED</t>
        </is>
      </c>
      <c r="O22" s="2" t="inlineStr">
        <is>
          <t xml:space="preserve"/>
        </is>
      </c>
      <c r="P22" s="2" t="inlineStr">
        <is>
          <t xml:space="preserve">Chưa làm</t>
        </is>
      </c>
      <c r="Q22" s="2" t="inlineStr">
        <is>
          <t xml:space="preserve">Chưa</t>
        </is>
      </c>
      <c r="R22" s="2" t="inlineStr">
        <is>
          <t xml:space="preserve">Chưa</t>
        </is>
      </c>
      <c r="S22" s="2" t="inlineStr">
        <is>
          <t xml:space="preserve">Chưa</t>
        </is>
      </c>
      <c r="T22" s="2" t="inlineStr">
        <is>
          <t xml:space="preserve">Chưa</t>
        </is>
      </c>
      <c r="U22" s="2" t="inlineStr">
        <is>
          <t xml:space="preserve">Chưa</t>
        </is>
      </c>
      <c r="V22" s="2" t="inlineStr">
        <is>
          <t xml:space="preserve">Chưa</t>
        </is>
      </c>
      <c r="W22" s="2" t="inlineStr">
        <is>
          <t xml:space="preserve">Chưa</t>
        </is>
      </c>
      <c r="X22" s="2" t="inlineStr">
        <is>
          <t xml:space="preserve">Chưa</t>
        </is>
      </c>
      <c r="Y22" s="3">
        <f>COUNTIF(Q22:X22,"Xong")/8</f>
        <v>0</v>
      </c>
      <c r="Z22" s="4" t="inlineStr">
        <is>
          <t xml:space="preserve"/>
        </is>
      </c>
      <c r="AA22" s="4" t="inlineStr">
        <is>
          <t xml:space="preserve"/>
        </is>
      </c>
      <c r="AB22" s="4" t="inlineStr">
        <is>
          <t xml:space="preserve"/>
        </is>
      </c>
      <c r="AC22" s="2" t="inlineStr">
        <is>
          <t xml:space="preserve"/>
        </is>
      </c>
      <c r="AD22" s="2" t="inlineStr">
        <is>
          <t xml:space="preserve">Happy path: Thu hồi một phiên; kiểm tra {id,revoked:true}.
Thiếu phiên/phiên revoked/actor LOCKED và actor khác chủ hoặc khác participant phải bị chặn.
Ràng buộc: selector, session_key và refresh_token_hash có khóa duy nhất; expires_at phải sau created_at.
Gửi lặp cùng khóa trả kết quả cũ; cùng khóa khác payload trả 409; hai request tranh cùng tài nguyên không vượt hạn mức.
Kiểm tra lỗi DB/provider không để lại cập nhật dở hoặc trả thành công giả.</t>
        </is>
      </c>
      <c r="AE22" s="2" t="inlineStr">
        <is>
          <t xml:space="preserve"/>
        </is>
      </c>
      <c r="AF22" s="5" t="inlineStr">
        <is>
          <t xml:space="preserve">Mở đặc tả</t>
        </is>
      </c>
    </row>
    <row r="23" ht="70" customHeight="1">
      <c r="A23" s="0" t="inlineStr">
        <is>
          <t xml:space="preserve">API-022</t>
        </is>
      </c>
      <c r="B23" s="0" t="inlineStr">
        <is>
          <t xml:space="preserve">Tài khoản &amp; xác minh</t>
        </is>
      </c>
      <c r="C23" s="0" t="inlineStr">
        <is>
          <t xml:space="preserve">sessions</t>
        </is>
      </c>
      <c r="D23" s="0" t="inlineStr">
        <is>
          <t xml:space="preserve">POST</t>
        </is>
      </c>
      <c r="E23" s="0" t="inlineStr">
        <is>
          <t xml:space="preserve">/api/v1/auth/phone-verifications</t>
        </is>
      </c>
      <c r="F23" s="0" t="inlineStr">
        <is>
          <t xml:space="preserve">Gửi OTP xác minh điện thoại</t>
        </is>
      </c>
      <c r="G23" s="0" t="inlineStr">
        <is>
          <t xml:space="preserve">USER: tài khoản ACTIVE; chỉ dữ liệu của mình</t>
        </is>
      </c>
      <c r="H23" s="0" t="inlineStr">
        <is>
          <t xml:space="preserve">P0</t>
        </is>
      </c>
      <c r="I23" s="0" t="inlineStr">
        <is>
          <t xml:space="preserve">Middleware auth/session/role + object scope
D09: idempotency store nếu chưa có khóa tự nhiên
D01</t>
        </is>
      </c>
      <c r="J23" s="0" t="inlineStr">
        <is>
          <t xml:space="preserve">SERVICE: cần triển khai giao dịch backend</t>
        </is>
      </c>
      <c r="K23" s="0" t="inlineStr">
        <is>
          <t xml:space="preserve">phoneNumber: string (bắt buộc) — Số chuẩn hóa ≤20 ký tự.</t>
        </is>
      </c>
      <c r="L23" s="0" t="inlineStr">
        <is>
          <t xml:space="preserve">{selector,expiresAt,retryAfterSeconds}</t>
        </is>
      </c>
      <c r="M23" s="0" t="inlineStr">
        <is>
          <t xml:space="preserve">Purpose PHONE_VERIFICATION; hash/HMAC mã; hạn dùng và giới hạn thử/gửi. Không trả OTP trong response.</t>
        </is>
      </c>
      <c r="N23" s="0" t="inlineStr">
        <is>
          <t xml:space="preserve">400 BAD_REQUEST
401 UNAUTHENTICATED
403 FORBIDDEN
404 RESOURCE_NOT_FOUND
409 STATE_CONFLICT
409 IDEMPOTENCY_KEY_REUSED
422 VALIDATION_ERROR
422 TOKEN_INVALID_OR_EXPIRED
409 TOKEN_ALREADY_CONSUMED
429 RATE_LIMITED</t>
        </is>
      </c>
      <c r="O23" s="0" t="inlineStr">
        <is>
          <t xml:space="preserve"/>
        </is>
      </c>
      <c r="P23" s="0" t="inlineStr">
        <is>
          <t xml:space="preserve">Chưa làm</t>
        </is>
      </c>
      <c r="Q23" s="0" t="inlineStr">
        <is>
          <t xml:space="preserve">Chưa</t>
        </is>
      </c>
      <c r="R23" s="0" t="inlineStr">
        <is>
          <t xml:space="preserve">Chưa</t>
        </is>
      </c>
      <c r="S23" s="0" t="inlineStr">
        <is>
          <t xml:space="preserve">Chưa</t>
        </is>
      </c>
      <c r="T23" s="0" t="inlineStr">
        <is>
          <t xml:space="preserve">Chưa</t>
        </is>
      </c>
      <c r="U23" s="0" t="inlineStr">
        <is>
          <t xml:space="preserve">Chưa</t>
        </is>
      </c>
      <c r="V23" s="0" t="inlineStr">
        <is>
          <t xml:space="preserve">Chưa</t>
        </is>
      </c>
      <c r="W23" s="0" t="inlineStr">
        <is>
          <t xml:space="preserve">Chưa</t>
        </is>
      </c>
      <c r="X23" s="0" t="inlineStr">
        <is>
          <t xml:space="preserve">Chưa</t>
        </is>
      </c>
      <c r="Y23" s="3">
        <f>COUNTIF(Q23:X23,"Xong")/8</f>
        <v>0</v>
      </c>
      <c r="Z23" s="4" t="inlineStr">
        <is>
          <t xml:space="preserve"/>
        </is>
      </c>
      <c r="AA23" s="4" t="inlineStr">
        <is>
          <t xml:space="preserve"/>
        </is>
      </c>
      <c r="AB23" s="4" t="inlineStr">
        <is>
          <t xml:space="preserve"/>
        </is>
      </c>
      <c r="AC23" s="0" t="inlineStr">
        <is>
          <t xml:space="preserve"/>
        </is>
      </c>
      <c r="AD23" s="0" t="inlineStr">
        <is>
          <t xml:space="preserve">Happy path: Gửi OTP xác minh điện thoại; kiểm tra {selector,expiresAt,retryAfterSeconds}.
Thiếu phiên/phiên revoked/actor LOCKED và actor khác chủ hoặc khác participant phải bị chặn.
Ràng buộc: selector, session_key và refresh_token_hash có khóa duy nhất; expires_at phải sau created_at.
Gửi lặp cùng khóa trả kết quả cũ; cùng khóa khác payload trả 409; hai request tranh cùng tài nguyên không vượt hạn mức.
Kiểm tra lỗi DB/provider không để lại cập nhật dở hoặc trả thành công giả.</t>
        </is>
      </c>
      <c r="AE23" s="0" t="inlineStr">
        <is>
          <t xml:space="preserve"/>
        </is>
      </c>
      <c r="AF23" s="5" t="inlineStr">
        <is>
          <t xml:space="preserve">Mở đặc tả</t>
        </is>
      </c>
    </row>
    <row r="24" ht="70" customHeight="1">
      <c r="A24" s="2" t="inlineStr">
        <is>
          <t xml:space="preserve">API-023</t>
        </is>
      </c>
      <c r="B24" s="2" t="inlineStr">
        <is>
          <t xml:space="preserve">Tài khoản &amp; xác minh</t>
        </is>
      </c>
      <c r="C24" s="2" t="inlineStr">
        <is>
          <t xml:space="preserve">sessions</t>
        </is>
      </c>
      <c r="D24" s="2" t="inlineStr">
        <is>
          <t xml:space="preserve">POST</t>
        </is>
      </c>
      <c r="E24" s="2" t="inlineStr">
        <is>
          <t xml:space="preserve">/api/v1/auth/phone-verifications/confirm</t>
        </is>
      </c>
      <c r="F24" s="2" t="inlineStr">
        <is>
          <t xml:space="preserve">Xác nhận OTP điện thoại</t>
        </is>
      </c>
      <c r="G24" s="2" t="inlineStr">
        <is>
          <t xml:space="preserve">USER: tài khoản ACTIVE; chỉ dữ liệu của mình</t>
        </is>
      </c>
      <c r="H24" s="2" t="inlineStr">
        <is>
          <t xml:space="preserve">P0</t>
        </is>
      </c>
      <c r="I24" s="2" t="inlineStr">
        <is>
          <t xml:space="preserve">Middleware auth/session/role + object scope
D09: idempotency store nếu chưa có khóa tự nhiên</t>
        </is>
      </c>
      <c r="J24" s="2" t="inlineStr">
        <is>
          <t xml:space="preserve">SERVICE: cần triển khai giao dịch backend</t>
        </is>
      </c>
      <c r="K24" s="2" t="inlineStr">
        <is>
          <t xml:space="preserve">selector: uuid (bắt buộc) — Token selector.
code: string (bắt buộc) — Mã người dùng nhận; không log.</t>
        </is>
      </c>
      <c r="L24" s="2" t="inlineStr">
        <is>
          <t xml:space="preserve">{phoneNumber,phoneVerifiedAt}</t>
        </is>
      </c>
      <c r="M24" s="2" t="inlineStr">
        <is>
          <t xml:space="preserve">Khóa token; chưa consumed/revoked, còn hạn, đúng actor/target, tăng attempt khi sai; kiểm tra trùng số trước cập nhật users.</t>
        </is>
      </c>
      <c r="N24" s="2" t="inlineStr">
        <is>
          <t xml:space="preserve">400 BAD_REQUEST
401 UNAUTHENTICATED
403 FORBIDDEN
404 RESOURCE_NOT_FOUND
409 STATE_CONFLICT
409 IDEMPOTENCY_KEY_REUSED
422 VALIDATION_ERROR
422 TOKEN_INVALID_OR_EXPIRED
409 TOKEN_ALREADY_CONSUMED
429 RATE_LIMITED</t>
        </is>
      </c>
      <c r="O24" s="2" t="inlineStr">
        <is>
          <t xml:space="preserve"/>
        </is>
      </c>
      <c r="P24" s="2" t="inlineStr">
        <is>
          <t xml:space="preserve">Chưa làm</t>
        </is>
      </c>
      <c r="Q24" s="2" t="inlineStr">
        <is>
          <t xml:space="preserve">Chưa</t>
        </is>
      </c>
      <c r="R24" s="2" t="inlineStr">
        <is>
          <t xml:space="preserve">Chưa</t>
        </is>
      </c>
      <c r="S24" s="2" t="inlineStr">
        <is>
          <t xml:space="preserve">Chưa</t>
        </is>
      </c>
      <c r="T24" s="2" t="inlineStr">
        <is>
          <t xml:space="preserve">Chưa</t>
        </is>
      </c>
      <c r="U24" s="2" t="inlineStr">
        <is>
          <t xml:space="preserve">Chưa</t>
        </is>
      </c>
      <c r="V24" s="2" t="inlineStr">
        <is>
          <t xml:space="preserve">Chưa</t>
        </is>
      </c>
      <c r="W24" s="2" t="inlineStr">
        <is>
          <t xml:space="preserve">Chưa</t>
        </is>
      </c>
      <c r="X24" s="2" t="inlineStr">
        <is>
          <t xml:space="preserve">Chưa</t>
        </is>
      </c>
      <c r="Y24" s="3">
        <f>COUNTIF(Q24:X24,"Xong")/8</f>
        <v>0</v>
      </c>
      <c r="Z24" s="4" t="inlineStr">
        <is>
          <t xml:space="preserve"/>
        </is>
      </c>
      <c r="AA24" s="4" t="inlineStr">
        <is>
          <t xml:space="preserve"/>
        </is>
      </c>
      <c r="AB24" s="4" t="inlineStr">
        <is>
          <t xml:space="preserve"/>
        </is>
      </c>
      <c r="AC24" s="2" t="inlineStr">
        <is>
          <t xml:space="preserve"/>
        </is>
      </c>
      <c r="AD24" s="2" t="inlineStr">
        <is>
          <t xml:space="preserve">Happy path: Xác nhận OTP điện thoại; kiểm tra {phoneNumber,phoneVerifiedAt}.
Thiếu phiên/phiên revoked/actor LOCKED và actor khác chủ hoặc khác participant phải bị chặn.
Ràng buộc: selector, session_key và refresh_token_hash có khóa duy nhất; expires_at phải sau created_at.
Gửi lặp cùng khóa trả kết quả cũ; cùng khóa khác payload trả 409; hai request tranh cùng tài nguyên không vượt hạn mức.
Kiểm tra lỗi DB/provider không để lại cập nhật dở hoặc trả thành công giả.</t>
        </is>
      </c>
      <c r="AE24" s="2" t="inlineStr">
        <is>
          <t xml:space="preserve"/>
        </is>
      </c>
      <c r="AF24" s="5" t="inlineStr">
        <is>
          <t xml:space="preserve">Mở đặc tả</t>
        </is>
      </c>
    </row>
    <row r="25" ht="70" customHeight="1">
      <c r="A25" s="0" t="inlineStr">
        <is>
          <t xml:space="preserve">API-024</t>
        </is>
      </c>
      <c r="B25" s="0" t="inlineStr">
        <is>
          <t xml:space="preserve">Tài khoản &amp; xác minh</t>
        </is>
      </c>
      <c r="C25" s="0" t="inlineStr">
        <is>
          <t xml:space="preserve">sessions</t>
        </is>
      </c>
      <c r="D25" s="0" t="inlineStr">
        <is>
          <t xml:space="preserve">POST</t>
        </is>
      </c>
      <c r="E25" s="0" t="inlineStr">
        <is>
          <t xml:space="preserve">/api/v1/auth/password-resets</t>
        </is>
      </c>
      <c r="F25" s="0" t="inlineStr">
        <is>
          <t xml:space="preserve">Yêu cầu đặt lại mật khẩu</t>
        </is>
      </c>
      <c r="G25" s="0" t="inlineStr">
        <is>
          <t xml:space="preserve">PUBLIC</t>
        </is>
      </c>
      <c r="H25" s="0" t="inlineStr">
        <is>
          <t xml:space="preserve">P0</t>
        </is>
      </c>
      <c r="I25" s="0" t="inlineStr">
        <is>
          <t xml:space="preserve">D09: idempotency store nếu chưa có khóa tự nhiên
D01</t>
        </is>
      </c>
      <c r="J25" s="0" t="inlineStr">
        <is>
          <t xml:space="preserve">SERVICE: cần triển khai giao dịch backend</t>
        </is>
      </c>
      <c r="K25" s="0" t="inlineStr">
        <is>
          <t xml:space="preserve">identifier: string (bắt buộc) — Email/điện thoại.</t>
        </is>
      </c>
      <c r="L25" s="0" t="inlineStr">
        <is>
          <t xml:space="preserve">{accepted:true}</t>
        </is>
      </c>
      <c r="M25" s="0" t="inlineStr">
        <is>
          <t xml:space="preserve">Trả 202 đồng nhất dù tài khoản không tồn tại; cấp PASSWORD_RESET_OTP có hạn và rate limit.</t>
        </is>
      </c>
      <c r="N25" s="0" t="inlineStr">
        <is>
          <t xml:space="preserve">400 BAD_REQUEST
404 RESOURCE_NOT_FOUND
409 STATE_CONFLICT
409 IDEMPOTENCY_KEY_REUSED
422 VALIDATION_ERROR
422 TOKEN_INVALID_OR_EXPIRED
409 TOKEN_ALREADY_CONSUMED
429 RATE_LIMITED</t>
        </is>
      </c>
      <c r="O25" s="0" t="inlineStr">
        <is>
          <t xml:space="preserve"/>
        </is>
      </c>
      <c r="P25" s="0" t="inlineStr">
        <is>
          <t xml:space="preserve">Chưa làm</t>
        </is>
      </c>
      <c r="Q25" s="0" t="inlineStr">
        <is>
          <t xml:space="preserve">Chưa</t>
        </is>
      </c>
      <c r="R25" s="0" t="inlineStr">
        <is>
          <t xml:space="preserve">Chưa</t>
        </is>
      </c>
      <c r="S25" s="0" t="inlineStr">
        <is>
          <t xml:space="preserve">Chưa</t>
        </is>
      </c>
      <c r="T25" s="0" t="inlineStr">
        <is>
          <t xml:space="preserve">Chưa</t>
        </is>
      </c>
      <c r="U25" s="0" t="inlineStr">
        <is>
          <t xml:space="preserve">Chưa</t>
        </is>
      </c>
      <c r="V25" s="0" t="inlineStr">
        <is>
          <t xml:space="preserve">Chưa</t>
        </is>
      </c>
      <c r="W25" s="0" t="inlineStr">
        <is>
          <t xml:space="preserve">Chưa</t>
        </is>
      </c>
      <c r="X25" s="0" t="inlineStr">
        <is>
          <t xml:space="preserve">Chưa</t>
        </is>
      </c>
      <c r="Y25" s="3">
        <f>COUNTIF(Q25:X25,"Xong")/8</f>
        <v>0</v>
      </c>
      <c r="Z25" s="4" t="inlineStr">
        <is>
          <t xml:space="preserve"/>
        </is>
      </c>
      <c r="AA25" s="4" t="inlineStr">
        <is>
          <t xml:space="preserve"/>
        </is>
      </c>
      <c r="AB25" s="4" t="inlineStr">
        <is>
          <t xml:space="preserve"/>
        </is>
      </c>
      <c r="AC25" s="0" t="inlineStr">
        <is>
          <t xml:space="preserve"/>
        </is>
      </c>
      <c r="AD25" s="0" t="inlineStr">
        <is>
          <t xml:space="preserve">Happy path: Yêu cầu đặt lại mật khẩu; kiểm tra {accepted:true}.
Đầu vào sai/ID ẩn: không lộ dữ liệu riêng tư.
Ràng buộc: selector, session_key và refresh_token_hash có khóa duy nhất; expires_at phải sau created_at.
Gửi lặp cùng khóa trả kết quả cũ; cùng khóa khác payload trả 409; hai request tranh cùng tài nguyên không vượt hạn mức.
Kiểm tra lỗi DB/provider không để lại cập nhật dở hoặc trả thành công giả.</t>
        </is>
      </c>
      <c r="AE25" s="0" t="inlineStr">
        <is>
          <t xml:space="preserve"/>
        </is>
      </c>
      <c r="AF25" s="5" t="inlineStr">
        <is>
          <t xml:space="preserve">Mở đặc tả</t>
        </is>
      </c>
    </row>
    <row r="26" ht="70" customHeight="1">
      <c r="A26" s="2" t="inlineStr">
        <is>
          <t xml:space="preserve">API-025</t>
        </is>
      </c>
      <c r="B26" s="2" t="inlineStr">
        <is>
          <t xml:space="preserve">Tài khoản &amp; xác minh</t>
        </is>
      </c>
      <c r="C26" s="2" t="inlineStr">
        <is>
          <t xml:space="preserve">sessions</t>
        </is>
      </c>
      <c r="D26" s="2" t="inlineStr">
        <is>
          <t xml:space="preserve">POST</t>
        </is>
      </c>
      <c r="E26" s="2" t="inlineStr">
        <is>
          <t xml:space="preserve">/api/v1/auth/password-resets/verify</t>
        </is>
      </c>
      <c r="F26" s="2" t="inlineStr">
        <is>
          <t xml:space="preserve">Đổi OTP hợp lệ lấy quyền reset ngắn hạn</t>
        </is>
      </c>
      <c r="G26" s="2" t="inlineStr">
        <is>
          <t xml:space="preserve">PUBLIC</t>
        </is>
      </c>
      <c r="H26" s="2" t="inlineStr">
        <is>
          <t xml:space="preserve">P0</t>
        </is>
      </c>
      <c r="I26" s="2" t="inlineStr">
        <is>
          <t xml:space="preserve">D09: idempotency store nếu chưa có khóa tự nhiên</t>
        </is>
      </c>
      <c r="J26" s="2" t="inlineStr">
        <is>
          <t xml:space="preserve">SERVICE: cần triển khai giao dịch backend</t>
        </is>
      </c>
      <c r="K26" s="2" t="inlineStr">
        <is>
          <t xml:space="preserve">selector: uuid (bắt buộc) — Token selector.
code: string (bắt buộc) — Mã người dùng nhận; không log.</t>
        </is>
      </c>
      <c r="L26" s="2" t="inlineStr">
        <is>
          <t xml:space="preserve">{resetGrant,expiresAt}</t>
        </is>
      </c>
      <c r="M26" s="2" t="inlineStr">
        <is>
          <t xml:space="preserve">Tiêu thụ OTP một lần, tạo PASSWORD_RESET_GRANT băm, ràng đúng user; không tạo phiên đăng nhập.</t>
        </is>
      </c>
      <c r="N26" s="2" t="inlineStr">
        <is>
          <t xml:space="preserve">400 BAD_REQUEST
404 RESOURCE_NOT_FOUND
409 STATE_CONFLICT
409 IDEMPOTENCY_KEY_REUSED
422 VALIDATION_ERROR
422 TOKEN_INVALID_OR_EXPIRED
409 TOKEN_ALREADY_CONSUMED
429 RATE_LIMITED</t>
        </is>
      </c>
      <c r="O26" s="2" t="inlineStr">
        <is>
          <t xml:space="preserve"/>
        </is>
      </c>
      <c r="P26" s="2" t="inlineStr">
        <is>
          <t xml:space="preserve">Chưa làm</t>
        </is>
      </c>
      <c r="Q26" s="2" t="inlineStr">
        <is>
          <t xml:space="preserve">Chưa</t>
        </is>
      </c>
      <c r="R26" s="2" t="inlineStr">
        <is>
          <t xml:space="preserve">Chưa</t>
        </is>
      </c>
      <c r="S26" s="2" t="inlineStr">
        <is>
          <t xml:space="preserve">Chưa</t>
        </is>
      </c>
      <c r="T26" s="2" t="inlineStr">
        <is>
          <t xml:space="preserve">Chưa</t>
        </is>
      </c>
      <c r="U26" s="2" t="inlineStr">
        <is>
          <t xml:space="preserve">Chưa</t>
        </is>
      </c>
      <c r="V26" s="2" t="inlineStr">
        <is>
          <t xml:space="preserve">Chưa</t>
        </is>
      </c>
      <c r="W26" s="2" t="inlineStr">
        <is>
          <t xml:space="preserve">Chưa</t>
        </is>
      </c>
      <c r="X26" s="2" t="inlineStr">
        <is>
          <t xml:space="preserve">Chưa</t>
        </is>
      </c>
      <c r="Y26" s="3">
        <f>COUNTIF(Q26:X26,"Xong")/8</f>
        <v>0</v>
      </c>
      <c r="Z26" s="4" t="inlineStr">
        <is>
          <t xml:space="preserve"/>
        </is>
      </c>
      <c r="AA26" s="4" t="inlineStr">
        <is>
          <t xml:space="preserve"/>
        </is>
      </c>
      <c r="AB26" s="4" t="inlineStr">
        <is>
          <t xml:space="preserve"/>
        </is>
      </c>
      <c r="AC26" s="2" t="inlineStr">
        <is>
          <t xml:space="preserve"/>
        </is>
      </c>
      <c r="AD26" s="2" t="inlineStr">
        <is>
          <t xml:space="preserve">Happy path: Đổi OTP hợp lệ lấy quyền reset ngắn hạn; kiểm tra {resetGrant,expiresAt}.
Đầu vào sai/ID ẩn: không lộ dữ liệu riêng tư.
Ràng buộc: selector, session_key và refresh_token_hash có khóa duy nhất; expires_at phải sau created_at.
Gửi lặp cùng khóa trả kết quả cũ; cùng khóa khác payload trả 409; hai request tranh cùng tài nguyên không vượt hạn mức.
Kiểm tra lỗi DB/provider không để lại cập nhật dở hoặc trả thành công giả.</t>
        </is>
      </c>
      <c r="AE26" s="2" t="inlineStr">
        <is>
          <t xml:space="preserve"/>
        </is>
      </c>
      <c r="AF26" s="5" t="inlineStr">
        <is>
          <t xml:space="preserve">Mở đặc tả</t>
        </is>
      </c>
    </row>
    <row r="27" ht="70" customHeight="1">
      <c r="A27" s="0" t="inlineStr">
        <is>
          <t xml:space="preserve">API-026</t>
        </is>
      </c>
      <c r="B27" s="0" t="inlineStr">
        <is>
          <t xml:space="preserve">Tài khoản &amp; xác minh</t>
        </is>
      </c>
      <c r="C27" s="0" t="inlineStr">
        <is>
          <t xml:space="preserve">sessions</t>
        </is>
      </c>
      <c r="D27" s="0" t="inlineStr">
        <is>
          <t xml:space="preserve">POST</t>
        </is>
      </c>
      <c r="E27" s="0" t="inlineStr">
        <is>
          <t xml:space="preserve">/api/v1/auth/password-resets/complete</t>
        </is>
      </c>
      <c r="F27" s="0" t="inlineStr">
        <is>
          <t xml:space="preserve">Đặt mật khẩu mới</t>
        </is>
      </c>
      <c r="G27" s="0" t="inlineStr">
        <is>
          <t xml:space="preserve">PUBLIC</t>
        </is>
      </c>
      <c r="H27" s="0" t="inlineStr">
        <is>
          <t xml:space="preserve">P0</t>
        </is>
      </c>
      <c r="I27" s="0" t="inlineStr">
        <is>
          <t xml:space="preserve">D09: idempotency store nếu chưa có khóa tự nhiên</t>
        </is>
      </c>
      <c r="J27" s="0" t="inlineStr">
        <is>
          <t xml:space="preserve">SERVICE: cần triển khai giao dịch backend</t>
        </is>
      </c>
      <c r="K27" s="0" t="inlineStr">
        <is>
          <t xml:space="preserve">resetGrant: string (bắt buộc) — Grant chưa tiêu thụ và còn hạn.
newPassword: string (bắt buộc) — Tuân chính sách backend.</t>
        </is>
      </c>
      <c r="L27" s="0" t="inlineStr">
        <is>
          <t xml:space="preserve">{passwordChanged:true}</t>
        </is>
      </c>
      <c r="M27" s="0" t="inlineStr">
        <is>
          <t xml:space="preserve">Khóa và tiêu thụ grant; cập nhật password_hash + thu hồi các phiên trong một transaction.</t>
        </is>
      </c>
      <c r="N27" s="0" t="inlineStr">
        <is>
          <t xml:space="preserve">400 BAD_REQUEST
404 RESOURCE_NOT_FOUND
409 STATE_CONFLICT
409 IDEMPOTENCY_KEY_REUSED
422 VALIDATION_ERROR
422 TOKEN_INVALID_OR_EXPIRED
409 TOKEN_ALREADY_CONSUMED
429 RATE_LIMITED</t>
        </is>
      </c>
      <c r="O27" s="0" t="inlineStr">
        <is>
          <t xml:space="preserve"/>
        </is>
      </c>
      <c r="P27" s="0" t="inlineStr">
        <is>
          <t xml:space="preserve">Chưa làm</t>
        </is>
      </c>
      <c r="Q27" s="0" t="inlineStr">
        <is>
          <t xml:space="preserve">Chưa</t>
        </is>
      </c>
      <c r="R27" s="0" t="inlineStr">
        <is>
          <t xml:space="preserve">Chưa</t>
        </is>
      </c>
      <c r="S27" s="0" t="inlineStr">
        <is>
          <t xml:space="preserve">Chưa</t>
        </is>
      </c>
      <c r="T27" s="0" t="inlineStr">
        <is>
          <t xml:space="preserve">Chưa</t>
        </is>
      </c>
      <c r="U27" s="0" t="inlineStr">
        <is>
          <t xml:space="preserve">Chưa</t>
        </is>
      </c>
      <c r="V27" s="0" t="inlineStr">
        <is>
          <t xml:space="preserve">Chưa</t>
        </is>
      </c>
      <c r="W27" s="0" t="inlineStr">
        <is>
          <t xml:space="preserve">Chưa</t>
        </is>
      </c>
      <c r="X27" s="0" t="inlineStr">
        <is>
          <t xml:space="preserve">Chưa</t>
        </is>
      </c>
      <c r="Y27" s="3">
        <f>COUNTIF(Q27:X27,"Xong")/8</f>
        <v>0</v>
      </c>
      <c r="Z27" s="4" t="inlineStr">
        <is>
          <t xml:space="preserve"/>
        </is>
      </c>
      <c r="AA27" s="4" t="inlineStr">
        <is>
          <t xml:space="preserve"/>
        </is>
      </c>
      <c r="AB27" s="4" t="inlineStr">
        <is>
          <t xml:space="preserve"/>
        </is>
      </c>
      <c r="AC27" s="0" t="inlineStr">
        <is>
          <t xml:space="preserve"/>
        </is>
      </c>
      <c r="AD27" s="0" t="inlineStr">
        <is>
          <t xml:space="preserve">Happy path: Đặt mật khẩu mới; kiểm tra {passwordChanged:true}.
Đầu vào sai/ID ẩn: không lộ dữ liệu riêng tư.
Ràng buộc: selector, session_key và refresh_token_hash có khóa duy nhất; expires_at phải sau created_at.
Gửi lặp cùng khóa trả kết quả cũ; cùng khóa khác payload trả 409; hai request tranh cùng tài nguyên không vượt hạn mức.
Kiểm tra lỗi DB/provider không để lại cập nhật dở hoặc trả thành công giả.</t>
        </is>
      </c>
      <c r="AE27" s="0" t="inlineStr">
        <is>
          <t xml:space="preserve"/>
        </is>
      </c>
      <c r="AF27" s="5" t="inlineStr">
        <is>
          <t xml:space="preserve">Mở đặc tả</t>
        </is>
      </c>
    </row>
    <row r="28" ht="70" customHeight="1">
      <c r="A28" s="2" t="inlineStr">
        <is>
          <t xml:space="preserve">API-027</t>
        </is>
      </c>
      <c r="B28" s="2" t="inlineStr">
        <is>
          <t xml:space="preserve">Tài khoản &amp; xác minh</t>
        </is>
      </c>
      <c r="C28" s="2" t="inlineStr">
        <is>
          <t xml:space="preserve">sessions</t>
        </is>
      </c>
      <c r="D28" s="2" t="inlineStr">
        <is>
          <t xml:space="preserve">POST</t>
        </is>
      </c>
      <c r="E28" s="2" t="inlineStr">
        <is>
          <t xml:space="preserve">/api/v1/contracts/{contractId}/members/{memberId}/account-invitations</t>
        </is>
      </c>
      <c r="F28" s="2" t="inlineStr">
        <is>
          <t xml:space="preserve">Mời cư dân chưa có tài khoản liên kết</t>
        </is>
      </c>
      <c r="G28" s="2" t="inlineStr">
        <is>
          <t xml:space="preserve">LANDLORD: sở hữu nhà/phòng/hợp đồng</t>
        </is>
      </c>
      <c r="H28" s="2" t="inlineStr">
        <is>
          <t xml:space="preserve">P0</t>
        </is>
      </c>
      <c r="I28" s="2" t="inlineStr">
        <is>
          <t xml:space="preserve">Middleware auth/session/role + object scope
D09: idempotency store nếu chưa có khóa tự nhiên
D06</t>
        </is>
      </c>
      <c r="J28" s="2" t="inlineStr">
        <is>
          <t xml:space="preserve">SERVICE: cần triển khai giao dịch backend</t>
        </is>
      </c>
      <c r="K28" s="2" t="inlineStr">
        <is>
          <t xml:space="preserve">Không có JSON body</t>
        </is>
      </c>
      <c r="L28" s="2" t="inlineStr">
        <is>
          <t xml:space="preserve">{selector,expiresAt}</t>
        </is>
      </c>
      <c r="M28" s="2" t="inlineStr">
        <is>
          <t xml:space="preserve">Member đúng contract/phòng, tenant_id null. Tạo OCCUPANT_LINK gắn target_room_tenant_id; xác minh người nhận qua kênh được chốt.</t>
        </is>
      </c>
      <c r="N28" s="2" t="inlineStr">
        <is>
          <t xml:space="preserve">400 BAD_REQUEST
401 UNAUTHENTICATED
403 FORBIDDEN
404 RESOURCE_NOT_FOUND
409 STATE_CONFLICT
409 IDEMPOTENCY_KEY_REUSED
422 VALIDATION_ERROR
422 TOKEN_INVALID_OR_EXPIRED
409 TOKEN_ALREADY_CONSUMED
429 RATE_LIMITED</t>
        </is>
      </c>
      <c r="O28" s="2" t="inlineStr">
        <is>
          <t xml:space="preserve"/>
        </is>
      </c>
      <c r="P28" s="2" t="inlineStr">
        <is>
          <t xml:space="preserve">Chưa làm</t>
        </is>
      </c>
      <c r="Q28" s="2" t="inlineStr">
        <is>
          <t xml:space="preserve">Chưa</t>
        </is>
      </c>
      <c r="R28" s="2" t="inlineStr">
        <is>
          <t xml:space="preserve">Chưa</t>
        </is>
      </c>
      <c r="S28" s="2" t="inlineStr">
        <is>
          <t xml:space="preserve">Chưa</t>
        </is>
      </c>
      <c r="T28" s="2" t="inlineStr">
        <is>
          <t xml:space="preserve">Chưa</t>
        </is>
      </c>
      <c r="U28" s="2" t="inlineStr">
        <is>
          <t xml:space="preserve">Chưa</t>
        </is>
      </c>
      <c r="V28" s="2" t="inlineStr">
        <is>
          <t xml:space="preserve">Chưa</t>
        </is>
      </c>
      <c r="W28" s="2" t="inlineStr">
        <is>
          <t xml:space="preserve">Chưa</t>
        </is>
      </c>
      <c r="X28" s="2" t="inlineStr">
        <is>
          <t xml:space="preserve">Chưa</t>
        </is>
      </c>
      <c r="Y28" s="3">
        <f>COUNTIF(Q28:X28,"Xong")/8</f>
        <v>0</v>
      </c>
      <c r="Z28" s="4" t="inlineStr">
        <is>
          <t xml:space="preserve"/>
        </is>
      </c>
      <c r="AA28" s="4" t="inlineStr">
        <is>
          <t xml:space="preserve"/>
        </is>
      </c>
      <c r="AB28" s="4" t="inlineStr">
        <is>
          <t xml:space="preserve"/>
        </is>
      </c>
      <c r="AC28" s="2" t="inlineStr">
        <is>
          <t xml:space="preserve"/>
        </is>
      </c>
      <c r="AD28" s="2" t="inlineStr">
        <is>
          <t xml:space="preserve">Happy path: Mời cư dân chưa có tài khoản liên kết; kiểm tra {selector,expiresAt}.
Thiếu phiên/phiên revoked/actor LOCKED và actor khác chủ hoặc khác participant phải bị chặn.
Ràng buộc: selector, session_key và refresh_token_hash có khóa duy nhất; expires_at phải sau created_at.
Gửi lặp cùng khóa trả kết quả cũ; cùng khóa khác payload trả 409; hai request tranh cùng tài nguyên không vượt hạn mức.
Kiểm tra lỗi DB/provider không để lại cập nhật dở hoặc trả thành công giả.</t>
        </is>
      </c>
      <c r="AE28" s="2" t="inlineStr">
        <is>
          <t xml:space="preserve"/>
        </is>
      </c>
      <c r="AF28" s="5" t="inlineStr">
        <is>
          <t xml:space="preserve">Mở đặc tả</t>
        </is>
      </c>
    </row>
    <row r="29" ht="70" customHeight="1">
      <c r="A29" s="0" t="inlineStr">
        <is>
          <t xml:space="preserve">API-028</t>
        </is>
      </c>
      <c r="B29" s="0" t="inlineStr">
        <is>
          <t xml:space="preserve">Tài khoản &amp; xác minh</t>
        </is>
      </c>
      <c r="C29" s="0" t="inlineStr">
        <is>
          <t xml:space="preserve">sessions</t>
        </is>
      </c>
      <c r="D29" s="0" t="inlineStr">
        <is>
          <t xml:space="preserve">POST</t>
        </is>
      </c>
      <c r="E29" s="0" t="inlineStr">
        <is>
          <t xml:space="preserve">/api/v1/me/residency-links</t>
        </is>
      </c>
      <c r="F29" s="0" t="inlineStr">
        <is>
          <t xml:space="preserve">Nhận liên kết tài khoản với lượt cư trú</t>
        </is>
      </c>
      <c r="G29" s="0" t="inlineStr">
        <is>
          <t xml:space="preserve">TENANT: chỉ chính người thuê và tài nguyên được phép</t>
        </is>
      </c>
      <c r="H29" s="0" t="inlineStr">
        <is>
          <t xml:space="preserve">P0</t>
        </is>
      </c>
      <c r="I29" s="0" t="inlineStr">
        <is>
          <t xml:space="preserve">Middleware auth/session/role + object scope
D09: idempotency store nếu chưa có khóa tự nhiên
D06</t>
        </is>
      </c>
      <c r="J29" s="0" t="inlineStr">
        <is>
          <t xml:space="preserve">SERVICE: cần triển khai giao dịch backend</t>
        </is>
      </c>
      <c r="K29" s="0" t="inlineStr">
        <is>
          <t xml:space="preserve">selector: uuid (bắt buộc) — OCCUPANT_LINK còn hạn.
token: string (bắt buộc) — Mã được gửi tới đúng người.</t>
        </is>
      </c>
      <c r="L29" s="0" t="inlineStr">
        <is>
          <t xml:space="preserve">Resident {id,tenantId,status}</t>
        </is>
      </c>
      <c r="M29" s="0" t="inlineStr">
        <is>
          <t xml:space="preserve">Khóa token + member; đối chiếu danh tính, không nhận thay người; kiểm tra một ACTIVE toàn hệ thống; cập nhật liên kết và consumed atomically.</t>
        </is>
      </c>
      <c r="N29" s="0" t="inlineStr">
        <is>
          <t xml:space="preserve">400 BAD_REQUEST
401 UNAUTHENTICATED
403 FORBIDDEN
404 RESOURCE_NOT_FOUND
409 STATE_CONFLICT
409 IDEMPOTENCY_KEY_REUSED
422 VALIDATION_ERROR
422 TOKEN_INVALID_OR_EXPIRED
409 TOKEN_ALREADY_CONSUMED
429 RATE_LIMITED</t>
        </is>
      </c>
      <c r="O29" s="0" t="inlineStr">
        <is>
          <t xml:space="preserve"/>
        </is>
      </c>
      <c r="P29" s="0" t="inlineStr">
        <is>
          <t xml:space="preserve">Chưa làm</t>
        </is>
      </c>
      <c r="Q29" s="0" t="inlineStr">
        <is>
          <t xml:space="preserve">Chưa</t>
        </is>
      </c>
      <c r="R29" s="0" t="inlineStr">
        <is>
          <t xml:space="preserve">Chưa</t>
        </is>
      </c>
      <c r="S29" s="0" t="inlineStr">
        <is>
          <t xml:space="preserve">Chưa</t>
        </is>
      </c>
      <c r="T29" s="0" t="inlineStr">
        <is>
          <t xml:space="preserve">Chưa</t>
        </is>
      </c>
      <c r="U29" s="0" t="inlineStr">
        <is>
          <t xml:space="preserve">Chưa</t>
        </is>
      </c>
      <c r="V29" s="0" t="inlineStr">
        <is>
          <t xml:space="preserve">Chưa</t>
        </is>
      </c>
      <c r="W29" s="0" t="inlineStr">
        <is>
          <t xml:space="preserve">Chưa</t>
        </is>
      </c>
      <c r="X29" s="0" t="inlineStr">
        <is>
          <t xml:space="preserve">Chưa</t>
        </is>
      </c>
      <c r="Y29" s="3">
        <f>COUNTIF(Q29:X29,"Xong")/8</f>
        <v>0</v>
      </c>
      <c r="Z29" s="4" t="inlineStr">
        <is>
          <t xml:space="preserve"/>
        </is>
      </c>
      <c r="AA29" s="4" t="inlineStr">
        <is>
          <t xml:space="preserve"/>
        </is>
      </c>
      <c r="AB29" s="4" t="inlineStr">
        <is>
          <t xml:space="preserve"/>
        </is>
      </c>
      <c r="AC29" s="0" t="inlineStr">
        <is>
          <t xml:space="preserve"/>
        </is>
      </c>
      <c r="AD29" s="0" t="inlineStr">
        <is>
          <t xml:space="preserve">Happy path: Nhận liên kết tài khoản với lượt cư trú; kiểm tra Resident {id,tenantId,status}.
Thiếu phiên/phiên revoked/actor LOCKED và actor khác chủ hoặc khác participant phải bị chặn.
Ràng buộc: selector, session_key và refresh_token_hash có khóa duy nhất; expires_at phải sau created_at.
Gửi lặp cùng khóa trả kết quả cũ; cùng khóa khác payload trả 409; hai request tranh cùng tài nguyên không vượt hạn mức.
Kiểm tra lỗi DB/provider không để lại cập nhật dở hoặc trả thành công giả.</t>
        </is>
      </c>
      <c r="AE29" s="0" t="inlineStr">
        <is>
          <t xml:space="preserve"/>
        </is>
      </c>
      <c r="AF29" s="5" t="inlineStr">
        <is>
          <t xml:space="preserve">Mở đặc tả</t>
        </is>
      </c>
    </row>
    <row r="30" ht="70" customHeight="1">
      <c r="A30" s="2" t="inlineStr">
        <is>
          <t xml:space="preserve">API-029</t>
        </is>
      </c>
      <c r="B30" s="2" t="inlineStr">
        <is>
          <t xml:space="preserve">Nhà, quyền cho thuê &amp; phòng</t>
        </is>
      </c>
      <c r="C30" s="2" t="inlineStr">
        <is>
          <t xml:space="preserve">create-house</t>
        </is>
      </c>
      <c r="D30" s="2" t="inlineStr">
        <is>
          <t xml:space="preserve">GET</t>
        </is>
      </c>
      <c r="E30" s="2" t="inlineStr">
        <is>
          <t xml:space="preserve">/api/v1/houses</t>
        </is>
      </c>
      <c r="F30" s="2" t="inlineStr">
        <is>
          <t xml:space="preserve">Danh sách nhà thuộc chủ trọ</t>
        </is>
      </c>
      <c r="G30" s="2" t="inlineStr">
        <is>
          <t xml:space="preserve">LANDLORD: sở hữu nhà/phòng/hợp đồng</t>
        </is>
      </c>
      <c r="H30" s="2" t="inlineStr">
        <is>
          <t xml:space="preserve">P0</t>
        </is>
      </c>
      <c r="I30" s="2" t="inlineStr">
        <is>
          <t xml:space="preserve">Middleware auth/session/role + object scope</t>
        </is>
      </c>
      <c r="J30" s="2" t="inlineStr">
        <is>
          <t xml:space="preserve">READ: truy vấn có scope quyền</t>
        </is>
      </c>
      <c r="K30" s="2" t="inlineStr">
        <is>
          <t xml:space="preserve">Không có JSON body</t>
        </is>
      </c>
      <c r="L30" s="2" t="inlineStr">
        <is>
          <t xml:space="preserve">House[] và effectiveRentalRight</t>
        </is>
      </c>
      <c r="M30" s="2" t="inlineStr">
        <is>
          <t xml:space="preserve">Luôn scope landlord_id = actor; gồm cả nhà nháp chưa có phòng.</t>
        </is>
      </c>
      <c r="N30" s="2" t="inlineStr">
        <is>
          <t xml:space="preserve">400 BAD_REQUEST
401 UNAUTHENTICATED
403 FORBIDDEN
404 RESOURCE_NOT_FOUND
422 VALIDATION_ERROR</t>
        </is>
      </c>
      <c r="O30" s="2" t="inlineStr">
        <is>
          <t xml:space="preserve"/>
        </is>
      </c>
      <c r="P30" s="2" t="inlineStr">
        <is>
          <t xml:space="preserve">Chưa làm</t>
        </is>
      </c>
      <c r="Q30" s="2" t="inlineStr">
        <is>
          <t xml:space="preserve">Chưa</t>
        </is>
      </c>
      <c r="R30" s="2" t="inlineStr">
        <is>
          <t xml:space="preserve">Chưa</t>
        </is>
      </c>
      <c r="S30" s="2" t="inlineStr">
        <is>
          <t xml:space="preserve">Chưa</t>
        </is>
      </c>
      <c r="T30" s="2" t="inlineStr">
        <is>
          <t xml:space="preserve">Chưa</t>
        </is>
      </c>
      <c r="U30" s="2" t="inlineStr">
        <is>
          <t xml:space="preserve">Chưa</t>
        </is>
      </c>
      <c r="V30" s="2" t="inlineStr">
        <is>
          <t xml:space="preserve">Chưa</t>
        </is>
      </c>
      <c r="W30" s="2" t="inlineStr">
        <is>
          <t xml:space="preserve">Chưa</t>
        </is>
      </c>
      <c r="X30" s="2" t="inlineStr">
        <is>
          <t xml:space="preserve">Chưa</t>
        </is>
      </c>
      <c r="Y30" s="3">
        <f>COUNTIF(Q30:X30,"Xong")/8</f>
        <v>0</v>
      </c>
      <c r="Z30" s="4" t="inlineStr">
        <is>
          <t xml:space="preserve"/>
        </is>
      </c>
      <c r="AA30" s="4" t="inlineStr">
        <is>
          <t xml:space="preserve"/>
        </is>
      </c>
      <c r="AB30" s="4" t="inlineStr">
        <is>
          <t xml:space="preserve"/>
        </is>
      </c>
      <c r="AC30" s="2" t="inlineStr">
        <is>
          <t xml:space="preserve"/>
        </is>
      </c>
      <c r="AD30" s="2" t="inlineStr">
        <is>
          <t xml:space="preserve">Happy path: Danh sách nhà thuộc chủ trọ; kiểm tra House[] và effectiveRentalRight.
Thiếu phiên/phiên revoked/actor LOCKED và actor khác chủ hoặc khác participant phải bị chặn.
Ràng buộc: uq_houses_creation chống tạo trùng theo landlord_id + creation_key; cặp vĩ độ/kinh độ cùng NULL hoặc cùng hợp lệ.
Phân trang/lọc đúng scope; dữ liệu riêng tư bị loại trên server, không chỉ ẩn UI.
Kiểm tra lỗi DB/provider không để lại cập nhật dở hoặc trả thành công giả.</t>
        </is>
      </c>
      <c r="AE30" s="2" t="inlineStr">
        <is>
          <t xml:space="preserve"/>
        </is>
      </c>
      <c r="AF30" s="5" t="inlineStr">
        <is>
          <t xml:space="preserve">Mở đặc tả</t>
        </is>
      </c>
    </row>
    <row r="31" ht="70" customHeight="1">
      <c r="A31" s="0" t="inlineStr">
        <is>
          <t xml:space="preserve">API-030</t>
        </is>
      </c>
      <c r="B31" s="0" t="inlineStr">
        <is>
          <t xml:space="preserve">Nhà, quyền cho thuê &amp; phòng</t>
        </is>
      </c>
      <c r="C31" s="0" t="inlineStr">
        <is>
          <t xml:space="preserve">create-house</t>
        </is>
      </c>
      <c r="D31" s="0" t="inlineStr">
        <is>
          <t xml:space="preserve">POST</t>
        </is>
      </c>
      <c r="E31" s="0" t="inlineStr">
        <is>
          <t xml:space="preserve">/api/v1/houses</t>
        </is>
      </c>
      <c r="F31" s="0" t="inlineStr">
        <is>
          <t xml:space="preserve">Tạo nhà nháp</t>
        </is>
      </c>
      <c r="G31" s="0" t="inlineStr">
        <is>
          <t xml:space="preserve">LANDLORD: sở hữu nhà/phòng/hợp đồng</t>
        </is>
      </c>
      <c r="H31" s="0" t="inlineStr">
        <is>
          <t xml:space="preserve">P0</t>
        </is>
      </c>
      <c r="I31" s="0" t="inlineStr">
        <is>
          <t xml:space="preserve">Middleware auth/session/role + object scope
D09: idempotency store nếu chưa có khóa tự nhiên</t>
        </is>
      </c>
      <c r="J31" s="0" t="inlineStr">
        <is>
          <t xml:space="preserve">sp_create_rental_house</t>
        </is>
      </c>
      <c r="K31" s="0" t="inlineStr">
        <is>
          <t xml:space="preserve">name: string (bắt buộc) — 1–150 ký tự.
address: string (bắt buộc) — 1–500 ký tự.
provinceCode: string (bắt buộc) — Mã tỉnh từ danh mục được backend cấu hình; tối đa 30 ký tự.</t>
        </is>
      </c>
      <c r="L31" s="0" t="inlineStr">
        <is>
          <t xml:space="preserve">House {id,rowVersion,verificationVersion,effectiveRentalRight:null}</t>
        </is>
      </c>
      <c r="M31" s="0" t="inlineStr">
        <is>
          <t xml:space="preserve">Idempotency-Key → creation_key; sp_create_rental_house chỉ nhận name/address/province/key. Các field vị trí/ghi chú gửi PATCH sau tạo; response nói rõ field nào đã lưu.</t>
        </is>
      </c>
      <c r="N31" s="0" t="inlineStr">
        <is>
          <t xml:space="preserve">400 BAD_REQUEST
401 UNAUTHENTICATED
403 FORBIDDEN
404 RESOURCE_NOT_FOUND
409 STATE_CONFLICT
409 IDEMPOTENCY_KEY_REUSED
422 VALIDATION_ERROR
409 HOUSE_VERSION_CHANGED
422 HOUSE_COORDINATES_INVALID</t>
        </is>
      </c>
      <c r="O31" s="0" t="inlineStr">
        <is>
          <t xml:space="preserve"/>
        </is>
      </c>
      <c r="P31" s="0" t="inlineStr">
        <is>
          <t xml:space="preserve">Chưa làm</t>
        </is>
      </c>
      <c r="Q31" s="0" t="inlineStr">
        <is>
          <t xml:space="preserve">Chưa</t>
        </is>
      </c>
      <c r="R31" s="0" t="inlineStr">
        <is>
          <t xml:space="preserve">Chưa</t>
        </is>
      </c>
      <c r="S31" s="0" t="inlineStr">
        <is>
          <t xml:space="preserve">Chưa</t>
        </is>
      </c>
      <c r="T31" s="0" t="inlineStr">
        <is>
          <t xml:space="preserve">Chưa</t>
        </is>
      </c>
      <c r="U31" s="0" t="inlineStr">
        <is>
          <t xml:space="preserve">Chưa</t>
        </is>
      </c>
      <c r="V31" s="0" t="inlineStr">
        <is>
          <t xml:space="preserve">Chưa</t>
        </is>
      </c>
      <c r="W31" s="0" t="inlineStr">
        <is>
          <t xml:space="preserve">Chưa</t>
        </is>
      </c>
      <c r="X31" s="0" t="inlineStr">
        <is>
          <t xml:space="preserve">Chưa</t>
        </is>
      </c>
      <c r="Y31" s="3">
        <f>COUNTIF(Q31:X31,"Xong")/8</f>
        <v>0</v>
      </c>
      <c r="Z31" s="4" t="inlineStr">
        <is>
          <t xml:space="preserve"/>
        </is>
      </c>
      <c r="AA31" s="4" t="inlineStr">
        <is>
          <t xml:space="preserve"/>
        </is>
      </c>
      <c r="AB31" s="4" t="inlineStr">
        <is>
          <t xml:space="preserve"/>
        </is>
      </c>
      <c r="AC31" s="0" t="inlineStr">
        <is>
          <t xml:space="preserve"/>
        </is>
      </c>
      <c r="AD31" s="0" t="inlineStr">
        <is>
          <t xml:space="preserve">Happy path: Tạo nhà nháp; kiểm tra House {id,rowVersion,verificationVersion,effectiveRentalRight:null}.
Thiếu phiên/phiên revoked/actor LOCKED và actor khác chủ hoặc khác participant phải bị chặn.
Ràng buộc: uq_houses_creation chống tạo trùng theo landlord_id + creation_key; cặp vĩ độ/kinh độ cùng NULL hoặc cùng hợp lệ.
Gửi lặp cùng khóa trả kết quả cũ; cùng khóa khác payload trả 409; hai request tranh cùng tài nguyên không vượt hạn mức.
Lỗi giữa giao dịch phải rollback; xác minh không bọc CALL trong transaction của ứng dụng.</t>
        </is>
      </c>
      <c r="AE31" s="0" t="inlineStr">
        <is>
          <t xml:space="preserve"/>
        </is>
      </c>
      <c r="AF31" s="5" t="inlineStr">
        <is>
          <t xml:space="preserve">Mở đặc tả</t>
        </is>
      </c>
    </row>
    <row r="32" ht="70" customHeight="1">
      <c r="A32" s="2" t="inlineStr">
        <is>
          <t xml:space="preserve">API-031</t>
        </is>
      </c>
      <c r="B32" s="2" t="inlineStr">
        <is>
          <t xml:space="preserve">Nhà, quyền cho thuê &amp; phòng</t>
        </is>
      </c>
      <c r="C32" s="2" t="inlineStr">
        <is>
          <t xml:space="preserve">create-house</t>
        </is>
      </c>
      <c r="D32" s="2" t="inlineStr">
        <is>
          <t xml:space="preserve">GET</t>
        </is>
      </c>
      <c r="E32" s="2" t="inlineStr">
        <is>
          <t xml:space="preserve">/api/v1/houses/{houseId}</t>
        </is>
      </c>
      <c r="F32" s="2" t="inlineStr">
        <is>
          <t xml:space="preserve">Chi tiết nhà quản lý</t>
        </is>
      </c>
      <c r="G32" s="2" t="inlineStr">
        <is>
          <t xml:space="preserve">LANDLORD: sở hữu nhà/phòng/hợp đồng</t>
        </is>
      </c>
      <c r="H32" s="2" t="inlineStr">
        <is>
          <t xml:space="preserve">P0</t>
        </is>
      </c>
      <c r="I32" s="2" t="inlineStr">
        <is>
          <t xml:space="preserve">Middleware auth/session/role + object scope</t>
        </is>
      </c>
      <c r="J32" s="2" t="inlineStr">
        <is>
          <t xml:space="preserve">READ: truy vấn có scope quyền</t>
        </is>
      </c>
      <c r="K32" s="2" t="inlineStr">
        <is>
          <t xml:space="preserve">Không có JSON body</t>
        </is>
      </c>
      <c r="L32" s="2" t="inlineStr">
        <is>
          <t xml:space="preserve">House và quyền hiện hành/lịch sử tóm tắt</t>
        </is>
      </c>
      <c r="M32" s="2" t="inlineStr">
        <is>
          <t xml:space="preserve">Chỉ nhà thuộc mình. Admin đọc qua route admin verification, không tự cấp quyền sửa.</t>
        </is>
      </c>
      <c r="N32" s="2" t="inlineStr">
        <is>
          <t xml:space="preserve">400 BAD_REQUEST
401 UNAUTHENTICATED
403 FORBIDDEN
404 RESOURCE_NOT_FOUND</t>
        </is>
      </c>
      <c r="O32" s="2" t="inlineStr">
        <is>
          <t xml:space="preserve"/>
        </is>
      </c>
      <c r="P32" s="2" t="inlineStr">
        <is>
          <t xml:space="preserve">Chưa làm</t>
        </is>
      </c>
      <c r="Q32" s="2" t="inlineStr">
        <is>
          <t xml:space="preserve">Chưa</t>
        </is>
      </c>
      <c r="R32" s="2" t="inlineStr">
        <is>
          <t xml:space="preserve">Chưa</t>
        </is>
      </c>
      <c r="S32" s="2" t="inlineStr">
        <is>
          <t xml:space="preserve">Chưa</t>
        </is>
      </c>
      <c r="T32" s="2" t="inlineStr">
        <is>
          <t xml:space="preserve">Chưa</t>
        </is>
      </c>
      <c r="U32" s="2" t="inlineStr">
        <is>
          <t xml:space="preserve">Chưa</t>
        </is>
      </c>
      <c r="V32" s="2" t="inlineStr">
        <is>
          <t xml:space="preserve">Chưa</t>
        </is>
      </c>
      <c r="W32" s="2" t="inlineStr">
        <is>
          <t xml:space="preserve">Chưa</t>
        </is>
      </c>
      <c r="X32" s="2" t="inlineStr">
        <is>
          <t xml:space="preserve">Chưa</t>
        </is>
      </c>
      <c r="Y32" s="3">
        <f>COUNTIF(Q32:X32,"Xong")/8</f>
        <v>0</v>
      </c>
      <c r="Z32" s="4" t="inlineStr">
        <is>
          <t xml:space="preserve"/>
        </is>
      </c>
      <c r="AA32" s="4" t="inlineStr">
        <is>
          <t xml:space="preserve"/>
        </is>
      </c>
      <c r="AB32" s="4" t="inlineStr">
        <is>
          <t xml:space="preserve"/>
        </is>
      </c>
      <c r="AC32" s="2" t="inlineStr">
        <is>
          <t xml:space="preserve"/>
        </is>
      </c>
      <c r="AD32" s="2" t="inlineStr">
        <is>
          <t xml:space="preserve">Happy path: Chi tiết nhà quản lý; kiểm tra House và quyền hiện hành/lịch sử tóm tắt.
Thiếu phiên/phiên revoked/actor LOCKED và actor khác chủ hoặc khác participant phải bị chặn.
Ràng buộc: uq_houses_creation chống tạo trùng theo landlord_id + creation_key; cặp vĩ độ/kinh độ cùng NULL hoặc cùng hợp lệ.
Phân trang/lọc đúng scope; dữ liệu riêng tư bị loại trên server, không chỉ ẩn UI.
Kiểm tra lỗi DB/provider không để lại cập nhật dở hoặc trả thành công giả.</t>
        </is>
      </c>
      <c r="AE32" s="2" t="inlineStr">
        <is>
          <t xml:space="preserve"/>
        </is>
      </c>
      <c r="AF32" s="5" t="inlineStr">
        <is>
          <t xml:space="preserve">Mở đặc tả</t>
        </is>
      </c>
    </row>
    <row r="33" ht="70" customHeight="1">
      <c r="A33" s="0" t="inlineStr">
        <is>
          <t xml:space="preserve">API-032</t>
        </is>
      </c>
      <c r="B33" s="0" t="inlineStr">
        <is>
          <t xml:space="preserve">Nhà, quyền cho thuê &amp; phòng</t>
        </is>
      </c>
      <c r="C33" s="0" t="inlineStr">
        <is>
          <t xml:space="preserve">create-house</t>
        </is>
      </c>
      <c r="D33" s="0" t="inlineStr">
        <is>
          <t xml:space="preserve">PATCH</t>
        </is>
      </c>
      <c r="E33" s="0" t="inlineStr">
        <is>
          <t xml:space="preserve">/api/v1/houses/{houseId}</t>
        </is>
      </c>
      <c r="F33" s="0" t="inlineStr">
        <is>
          <t xml:space="preserve">Sửa nhà và kiểm tra phiên bản</t>
        </is>
      </c>
      <c r="G33" s="0" t="inlineStr">
        <is>
          <t xml:space="preserve">LANDLORD: sở hữu nhà/phòng/hợp đồng</t>
        </is>
      </c>
      <c r="H33" s="0" t="inlineStr">
        <is>
          <t xml:space="preserve">P0</t>
        </is>
      </c>
      <c r="I33" s="0" t="inlineStr">
        <is>
          <t xml:space="preserve">Middleware auth/session/role + object scope
D09: idempotency store nếu chưa có khóa tự nhiên
D15: kiểm tra version trong khóa</t>
        </is>
      </c>
      <c r="J33" s="0" t="inlineStr">
        <is>
          <t xml:space="preserve">sp_update_rental_house</t>
        </is>
      </c>
      <c r="K33" s="0" t="inlineStr">
        <is>
          <t xml:space="preserve">name: string (tùy chọn) — 1–150 ký tự.
address: string (tùy chọn) — 1–500 ký tự.
provinceCode: string (tùy chọn) — Mã tỉnh từ danh mục được backend cấu hình; tối đa 30 ký tự.
localityCode: string (tùy chọn) — Tối đa 30 ký tự; cùng tỉnh.
areaLabel: string (tùy chọn) — Tối đa 150 ký tự.
latitude: decimal (tùy chọn) — [-90,90]; phải có cả latitude và longitude hoặc cùng null.
longitude: decimal (tùy chọn) — [-180,180]; tối đa 7 số thập phân.
notes: string (tùy chọn) — Tối đa 2.000 ký tự.</t>
        </is>
      </c>
      <c r="L33" s="0" t="inlineStr">
        <is>
          <t xml:space="preserve">House {rowVersion,verificationVersion,effectiveRentalRight}</t>
        </is>
      </c>
      <c r="M33" s="0" t="inlineStr">
        <is>
          <t xml:space="preserve">If-Match → p_version. Đổi địa chỉ/tỉnh/địa phương/tọa độ tăng verification_version, hồ sơ chờ bị rút, quyền cũ không còn khớp; đổi tên/notes không đổi định danh. API đọc field hiện tại để truyền đủ tham số vào procedure.</t>
        </is>
      </c>
      <c r="N33" s="0" t="inlineStr">
        <is>
          <t xml:space="preserve">400 BAD_REQUEST
401 UNAUTHENTICATED
403 FORBIDDEN
404 RESOURCE_NOT_FOUND
409 STATE_CONFLICT
409 IDEMPOTENCY_KEY_REUSED
422 VALIDATION_ERROR
409 HOUSE_VERSION_CHANGED
422 HOUSE_COORDINATES_INVALID</t>
        </is>
      </c>
      <c r="O33" s="0" t="inlineStr">
        <is>
          <t xml:space="preserve"/>
        </is>
      </c>
      <c r="P33" s="0" t="inlineStr">
        <is>
          <t xml:space="preserve">Chưa làm</t>
        </is>
      </c>
      <c r="Q33" s="0" t="inlineStr">
        <is>
          <t xml:space="preserve">Chưa</t>
        </is>
      </c>
      <c r="R33" s="0" t="inlineStr">
        <is>
          <t xml:space="preserve">Chưa</t>
        </is>
      </c>
      <c r="S33" s="0" t="inlineStr">
        <is>
          <t xml:space="preserve">Chưa</t>
        </is>
      </c>
      <c r="T33" s="0" t="inlineStr">
        <is>
          <t xml:space="preserve">Chưa</t>
        </is>
      </c>
      <c r="U33" s="0" t="inlineStr">
        <is>
          <t xml:space="preserve">Chưa</t>
        </is>
      </c>
      <c r="V33" s="0" t="inlineStr">
        <is>
          <t xml:space="preserve">Chưa</t>
        </is>
      </c>
      <c r="W33" s="0" t="inlineStr">
        <is>
          <t xml:space="preserve">Chưa</t>
        </is>
      </c>
      <c r="X33" s="0" t="inlineStr">
        <is>
          <t xml:space="preserve">Chưa</t>
        </is>
      </c>
      <c r="Y33" s="3">
        <f>COUNTIF(Q33:X33,"Xong")/8</f>
        <v>0</v>
      </c>
      <c r="Z33" s="4" t="inlineStr">
        <is>
          <t xml:space="preserve"/>
        </is>
      </c>
      <c r="AA33" s="4" t="inlineStr">
        <is>
          <t xml:space="preserve"/>
        </is>
      </c>
      <c r="AB33" s="4" t="inlineStr">
        <is>
          <t xml:space="preserve"/>
        </is>
      </c>
      <c r="AC33" s="0" t="inlineStr">
        <is>
          <t xml:space="preserve"/>
        </is>
      </c>
      <c r="AD33" s="0" t="inlineStr">
        <is>
          <t xml:space="preserve">Happy path: Sửa nhà và kiểm tra phiên bản; kiểm tra House {rowVersion,verificationVersion,effectiveRentalRight}.
Thiếu phiên/phiên revoked/actor LOCKED và actor khác chủ hoặc khác participant phải bị chặn.
Ràng buộc: uq_houses_creation chống tạo trùng theo landlord_id + creation_key; cặp vĩ độ/kinh độ cùng NULL hoặc cùng hợp lệ.
Gửi lặp cùng khóa trả kết quả cũ; cùng khóa khác payload trả 409; hai request tranh cùng tài nguyên không vượt hạn mức.
Lỗi giữa giao dịch phải rollback; xác minh không bọc CALL trong transaction của ứng dụng.</t>
        </is>
      </c>
      <c r="AE33" s="0" t="inlineStr">
        <is>
          <t xml:space="preserve"/>
        </is>
      </c>
      <c r="AF33" s="5" t="inlineStr">
        <is>
          <t xml:space="preserve">Mở đặc tả</t>
        </is>
      </c>
    </row>
    <row r="34" ht="70" customHeight="1">
      <c r="A34" s="2" t="inlineStr">
        <is>
          <t xml:space="preserve">API-033</t>
        </is>
      </c>
      <c r="B34" s="2" t="inlineStr">
        <is>
          <t xml:space="preserve">Nhà, quyền cho thuê &amp; phòng</t>
        </is>
      </c>
      <c r="C34" s="2" t="inlineStr">
        <is>
          <t xml:space="preserve">house-proof</t>
        </is>
      </c>
      <c r="D34" s="2" t="inlineStr">
        <is>
          <t xml:space="preserve">GET</t>
        </is>
      </c>
      <c r="E34" s="2" t="inlineStr">
        <is>
          <t xml:space="preserve">/api/v1/houses/{houseId}/verifications</t>
        </is>
      </c>
      <c r="F34" s="2" t="inlineStr">
        <is>
          <t xml:space="preserve">Lịch sử quyền cho thuê từng nhà</t>
        </is>
      </c>
      <c r="G34" s="2" t="inlineStr">
        <is>
          <t xml:space="preserve">LANDLORD: sở hữu nhà/phòng/hợp đồng</t>
        </is>
      </c>
      <c r="H34" s="2" t="inlineStr">
        <is>
          <t xml:space="preserve">P0</t>
        </is>
      </c>
      <c r="I34" s="2" t="inlineStr">
        <is>
          <t xml:space="preserve">Middleware auth/session/role + object scope</t>
        </is>
      </c>
      <c r="J34" s="2" t="inlineStr">
        <is>
          <t xml:space="preserve">READ: truy vấn có scope quyền</t>
        </is>
      </c>
      <c r="K34" s="2" t="inlineStr">
        <is>
          <t xml:space="preserve">Không có JSON body</t>
        </is>
      </c>
      <c r="L34" s="2" t="inlineStr">
        <is>
          <t xml:space="preserve">HouseVerification[] và effectiveRentalRight</t>
        </is>
      </c>
      <c r="M34" s="2" t="inlineStr">
        <is>
          <t xml:space="preserve">Không suy quyền từ việc chỉ có status APPROVED; đối chiếu version/chủ/thời hạn qua view.</t>
        </is>
      </c>
      <c r="N34" s="2" t="inlineStr">
        <is>
          <t xml:space="preserve">400 BAD_REQUEST
401 UNAUTHENTICATED
403 FORBIDDEN
404 RESOURCE_NOT_FOUND
422 VALIDATION_ERROR</t>
        </is>
      </c>
      <c r="O34" s="2" t="inlineStr">
        <is>
          <t xml:space="preserve"/>
        </is>
      </c>
      <c r="P34" s="2" t="inlineStr">
        <is>
          <t xml:space="preserve">Chưa làm</t>
        </is>
      </c>
      <c r="Q34" s="2" t="inlineStr">
        <is>
          <t xml:space="preserve">Chưa</t>
        </is>
      </c>
      <c r="R34" s="2" t="inlineStr">
        <is>
          <t xml:space="preserve">Chưa</t>
        </is>
      </c>
      <c r="S34" s="2" t="inlineStr">
        <is>
          <t xml:space="preserve">Chưa</t>
        </is>
      </c>
      <c r="T34" s="2" t="inlineStr">
        <is>
          <t xml:space="preserve">Chưa</t>
        </is>
      </c>
      <c r="U34" s="2" t="inlineStr">
        <is>
          <t xml:space="preserve">Chưa</t>
        </is>
      </c>
      <c r="V34" s="2" t="inlineStr">
        <is>
          <t xml:space="preserve">Chưa</t>
        </is>
      </c>
      <c r="W34" s="2" t="inlineStr">
        <is>
          <t xml:space="preserve">Chưa</t>
        </is>
      </c>
      <c r="X34" s="2" t="inlineStr">
        <is>
          <t xml:space="preserve">Chưa</t>
        </is>
      </c>
      <c r="Y34" s="3">
        <f>COUNTIF(Q34:X34,"Xong")/8</f>
        <v>0</v>
      </c>
      <c r="Z34" s="4" t="inlineStr">
        <is>
          <t xml:space="preserve"/>
        </is>
      </c>
      <c r="AA34" s="4" t="inlineStr">
        <is>
          <t xml:space="preserve"/>
        </is>
      </c>
      <c r="AB34" s="4" t="inlineStr">
        <is>
          <t xml:space="preserve"/>
        </is>
      </c>
      <c r="AC34" s="2" t="inlineStr">
        <is>
          <t xml:space="preserve"/>
        </is>
      </c>
      <c r="AD34" s="2" t="inlineStr">
        <is>
          <t xml:space="preserve">Happy path: Lịch sử quyền cho thuê từng nhà; kiểm tra HouseVerification[] và effectiveRentalRight.
Thiếu phiên/phiên revoked/actor LOCKED và actor khác chủ hoặc khác participant phải bị chặn.
Ràng buộc: Một hồ sơ chờ và một phê duyệt hiện hành cho mỗi nhà; tệp PRIVATE, thuộc người nộp. Hồ sơ và minh chứng đã nộp được giữ bất biến.
Phân trang/lọc đúng scope; dữ liệu riêng tư bị loại trên server, không chỉ ẩn UI.
Kiểm tra lỗi DB/provider không để lại cập nhật dở hoặc trả thành công giả.</t>
        </is>
      </c>
      <c r="AE34" s="2" t="inlineStr">
        <is>
          <t xml:space="preserve"/>
        </is>
      </c>
      <c r="AF34" s="5" t="inlineStr">
        <is>
          <t xml:space="preserve">Mở đặc tả</t>
        </is>
      </c>
    </row>
    <row r="35" ht="70" customHeight="1">
      <c r="A35" s="0" t="inlineStr">
        <is>
          <t xml:space="preserve">API-034</t>
        </is>
      </c>
      <c r="B35" s="0" t="inlineStr">
        <is>
          <t xml:space="preserve">Nhà, quyền cho thuê &amp; phòng</t>
        </is>
      </c>
      <c r="C35" s="0" t="inlineStr">
        <is>
          <t xml:space="preserve">house-proof</t>
        </is>
      </c>
      <c r="D35" s="0" t="inlineStr">
        <is>
          <t xml:space="preserve">POST</t>
        </is>
      </c>
      <c r="E35" s="0" t="inlineStr">
        <is>
          <t xml:space="preserve">/api/v1/houses/{houseId}/verifications</t>
        </is>
      </c>
      <c r="F35" s="0" t="inlineStr">
        <is>
          <t xml:space="preserve">Nộp minh chứng quyền cho thuê</t>
        </is>
      </c>
      <c r="G35" s="0" t="inlineStr">
        <is>
          <t xml:space="preserve">LANDLORD: sở hữu nhà/phòng/hợp đồng</t>
        </is>
      </c>
      <c r="H35" s="0" t="inlineStr">
        <is>
          <t xml:space="preserve">P0</t>
        </is>
      </c>
      <c r="I35" s="0" t="inlineStr">
        <is>
          <t xml:space="preserve">Middleware auth/session/role + object scope
D09: idempotency store nếu chưa có khóa tự nhiên</t>
        </is>
      </c>
      <c r="J35" s="0" t="inlineStr">
        <is>
          <t xml:space="preserve">sp_submit_house_verification</t>
        </is>
      </c>
      <c r="K35" s="0" t="inlineStr">
        <is>
          <t xml:space="preserve">rightType: enum (bắt buộc) — OWNER / AUTHORIZED / SUBLESSOR.
scopeDescription: string (bắt buộc) — 1–2.000 ký tự, phạm vi cho cả nhà.
validFrom: date (bắt buộc) — Có thể nộp tương lai, chưa duyệt trước ngày này.
validUntil: date (tùy chọn) — Bắt buộc AUTHORIZED/SUBLESSOR; ≥ validFrom và không trước hôm nay.
documents: object[] (bắt buộc) — 1–8 phần tử {fileId,documentType}. OWNER: OWNER_PROOF; AUTHORIZED thêm AUTHORIZATION; SUBLESSOR: LEASE_AGREEMENT + SUBLET_CONSENT.</t>
        </is>
      </c>
      <c r="L35" s="0" t="inlineStr">
        <is>
          <t xml:space="preserve">HouseVerification {id,status:PENDING,houseVersion}</t>
        </is>
      </c>
      <c r="M35" s="0" t="inlineStr">
        <is>
          <t xml:space="preserve">Tệp PRIVATE ACTIVE LANDLORD_PROOF, đúng chủ, 1–5.242.880 bytes, PDF/JPEG/PNG/WebP, chưa hết hạn; snapshot bất biến. Chỉ một PENDING/nhà.</t>
        </is>
      </c>
      <c r="N35" s="0" t="inlineStr">
        <is>
          <t xml:space="preserve">400 BAD_REQUEST
401 UNAUTHENTICATED
403 FORBIDDEN
404 RESOURCE_NOT_FOUND
409 STATE_CONFLICT
409 IDEMPOTENCY_KEY_REUSED
422 VALIDATION_ERROR
409 PENDING_HOUSE_VERIFICATION_EXISTS
422 HOUSE_PROOF_INVALID
409 HOUSE_IDENTITY_CHANGED</t>
        </is>
      </c>
      <c r="O35" s="0" t="inlineStr">
        <is>
          <t xml:space="preserve"/>
        </is>
      </c>
      <c r="P35" s="0" t="inlineStr">
        <is>
          <t xml:space="preserve">Chưa làm</t>
        </is>
      </c>
      <c r="Q35" s="0" t="inlineStr">
        <is>
          <t xml:space="preserve">Chưa</t>
        </is>
      </c>
      <c r="R35" s="0" t="inlineStr">
        <is>
          <t xml:space="preserve">Chưa</t>
        </is>
      </c>
      <c r="S35" s="0" t="inlineStr">
        <is>
          <t xml:space="preserve">Chưa</t>
        </is>
      </c>
      <c r="T35" s="0" t="inlineStr">
        <is>
          <t xml:space="preserve">Chưa</t>
        </is>
      </c>
      <c r="U35" s="0" t="inlineStr">
        <is>
          <t xml:space="preserve">Chưa</t>
        </is>
      </c>
      <c r="V35" s="0" t="inlineStr">
        <is>
          <t xml:space="preserve">Chưa</t>
        </is>
      </c>
      <c r="W35" s="0" t="inlineStr">
        <is>
          <t xml:space="preserve">Chưa</t>
        </is>
      </c>
      <c r="X35" s="0" t="inlineStr">
        <is>
          <t xml:space="preserve">Chưa</t>
        </is>
      </c>
      <c r="Y35" s="3">
        <f>COUNTIF(Q35:X35,"Xong")/8</f>
        <v>0</v>
      </c>
      <c r="Z35" s="4" t="inlineStr">
        <is>
          <t xml:space="preserve"/>
        </is>
      </c>
      <c r="AA35" s="4" t="inlineStr">
        <is>
          <t xml:space="preserve"/>
        </is>
      </c>
      <c r="AB35" s="4" t="inlineStr">
        <is>
          <t xml:space="preserve"/>
        </is>
      </c>
      <c r="AC35" s="0" t="inlineStr">
        <is>
          <t xml:space="preserve"/>
        </is>
      </c>
      <c r="AD35" s="0" t="inlineStr">
        <is>
          <t xml:space="preserve">Happy path: Nộp minh chứng quyền cho thuê; kiểm tra HouseVerification {id,status:PENDING,houseVersion}.
Thiếu phiên/phiên revoked/actor LOCKED và actor khác chủ hoặc khác participant phải bị chặn.
Ràng buộc: Một hồ sơ chờ và một phê duyệt hiện hành cho mỗi nhà; tệp PRIVATE, thuộc người nộp. Hồ sơ và minh chứng đã nộp được giữ bất biến.
Gửi lặp cùng khóa trả kết quả cũ; cùng khóa khác payload trả 409; hai request tranh cùng tài nguyên không vượt hạn mức.
Lỗi giữa giao dịch phải rollback; xác minh không bọc CALL trong transaction của ứng dụng.</t>
        </is>
      </c>
      <c r="AE35" s="0" t="inlineStr">
        <is>
          <t xml:space="preserve"/>
        </is>
      </c>
      <c r="AF35" s="5" t="inlineStr">
        <is>
          <t xml:space="preserve">Mở đặc tả</t>
        </is>
      </c>
    </row>
    <row r="36" ht="70" customHeight="1">
      <c r="A36" s="2" t="inlineStr">
        <is>
          <t xml:space="preserve">API-035</t>
        </is>
      </c>
      <c r="B36" s="2" t="inlineStr">
        <is>
          <t xml:space="preserve">Nhà, quyền cho thuê &amp; phòng</t>
        </is>
      </c>
      <c r="C36" s="2" t="inlineStr">
        <is>
          <t xml:space="preserve">house-proof</t>
        </is>
      </c>
      <c r="D36" s="2" t="inlineStr">
        <is>
          <t xml:space="preserve">GET</t>
        </is>
      </c>
      <c r="E36" s="2" t="inlineStr">
        <is>
          <t xml:space="preserve">/api/v1/houses/{houseId}/verifications/{verificationId}</t>
        </is>
      </c>
      <c r="F36" s="2" t="inlineStr">
        <is>
          <t xml:space="preserve">Chi tiết hồ sơ quyền nhà của mình</t>
        </is>
      </c>
      <c r="G36" s="2" t="inlineStr">
        <is>
          <t xml:space="preserve">LANDLORD: sở hữu nhà/phòng/hợp đồng</t>
        </is>
      </c>
      <c r="H36" s="2" t="inlineStr">
        <is>
          <t xml:space="preserve">P0</t>
        </is>
      </c>
      <c r="I36" s="2" t="inlineStr">
        <is>
          <t xml:space="preserve">Middleware auth/session/role + object scope</t>
        </is>
      </c>
      <c r="J36" s="2" t="inlineStr">
        <is>
          <t xml:space="preserve">READ: truy vấn có scope quyền</t>
        </is>
      </c>
      <c r="K36" s="2" t="inlineStr">
        <is>
          <t xml:space="preserve">Không có JSON body</t>
        </is>
      </c>
      <c r="L36" s="2" t="inlineStr">
        <is>
          <t xml:space="preserve">HouseVerification,houseSnapshot,documents[]</t>
        </is>
      </c>
      <c r="M36" s="2" t="inlineStr">
        <is>
          <t xml:space="preserve">Kiểm tra verification.house_id thuộc houseId; trả fileId và metadata, URL riêng lấy từ file API.</t>
        </is>
      </c>
      <c r="N36" s="2" t="inlineStr">
        <is>
          <t xml:space="preserve">400 BAD_REQUEST
401 UNAUTHENTICATED
403 FORBIDDEN
404 RESOURCE_NOT_FOUND</t>
        </is>
      </c>
      <c r="O36" s="2" t="inlineStr">
        <is>
          <t xml:space="preserve"/>
        </is>
      </c>
      <c r="P36" s="2" t="inlineStr">
        <is>
          <t xml:space="preserve">Chưa làm</t>
        </is>
      </c>
      <c r="Q36" s="2" t="inlineStr">
        <is>
          <t xml:space="preserve">Chưa</t>
        </is>
      </c>
      <c r="R36" s="2" t="inlineStr">
        <is>
          <t xml:space="preserve">Chưa</t>
        </is>
      </c>
      <c r="S36" s="2" t="inlineStr">
        <is>
          <t xml:space="preserve">Chưa</t>
        </is>
      </c>
      <c r="T36" s="2" t="inlineStr">
        <is>
          <t xml:space="preserve">Chưa</t>
        </is>
      </c>
      <c r="U36" s="2" t="inlineStr">
        <is>
          <t xml:space="preserve">Chưa</t>
        </is>
      </c>
      <c r="V36" s="2" t="inlineStr">
        <is>
          <t xml:space="preserve">Chưa</t>
        </is>
      </c>
      <c r="W36" s="2" t="inlineStr">
        <is>
          <t xml:space="preserve">Chưa</t>
        </is>
      </c>
      <c r="X36" s="2" t="inlineStr">
        <is>
          <t xml:space="preserve">Chưa</t>
        </is>
      </c>
      <c r="Y36" s="3">
        <f>COUNTIF(Q36:X36,"Xong")/8</f>
        <v>0</v>
      </c>
      <c r="Z36" s="4" t="inlineStr">
        <is>
          <t xml:space="preserve"/>
        </is>
      </c>
      <c r="AA36" s="4" t="inlineStr">
        <is>
          <t xml:space="preserve"/>
        </is>
      </c>
      <c r="AB36" s="4" t="inlineStr">
        <is>
          <t xml:space="preserve"/>
        </is>
      </c>
      <c r="AC36" s="2" t="inlineStr">
        <is>
          <t xml:space="preserve"/>
        </is>
      </c>
      <c r="AD36" s="2" t="inlineStr">
        <is>
          <t xml:space="preserve">Happy path: Chi tiết hồ sơ quyền nhà của mình; kiểm tra HouseVerification,houseSnapshot,documents[].
Thiếu phiên/phiên revoked/actor LOCKED và actor khác chủ hoặc khác participant phải bị chặn.
Ràng buộc: Một hồ sơ chờ và một phê duyệt hiện hành cho mỗi nhà; tệp PRIVATE, thuộc người nộp. Hồ sơ và minh chứng đã nộp được giữ bất biến.
Phân trang/lọc đúng scope; dữ liệu riêng tư bị loại trên server, không chỉ ẩn UI.
Kiểm tra lỗi DB/provider không để lại cập nhật dở hoặc trả thành công giả.</t>
        </is>
      </c>
      <c r="AE36" s="2" t="inlineStr">
        <is>
          <t xml:space="preserve"/>
        </is>
      </c>
      <c r="AF36" s="5" t="inlineStr">
        <is>
          <t xml:space="preserve">Mở đặc tả</t>
        </is>
      </c>
    </row>
    <row r="37" ht="70" customHeight="1">
      <c r="A37" s="0" t="inlineStr">
        <is>
          <t xml:space="preserve">API-036</t>
        </is>
      </c>
      <c r="B37" s="0" t="inlineStr">
        <is>
          <t xml:space="preserve">Nhà, quyền cho thuê &amp; phòng</t>
        </is>
      </c>
      <c r="C37" s="0" t="inlineStr">
        <is>
          <t xml:space="preserve">house-proof</t>
        </is>
      </c>
      <c r="D37" s="0" t="inlineStr">
        <is>
          <t xml:space="preserve">POST</t>
        </is>
      </c>
      <c r="E37" s="0" t="inlineStr">
        <is>
          <t xml:space="preserve">/api/v1/houses/{houseId}/verifications/{verificationId}/withdraw</t>
        </is>
      </c>
      <c r="F37" s="0" t="inlineStr">
        <is>
          <t xml:space="preserve">Rút hồ sơ quyền nhà đang chờ</t>
        </is>
      </c>
      <c r="G37" s="0" t="inlineStr">
        <is>
          <t xml:space="preserve">LANDLORD: sở hữu nhà/phòng/hợp đồng</t>
        </is>
      </c>
      <c r="H37" s="0" t="inlineStr">
        <is>
          <t xml:space="preserve">P0</t>
        </is>
      </c>
      <c r="I37" s="0" t="inlineStr">
        <is>
          <t xml:space="preserve">Middleware auth/session/role + object scope
D09: idempotency store nếu chưa có khóa tự nhiên</t>
        </is>
      </c>
      <c r="J37" s="0" t="inlineStr">
        <is>
          <t xml:space="preserve">sp_withdraw_house_verification</t>
        </is>
      </c>
      <c r="K37" s="0" t="inlineStr">
        <is>
          <t xml:space="preserve">Không có JSON body</t>
        </is>
      </c>
      <c r="L37" s="0" t="inlineStr">
        <is>
          <t xml:space="preserve">HouseVerification {id,status:WITHDRAWN}</t>
        </is>
      </c>
      <c r="M37" s="0" t="inlineStr">
        <is>
          <t xml:space="preserve">Chỉ chủ nộp và PENDING; giữ snapshot/tệp/lịch sử.</t>
        </is>
      </c>
      <c r="N37" s="0" t="inlineStr">
        <is>
          <t xml:space="preserve">400 BAD_REQUEST
401 UNAUTHENTICATED
403 FORBIDDEN
404 RESOURCE_NOT_FOUND
409 STATE_CONFLICT
409 IDEMPOTENCY_KEY_REUSED
422 VALIDATION_ERROR
409 PENDING_HOUSE_VERIFICATION_EXISTS
422 HOUSE_PROOF_INVALID
409 HOUSE_IDENTITY_CHANGED</t>
        </is>
      </c>
      <c r="O37" s="0" t="inlineStr">
        <is>
          <t xml:space="preserve"/>
        </is>
      </c>
      <c r="P37" s="0" t="inlineStr">
        <is>
          <t xml:space="preserve">Chưa làm</t>
        </is>
      </c>
      <c r="Q37" s="0" t="inlineStr">
        <is>
          <t xml:space="preserve">Chưa</t>
        </is>
      </c>
      <c r="R37" s="0" t="inlineStr">
        <is>
          <t xml:space="preserve">Chưa</t>
        </is>
      </c>
      <c r="S37" s="0" t="inlineStr">
        <is>
          <t xml:space="preserve">Chưa</t>
        </is>
      </c>
      <c r="T37" s="0" t="inlineStr">
        <is>
          <t xml:space="preserve">Chưa</t>
        </is>
      </c>
      <c r="U37" s="0" t="inlineStr">
        <is>
          <t xml:space="preserve">Chưa</t>
        </is>
      </c>
      <c r="V37" s="0" t="inlineStr">
        <is>
          <t xml:space="preserve">Chưa</t>
        </is>
      </c>
      <c r="W37" s="0" t="inlineStr">
        <is>
          <t xml:space="preserve">Chưa</t>
        </is>
      </c>
      <c r="X37" s="0" t="inlineStr">
        <is>
          <t xml:space="preserve">Chưa</t>
        </is>
      </c>
      <c r="Y37" s="3">
        <f>COUNTIF(Q37:X37,"Xong")/8</f>
        <v>0</v>
      </c>
      <c r="Z37" s="4" t="inlineStr">
        <is>
          <t xml:space="preserve"/>
        </is>
      </c>
      <c r="AA37" s="4" t="inlineStr">
        <is>
          <t xml:space="preserve"/>
        </is>
      </c>
      <c r="AB37" s="4" t="inlineStr">
        <is>
          <t xml:space="preserve"/>
        </is>
      </c>
      <c r="AC37" s="0" t="inlineStr">
        <is>
          <t xml:space="preserve"/>
        </is>
      </c>
      <c r="AD37" s="0" t="inlineStr">
        <is>
          <t xml:space="preserve">Happy path: Rút hồ sơ quyền nhà đang chờ; kiểm tra HouseVerification {id,status:WITHDRAWN}.
Thiếu phiên/phiên revoked/actor LOCKED và actor khác chủ hoặc khác participant phải bị chặn.
Ràng buộc: Một hồ sơ chờ và một phê duyệt hiện hành cho mỗi nhà; tệp PRIVATE, thuộc người nộp. Hồ sơ và minh chứng đã nộp được giữ bất biến.
Gửi lặp cùng khóa trả kết quả cũ; cùng khóa khác payload trả 409; hai request tranh cùng tài nguyên không vượt hạn mức.
Lỗi giữa giao dịch phải rollback; xác minh không bọc CALL trong transaction của ứng dụng.</t>
        </is>
      </c>
      <c r="AE37" s="0" t="inlineStr">
        <is>
          <t xml:space="preserve"/>
        </is>
      </c>
      <c r="AF37" s="5" t="inlineStr">
        <is>
          <t xml:space="preserve">Mở đặc tả</t>
        </is>
      </c>
    </row>
    <row r="38" ht="70" customHeight="1">
      <c r="A38" s="2" t="inlineStr">
        <is>
          <t xml:space="preserve">API-037</t>
        </is>
      </c>
      <c r="B38" s="2" t="inlineStr">
        <is>
          <t xml:space="preserve">Nhà, quyền cho thuê &amp; phòng</t>
        </is>
      </c>
      <c r="C38" s="2" t="inlineStr">
        <is>
          <t xml:space="preserve">house-proof</t>
        </is>
      </c>
      <c r="D38" s="2" t="inlineStr">
        <is>
          <t xml:space="preserve">GET</t>
        </is>
      </c>
      <c r="E38" s="2" t="inlineStr">
        <is>
          <t xml:space="preserve">/api/v1/admin/house-verifications</t>
        </is>
      </c>
      <c r="F38" s="2" t="inlineStr">
        <is>
          <t xml:space="preserve">Hàng đợi xác minh quyền nhà</t>
        </is>
      </c>
      <c r="G38" s="2" t="inlineStr">
        <is>
          <t xml:space="preserve">ADMIN: tài khoản ACTIVE có dòng admins</t>
        </is>
      </c>
      <c r="H38" s="2" t="inlineStr">
        <is>
          <t xml:space="preserve">P0</t>
        </is>
      </c>
      <c r="I38" s="2" t="inlineStr">
        <is>
          <t xml:space="preserve">Middleware auth/session/role + object scope</t>
        </is>
      </c>
      <c r="J38" s="2" t="inlineStr">
        <is>
          <t xml:space="preserve">READ: truy vấn có scope quyền</t>
        </is>
      </c>
      <c r="K38" s="2" t="inlineStr">
        <is>
          <t xml:space="preserve">Không có JSON body</t>
        </is>
      </c>
      <c r="L38" s="2" t="inlineStr">
        <is>
          <t xml:space="preserve">HouseVerification[]</t>
        </is>
      </c>
      <c r="M38" s="2" t="inlineStr">
        <is>
          <t xml:space="preserve">Lọc status/houseId/applicantId; không lộ file URL cố định.</t>
        </is>
      </c>
      <c r="N38" s="2" t="inlineStr">
        <is>
          <t xml:space="preserve">400 BAD_REQUEST
401 UNAUTHENTICATED
403 FORBIDDEN
404 RESOURCE_NOT_FOUND
422 VALIDATION_ERROR</t>
        </is>
      </c>
      <c r="O38" s="2" t="inlineStr">
        <is>
          <t xml:space="preserve"/>
        </is>
      </c>
      <c r="P38" s="2" t="inlineStr">
        <is>
          <t xml:space="preserve">Chưa làm</t>
        </is>
      </c>
      <c r="Q38" s="2" t="inlineStr">
        <is>
          <t xml:space="preserve">Chưa</t>
        </is>
      </c>
      <c r="R38" s="2" t="inlineStr">
        <is>
          <t xml:space="preserve">Chưa</t>
        </is>
      </c>
      <c r="S38" s="2" t="inlineStr">
        <is>
          <t xml:space="preserve">Chưa</t>
        </is>
      </c>
      <c r="T38" s="2" t="inlineStr">
        <is>
          <t xml:space="preserve">Chưa</t>
        </is>
      </c>
      <c r="U38" s="2" t="inlineStr">
        <is>
          <t xml:space="preserve">Chưa</t>
        </is>
      </c>
      <c r="V38" s="2" t="inlineStr">
        <is>
          <t xml:space="preserve">Chưa</t>
        </is>
      </c>
      <c r="W38" s="2" t="inlineStr">
        <is>
          <t xml:space="preserve">Chưa</t>
        </is>
      </c>
      <c r="X38" s="2" t="inlineStr">
        <is>
          <t xml:space="preserve">Chưa</t>
        </is>
      </c>
      <c r="Y38" s="3">
        <f>COUNTIF(Q38:X38,"Xong")/8</f>
        <v>0</v>
      </c>
      <c r="Z38" s="4" t="inlineStr">
        <is>
          <t xml:space="preserve"/>
        </is>
      </c>
      <c r="AA38" s="4" t="inlineStr">
        <is>
          <t xml:space="preserve"/>
        </is>
      </c>
      <c r="AB38" s="4" t="inlineStr">
        <is>
          <t xml:space="preserve"/>
        </is>
      </c>
      <c r="AC38" s="2" t="inlineStr">
        <is>
          <t xml:space="preserve"/>
        </is>
      </c>
      <c r="AD38" s="2" t="inlineStr">
        <is>
          <t xml:space="preserve">Happy path: Hàng đợi xác minh quyền nhà; kiểm tra HouseVerification[].
Thiếu phiên/phiên revoked/actor LOCKED và actor khác chủ hoặc khác participant phải bị chặn.
Ràng buộc: Một hồ sơ chờ và một phê duyệt hiện hành cho mỗi nhà; tệp PRIVATE, thuộc người nộp. Hồ sơ và minh chứng đã nộp được giữ bất biến.
Phân trang/lọc đúng scope; dữ liệu riêng tư bị loại trên server, không chỉ ẩn UI.
Kiểm tra lỗi DB/provider không để lại cập nhật dở hoặc trả thành công giả.</t>
        </is>
      </c>
      <c r="AE38" s="2" t="inlineStr">
        <is>
          <t xml:space="preserve"/>
        </is>
      </c>
      <c r="AF38" s="5" t="inlineStr">
        <is>
          <t xml:space="preserve">Mở đặc tả</t>
        </is>
      </c>
    </row>
    <row r="39" ht="70" customHeight="1">
      <c r="A39" s="0" t="inlineStr">
        <is>
          <t xml:space="preserve">API-038</t>
        </is>
      </c>
      <c r="B39" s="0" t="inlineStr">
        <is>
          <t xml:space="preserve">Nhà, quyền cho thuê &amp; phòng</t>
        </is>
      </c>
      <c r="C39" s="0" t="inlineStr">
        <is>
          <t xml:space="preserve">house-proof</t>
        </is>
      </c>
      <c r="D39" s="0" t="inlineStr">
        <is>
          <t xml:space="preserve">GET</t>
        </is>
      </c>
      <c r="E39" s="0" t="inlineStr">
        <is>
          <t xml:space="preserve">/api/v1/admin/house-verifications/{verificationId}</t>
        </is>
      </c>
      <c r="F39" s="0" t="inlineStr">
        <is>
          <t xml:space="preserve">Chi tiết và minh chứng để đối chiếu</t>
        </is>
      </c>
      <c r="G39" s="0" t="inlineStr">
        <is>
          <t xml:space="preserve">ADMIN: tài khoản ACTIVE có dòng admins</t>
        </is>
      </c>
      <c r="H39" s="0" t="inlineStr">
        <is>
          <t xml:space="preserve">P0</t>
        </is>
      </c>
      <c r="I39" s="0" t="inlineStr">
        <is>
          <t xml:space="preserve">Middleware auth/session/role + object scope</t>
        </is>
      </c>
      <c r="J39" s="0" t="inlineStr">
        <is>
          <t xml:space="preserve">READ: truy vấn có scope quyền</t>
        </is>
      </c>
      <c r="K39" s="0" t="inlineStr">
        <is>
          <t xml:space="preserve">Không có JSON body</t>
        </is>
      </c>
      <c r="L39" s="0" t="inlineStr">
        <is>
          <t xml:space="preserve">HouseVerification,houseSnapshot,currentHouse,documents[]</t>
        </is>
      </c>
      <c r="M39" s="0" t="inlineStr">
        <is>
          <t xml:space="preserve">So sánh snapshot với nhà hiện tại; quản trị phải mở kiểm tra nội dung tệp và phạm vi.</t>
        </is>
      </c>
      <c r="N39" s="0" t="inlineStr">
        <is>
          <t xml:space="preserve">400 BAD_REQUEST
401 UNAUTHENTICATED
403 FORBIDDEN
404 RESOURCE_NOT_FOUND</t>
        </is>
      </c>
      <c r="O39" s="0" t="inlineStr">
        <is>
          <t xml:space="preserve"/>
        </is>
      </c>
      <c r="P39" s="0" t="inlineStr">
        <is>
          <t xml:space="preserve">Chưa làm</t>
        </is>
      </c>
      <c r="Q39" s="0" t="inlineStr">
        <is>
          <t xml:space="preserve">Chưa</t>
        </is>
      </c>
      <c r="R39" s="0" t="inlineStr">
        <is>
          <t xml:space="preserve">Chưa</t>
        </is>
      </c>
      <c r="S39" s="0" t="inlineStr">
        <is>
          <t xml:space="preserve">Chưa</t>
        </is>
      </c>
      <c r="T39" s="0" t="inlineStr">
        <is>
          <t xml:space="preserve">Chưa</t>
        </is>
      </c>
      <c r="U39" s="0" t="inlineStr">
        <is>
          <t xml:space="preserve">Chưa</t>
        </is>
      </c>
      <c r="V39" s="0" t="inlineStr">
        <is>
          <t xml:space="preserve">Chưa</t>
        </is>
      </c>
      <c r="W39" s="0" t="inlineStr">
        <is>
          <t xml:space="preserve">Chưa</t>
        </is>
      </c>
      <c r="X39" s="0" t="inlineStr">
        <is>
          <t xml:space="preserve">Chưa</t>
        </is>
      </c>
      <c r="Y39" s="3">
        <f>COUNTIF(Q39:X39,"Xong")/8</f>
        <v>0</v>
      </c>
      <c r="Z39" s="4" t="inlineStr">
        <is>
          <t xml:space="preserve"/>
        </is>
      </c>
      <c r="AA39" s="4" t="inlineStr">
        <is>
          <t xml:space="preserve"/>
        </is>
      </c>
      <c r="AB39" s="4" t="inlineStr">
        <is>
          <t xml:space="preserve"/>
        </is>
      </c>
      <c r="AC39" s="0" t="inlineStr">
        <is>
          <t xml:space="preserve"/>
        </is>
      </c>
      <c r="AD39" s="0" t="inlineStr">
        <is>
          <t xml:space="preserve">Happy path: Chi tiết và minh chứng để đối chiếu; kiểm tra HouseVerification,houseSnapshot,currentHouse,documents[].
Thiếu phiên/phiên revoked/actor LOCKED và actor khác chủ hoặc khác participant phải bị chặn.
Ràng buộc: Một hồ sơ chờ và một phê duyệt hiện hành cho mỗi nhà; tệp PRIVATE, thuộc người nộp. Hồ sơ và minh chứng đã nộp được giữ bất biến.
Phân trang/lọc đúng scope; dữ liệu riêng tư bị loại trên server, không chỉ ẩn UI.
Kiểm tra lỗi DB/provider không để lại cập nhật dở hoặc trả thành công giả.</t>
        </is>
      </c>
      <c r="AE39" s="0" t="inlineStr">
        <is>
          <t xml:space="preserve"/>
        </is>
      </c>
      <c r="AF39" s="5" t="inlineStr">
        <is>
          <t xml:space="preserve">Mở đặc tả</t>
        </is>
      </c>
    </row>
    <row r="40" ht="70" customHeight="1">
      <c r="A40" s="2" t="inlineStr">
        <is>
          <t xml:space="preserve">API-039</t>
        </is>
      </c>
      <c r="B40" s="2" t="inlineStr">
        <is>
          <t xml:space="preserve">Nhà, quyền cho thuê &amp; phòng</t>
        </is>
      </c>
      <c r="C40" s="2" t="inlineStr">
        <is>
          <t xml:space="preserve">house-proof</t>
        </is>
      </c>
      <c r="D40" s="2" t="inlineStr">
        <is>
          <t xml:space="preserve">POST</t>
        </is>
      </c>
      <c r="E40" s="2" t="inlineStr">
        <is>
          <t xml:space="preserve">/api/v1/admin/house-verifications/{verificationId}/decision</t>
        </is>
      </c>
      <c r="F40" s="2" t="inlineStr">
        <is>
          <t xml:space="preserve">Duyệt/từ chối quyền cho thuê</t>
        </is>
      </c>
      <c r="G40" s="2" t="inlineStr">
        <is>
          <t xml:space="preserve">ADMIN: tài khoản ACTIVE có dòng admins</t>
        </is>
      </c>
      <c r="H40" s="2" t="inlineStr">
        <is>
          <t xml:space="preserve">P0</t>
        </is>
      </c>
      <c r="I40" s="2" t="inlineStr">
        <is>
          <t xml:space="preserve">Middleware auth/session/role + object scope
D09: idempotency store nếu chưa có khóa tự nhiên</t>
        </is>
      </c>
      <c r="J40" s="2" t="inlineStr">
        <is>
          <t xml:space="preserve">sp_review_house_verification</t>
        </is>
      </c>
      <c r="K40" s="2" t="inlineStr">
        <is>
          <t xml:space="preserve">decision: enum (bắt buộc) — APPROVE hoặc REJECT.
reason: string (tùy chọn) — Bắt buộc khi REJECT; tối đa 1.000 ký tự.
evidenceChecked: boolean (tùy chọn) — Bắt buộc true khi APPROVE.</t>
        </is>
      </c>
      <c r="L40" s="2" t="inlineStr">
        <is>
          <t xml:space="preserve">HouseVerification và effectiveRentalRight</t>
        </is>
      </c>
      <c r="M40" s="2" t="inlineStr">
        <is>
          <t xml:space="preserve">APPROVE chỉ PENDING, định danh khớp, người nộp ACTIVE, hiệu lực ngày Việt Nam, đủ tệp; thay quyền APPROVED cũ bằng SUPERSEDED. REJECT cần lý do; audit + thông báo cùng transaction.</t>
        </is>
      </c>
      <c r="N40" s="2" t="inlineStr">
        <is>
          <t xml:space="preserve">400 BAD_REQUEST
401 UNAUTHENTICATED
403 FORBIDDEN
404 RESOURCE_NOT_FOUND
409 STATE_CONFLICT
409 IDEMPOTENCY_KEY_REUSED
422 VALIDATION_ERROR
409 PENDING_HOUSE_VERIFICATION_EXISTS
422 HOUSE_PROOF_INVALID
409 HOUSE_IDENTITY_CHANGED</t>
        </is>
      </c>
      <c r="O40" s="2" t="inlineStr">
        <is>
          <t xml:space="preserve"/>
        </is>
      </c>
      <c r="P40" s="2" t="inlineStr">
        <is>
          <t xml:space="preserve">Chưa làm</t>
        </is>
      </c>
      <c r="Q40" s="2" t="inlineStr">
        <is>
          <t xml:space="preserve">Chưa</t>
        </is>
      </c>
      <c r="R40" s="2" t="inlineStr">
        <is>
          <t xml:space="preserve">Chưa</t>
        </is>
      </c>
      <c r="S40" s="2" t="inlineStr">
        <is>
          <t xml:space="preserve">Chưa</t>
        </is>
      </c>
      <c r="T40" s="2" t="inlineStr">
        <is>
          <t xml:space="preserve">Chưa</t>
        </is>
      </c>
      <c r="U40" s="2" t="inlineStr">
        <is>
          <t xml:space="preserve">Chưa</t>
        </is>
      </c>
      <c r="V40" s="2" t="inlineStr">
        <is>
          <t xml:space="preserve">Chưa</t>
        </is>
      </c>
      <c r="W40" s="2" t="inlineStr">
        <is>
          <t xml:space="preserve">Chưa</t>
        </is>
      </c>
      <c r="X40" s="2" t="inlineStr">
        <is>
          <t xml:space="preserve">Chưa</t>
        </is>
      </c>
      <c r="Y40" s="3">
        <f>COUNTIF(Q40:X40,"Xong")/8</f>
        <v>0</v>
      </c>
      <c r="Z40" s="4" t="inlineStr">
        <is>
          <t xml:space="preserve"/>
        </is>
      </c>
      <c r="AA40" s="4" t="inlineStr">
        <is>
          <t xml:space="preserve"/>
        </is>
      </c>
      <c r="AB40" s="4" t="inlineStr">
        <is>
          <t xml:space="preserve"/>
        </is>
      </c>
      <c r="AC40" s="2" t="inlineStr">
        <is>
          <t xml:space="preserve"/>
        </is>
      </c>
      <c r="AD40" s="2" t="inlineStr">
        <is>
          <t xml:space="preserve">Happy path: Duyệt/từ chối quyền cho thuê; kiểm tra HouseVerification và effectiveRentalRight.
Thiếu phiên/phiên revoked/actor LOCKED và actor khác chủ hoặc khác participant phải bị chặn.
Ràng buộc: Một hồ sơ chờ và một phê duyệt hiện hành cho mỗi nhà; tệp PRIVATE, thuộc người nộp. Hồ sơ và minh chứng đã nộp được giữ bất biến.
Gửi lặp cùng khóa trả kết quả cũ; cùng khóa khác payload trả 409; hai request tranh cùng tài nguyên không vượt hạn mức.
Lỗi giữa giao dịch phải rollback; xác minh không bọc CALL trong transaction của ứng dụng.</t>
        </is>
      </c>
      <c r="AE40" s="2" t="inlineStr">
        <is>
          <t xml:space="preserve"/>
        </is>
      </c>
      <c r="AF40" s="5" t="inlineStr">
        <is>
          <t xml:space="preserve">Mở đặc tả</t>
        </is>
      </c>
    </row>
    <row r="41" ht="70" customHeight="1">
      <c r="A41" s="0" t="inlineStr">
        <is>
          <t xml:space="preserve">API-040</t>
        </is>
      </c>
      <c r="B41" s="0" t="inlineStr">
        <is>
          <t xml:space="preserve">Nhà, quyền cho thuê &amp; phòng</t>
        </is>
      </c>
      <c r="C41" s="0" t="inlineStr">
        <is>
          <t xml:space="preserve">house-rights-expiry</t>
        </is>
      </c>
      <c r="D41" s="0" t="inlineStr">
        <is>
          <t xml:space="preserve">POST</t>
        </is>
      </c>
      <c r="E41" s="0" t="inlineStr">
        <is>
          <t xml:space="preserve">/api/v1/admin/house-verifications/{verificationId}/revoke</t>
        </is>
      </c>
      <c r="F41" s="0" t="inlineStr">
        <is>
          <t xml:space="preserve">Thu hồi quyền đã duyệt</t>
        </is>
      </c>
      <c r="G41" s="0" t="inlineStr">
        <is>
          <t xml:space="preserve">ADMIN: tài khoản ACTIVE có dòng admins</t>
        </is>
      </c>
      <c r="H41" s="0" t="inlineStr">
        <is>
          <t xml:space="preserve">P0</t>
        </is>
      </c>
      <c r="I41" s="0" t="inlineStr">
        <is>
          <t xml:space="preserve">Middleware auth/session/role + object scope
D09: idempotency store nếu chưa có khóa tự nhiên</t>
        </is>
      </c>
      <c r="J41" s="0" t="inlineStr">
        <is>
          <t xml:space="preserve">sp_review_house_verification</t>
        </is>
      </c>
      <c r="K41" s="0" t="inlineStr">
        <is>
          <t xml:space="preserve">reason: string (bắt buộc) — Không chỉ khoảng trắng; tối đa 1.000 ký tự.</t>
        </is>
      </c>
      <c r="L41" s="0" t="inlineStr">
        <is>
          <t xml:space="preserve">HouseVerification {id,status:REVOKED}</t>
        </is>
      </c>
      <c r="M41" s="0" t="inlineStr">
        <is>
          <t xml:space="preserve">Chỉ APPROVED; truyền decision REVOKE và reason vào procedure. Tin công khai mất quyền qua view; hợp đồng đang có giữ nguyên.</t>
        </is>
      </c>
      <c r="N41" s="0" t="inlineStr">
        <is>
          <t xml:space="preserve">400 BAD_REQUEST
401 UNAUTHENTICATED
403 FORBIDDEN
404 RESOURCE_NOT_FOUND
409 STATE_CONFLICT
409 IDEMPOTENCY_KEY_REUSED
422 VALIDATION_ERROR
409 VERIFICATION_STATE_CHANGED</t>
        </is>
      </c>
      <c r="O41" s="0" t="inlineStr">
        <is>
          <t xml:space="preserve"/>
        </is>
      </c>
      <c r="P41" s="0" t="inlineStr">
        <is>
          <t xml:space="preserve">Chưa làm</t>
        </is>
      </c>
      <c r="Q41" s="0" t="inlineStr">
        <is>
          <t xml:space="preserve">Chưa</t>
        </is>
      </c>
      <c r="R41" s="0" t="inlineStr">
        <is>
          <t xml:space="preserve">Chưa</t>
        </is>
      </c>
      <c r="S41" s="0" t="inlineStr">
        <is>
          <t xml:space="preserve">Chưa</t>
        </is>
      </c>
      <c r="T41" s="0" t="inlineStr">
        <is>
          <t xml:space="preserve">Chưa</t>
        </is>
      </c>
      <c r="U41" s="0" t="inlineStr">
        <is>
          <t xml:space="preserve">Chưa</t>
        </is>
      </c>
      <c r="V41" s="0" t="inlineStr">
        <is>
          <t xml:space="preserve">Chưa</t>
        </is>
      </c>
      <c r="W41" s="0" t="inlineStr">
        <is>
          <t xml:space="preserve">Chưa</t>
        </is>
      </c>
      <c r="X41" s="0" t="inlineStr">
        <is>
          <t xml:space="preserve">Chưa</t>
        </is>
      </c>
      <c r="Y41" s="3">
        <f>COUNTIF(Q41:X41,"Xong")/8</f>
        <v>0</v>
      </c>
      <c r="Z41" s="4" t="inlineStr">
        <is>
          <t xml:space="preserve"/>
        </is>
      </c>
      <c r="AA41" s="4" t="inlineStr">
        <is>
          <t xml:space="preserve"/>
        </is>
      </c>
      <c r="AB41" s="4" t="inlineStr">
        <is>
          <t xml:space="preserve"/>
        </is>
      </c>
      <c r="AC41" s="0" t="inlineStr">
        <is>
          <t xml:space="preserve"/>
        </is>
      </c>
      <c r="AD41" s="0" t="inlineStr">
        <is>
          <t xml:space="preserve">Happy path: Thu hồi quyền đã duyệt; kiểm tra HouseVerification {id,status:REVOKED}.
Thiếu phiên/phiên revoked/actor LOCKED và actor khác chủ hoặc khác participant phải bị chặn.
Ràng buộc: Kiểm tra kiểu dữ liệu và quan hệ FK.
Gửi lặp cùng khóa trả kết quả cũ; cùng khóa khác payload trả 409; hai request tranh cùng tài nguyên không vượt hạn mức.
Lỗi giữa giao dịch phải rollback; xác minh không bọc CALL trong transaction của ứng dụng.</t>
        </is>
      </c>
      <c r="AE41" s="0" t="inlineStr">
        <is>
          <t xml:space="preserve"/>
        </is>
      </c>
      <c r="AF41" s="5" t="inlineStr">
        <is>
          <t xml:space="preserve">Mở đặc tả</t>
        </is>
      </c>
    </row>
    <row r="42" ht="70" customHeight="1">
      <c r="A42" s="2" t="inlineStr">
        <is>
          <t xml:space="preserve">API-041</t>
        </is>
      </c>
      <c r="B42" s="2" t="inlineStr">
        <is>
          <t xml:space="preserve">Nhà, quyền cho thuê &amp; phòng</t>
        </is>
      </c>
      <c r="C42" s="2" t="inlineStr">
        <is>
          <t xml:space="preserve">house-rights-expiry</t>
        </is>
      </c>
      <c r="D42" s="2" t="inlineStr">
        <is>
          <t xml:space="preserve">GET</t>
        </is>
      </c>
      <c r="E42" s="2" t="inlineStr">
        <is>
          <t xml:space="preserve">/api/v1/houses/{houseId}/rental-right</t>
        </is>
      </c>
      <c r="F42" s="2" t="inlineStr">
        <is>
          <t xml:space="preserve">Đọc quyền hiệu lực hiện tại</t>
        </is>
      </c>
      <c r="G42" s="2" t="inlineStr">
        <is>
          <t xml:space="preserve">LANDLORD: sở hữu nhà/phòng/hợp đồng</t>
        </is>
      </c>
      <c r="H42" s="2" t="inlineStr">
        <is>
          <t xml:space="preserve">P0</t>
        </is>
      </c>
      <c r="I42" s="2" t="inlineStr">
        <is>
          <t xml:space="preserve">Middleware auth/session/role + object scope</t>
        </is>
      </c>
      <c r="J42" s="2" t="inlineStr">
        <is>
          <t xml:space="preserve">READ: v_effective_house_verifications</t>
        </is>
      </c>
      <c r="K42" s="2" t="inlineStr">
        <is>
          <t xml:space="preserve">Không có JSON body</t>
        </is>
      </c>
      <c r="L42" s="2" t="inlineStr">
        <is>
          <t xml:space="preserve">{effective,verificationId,validFrom,validUntil,reason,verificationVersion}</t>
        </is>
      </c>
      <c r="M42" s="2" t="inlineStr">
        <is>
          <t xml:space="preserve">Dùng v_effective_house_verifications, ngày Asia/Ho_Chi_Minh; hết hạn không chờ job.</t>
        </is>
      </c>
      <c r="N42" s="2" t="inlineStr">
        <is>
          <t xml:space="preserve">400 BAD_REQUEST
401 UNAUTHENTICATED
403 FORBIDDEN
404 RESOURCE_NOT_FOUND</t>
        </is>
      </c>
      <c r="O42" s="2" t="inlineStr">
        <is>
          <t xml:space="preserve"/>
        </is>
      </c>
      <c r="P42" s="2" t="inlineStr">
        <is>
          <t xml:space="preserve">Chưa làm</t>
        </is>
      </c>
      <c r="Q42" s="2" t="inlineStr">
        <is>
          <t xml:space="preserve">Chưa</t>
        </is>
      </c>
      <c r="R42" s="2" t="inlineStr">
        <is>
          <t xml:space="preserve">Chưa</t>
        </is>
      </c>
      <c r="S42" s="2" t="inlineStr">
        <is>
          <t xml:space="preserve">Chưa</t>
        </is>
      </c>
      <c r="T42" s="2" t="inlineStr">
        <is>
          <t xml:space="preserve">Chưa</t>
        </is>
      </c>
      <c r="U42" s="2" t="inlineStr">
        <is>
          <t xml:space="preserve">Chưa</t>
        </is>
      </c>
      <c r="V42" s="2" t="inlineStr">
        <is>
          <t xml:space="preserve">Chưa</t>
        </is>
      </c>
      <c r="W42" s="2" t="inlineStr">
        <is>
          <t xml:space="preserve">Chưa</t>
        </is>
      </c>
      <c r="X42" s="2" t="inlineStr">
        <is>
          <t xml:space="preserve">Chưa</t>
        </is>
      </c>
      <c r="Y42" s="3">
        <f>COUNTIF(Q42:X42,"Xong")/8</f>
        <v>0</v>
      </c>
      <c r="Z42" s="4" t="inlineStr">
        <is>
          <t xml:space="preserve"/>
        </is>
      </c>
      <c r="AA42" s="4" t="inlineStr">
        <is>
          <t xml:space="preserve"/>
        </is>
      </c>
      <c r="AB42" s="4" t="inlineStr">
        <is>
          <t xml:space="preserve"/>
        </is>
      </c>
      <c r="AC42" s="2" t="inlineStr">
        <is>
          <t xml:space="preserve"/>
        </is>
      </c>
      <c r="AD42" s="2" t="inlineStr">
        <is>
          <t xml:space="preserve">Happy path: Đọc quyền hiệu lực hiện tại; kiểm tra {effective,verificationId,validFrom,validUntil,reason,verificationVersion}.
Thiếu phiên/phiên revoked/actor LOCKED và actor khác chủ hoặc khác participant phải bị chặn.
Ràng buộc: Kiểm tra kiểu dữ liệu và quan hệ FK.
Phân trang/lọc đúng scope; dữ liệu riêng tư bị loại trên server, không chỉ ẩn UI.
Kiểm tra lỗi DB/provider không để lại cập nhật dở hoặc trả thành công giả.</t>
        </is>
      </c>
      <c r="AE42" s="2" t="inlineStr">
        <is>
          <t xml:space="preserve"/>
        </is>
      </c>
      <c r="AF42" s="5" t="inlineStr">
        <is>
          <t xml:space="preserve">Mở đặc tả</t>
        </is>
      </c>
    </row>
    <row r="43" ht="70" customHeight="1">
      <c r="A43" s="0" t="inlineStr">
        <is>
          <t xml:space="preserve">API-042</t>
        </is>
      </c>
      <c r="B43" s="0" t="inlineStr">
        <is>
          <t xml:space="preserve">Nhà, quyền cho thuê &amp; phòng</t>
        </is>
      </c>
      <c r="C43" s="0" t="inlineStr">
        <is>
          <t xml:space="preserve">rooms</t>
        </is>
      </c>
      <c r="D43" s="0" t="inlineStr">
        <is>
          <t xml:space="preserve">GET</t>
        </is>
      </c>
      <c r="E43" s="0" t="inlineStr">
        <is>
          <t xml:space="preserve">/api/v1/houses/{houseId}/rooms</t>
        </is>
      </c>
      <c r="F43" s="0" t="inlineStr">
        <is>
          <t xml:space="preserve">Danh sách phòng của nhà</t>
        </is>
      </c>
      <c r="G43" s="0" t="inlineStr">
        <is>
          <t xml:space="preserve">LANDLORD: sở hữu nhà/phòng/hợp đồng</t>
        </is>
      </c>
      <c r="H43" s="0" t="inlineStr">
        <is>
          <t xml:space="preserve">P0</t>
        </is>
      </c>
      <c r="I43" s="0" t="inlineStr">
        <is>
          <t xml:space="preserve">Middleware auth/session/role + object scope</t>
        </is>
      </c>
      <c r="J43" s="0" t="inlineStr">
        <is>
          <t xml:space="preserve">READ: truy vấn có scope quyền</t>
        </is>
      </c>
      <c r="K43" s="0" t="inlineStr">
        <is>
          <t xml:space="preserve">Không có JSON body</t>
        </is>
      </c>
      <c r="L43" s="0" t="inlineStr">
        <is>
          <t xml:space="preserve">Room[] kèm currentLoad,activeCount,pendingPostCount</t>
        </is>
      </c>
      <c r="M43" s="0" t="inlineStr">
        <is>
          <t xml:space="preserve">Scope đúng nhà thuộc actor; load tính ACTIVE + PLANNED hợp đồng mở + hold còn hạn chưa thành member.</t>
        </is>
      </c>
      <c r="N43" s="0" t="inlineStr">
        <is>
          <t xml:space="preserve">400 BAD_REQUEST
401 UNAUTHENTICATED
403 FORBIDDEN
404 RESOURCE_NOT_FOUND
422 VALIDATION_ERROR</t>
        </is>
      </c>
      <c r="O43" s="0" t="inlineStr">
        <is>
          <t xml:space="preserve"/>
        </is>
      </c>
      <c r="P43" s="0" t="inlineStr">
        <is>
          <t xml:space="preserve">Chưa làm</t>
        </is>
      </c>
      <c r="Q43" s="0" t="inlineStr">
        <is>
          <t xml:space="preserve">Chưa</t>
        </is>
      </c>
      <c r="R43" s="0" t="inlineStr">
        <is>
          <t xml:space="preserve">Chưa</t>
        </is>
      </c>
      <c r="S43" s="0" t="inlineStr">
        <is>
          <t xml:space="preserve">Chưa</t>
        </is>
      </c>
      <c r="T43" s="0" t="inlineStr">
        <is>
          <t xml:space="preserve">Chưa</t>
        </is>
      </c>
      <c r="U43" s="0" t="inlineStr">
        <is>
          <t xml:space="preserve">Chưa</t>
        </is>
      </c>
      <c r="V43" s="0" t="inlineStr">
        <is>
          <t xml:space="preserve">Chưa</t>
        </is>
      </c>
      <c r="W43" s="0" t="inlineStr">
        <is>
          <t xml:space="preserve">Chưa</t>
        </is>
      </c>
      <c r="X43" s="0" t="inlineStr">
        <is>
          <t xml:space="preserve">Chưa</t>
        </is>
      </c>
      <c r="Y43" s="3">
        <f>COUNTIF(Q43:X43,"Xong")/8</f>
        <v>0</v>
      </c>
      <c r="Z43" s="4" t="inlineStr">
        <is>
          <t xml:space="preserve"/>
        </is>
      </c>
      <c r="AA43" s="4" t="inlineStr">
        <is>
          <t xml:space="preserve"/>
        </is>
      </c>
      <c r="AB43" s="4" t="inlineStr">
        <is>
          <t xml:space="preserve"/>
        </is>
      </c>
      <c r="AC43" s="0" t="inlineStr">
        <is>
          <t xml:space="preserve"/>
        </is>
      </c>
      <c r="AD43" s="0" t="inlineStr">
        <is>
          <t xml:space="preserve">Happy path: Danh sách phòng của nhà; kiểm tra Room[] kèm currentLoad,activeCount,pendingPostCount.
Thiếu phiên/phiên revoked/actor LOCKED và actor khác chủ hoặc khác participant phải bị chặn.
Ràng buộc: Mã phòng duy nhất trong cùng nhà; sức chứa nguyên dương, giá/cọc không âm, diện tích dương.
Phân trang/lọc đúng scope; dữ liệu riêng tư bị loại trên server, không chỉ ẩn UI.
Kiểm tra lỗi DB/provider không để lại cập nhật dở hoặc trả thành công giả.</t>
        </is>
      </c>
      <c r="AE43" s="0" t="inlineStr">
        <is>
          <t xml:space="preserve"/>
        </is>
      </c>
      <c r="AF43" s="5" t="inlineStr">
        <is>
          <t xml:space="preserve">Mở đặc tả</t>
        </is>
      </c>
    </row>
    <row r="44" ht="70" customHeight="1">
      <c r="A44" s="2" t="inlineStr">
        <is>
          <t xml:space="preserve">API-043</t>
        </is>
      </c>
      <c r="B44" s="2" t="inlineStr">
        <is>
          <t xml:space="preserve">Nhà, quyền cho thuê &amp; phòng</t>
        </is>
      </c>
      <c r="C44" s="2" t="inlineStr">
        <is>
          <t xml:space="preserve">rooms</t>
        </is>
      </c>
      <c r="D44" s="2" t="inlineStr">
        <is>
          <t xml:space="preserve">POST</t>
        </is>
      </c>
      <c r="E44" s="2" t="inlineStr">
        <is>
          <t xml:space="preserve">/api/v1/houses/{houseId}/rooms</t>
        </is>
      </c>
      <c r="F44" s="2" t="inlineStr">
        <is>
          <t xml:space="preserve">Thêm phòng trong nhà</t>
        </is>
      </c>
      <c r="G44" s="2" t="inlineStr">
        <is>
          <t xml:space="preserve">LANDLORD: sở hữu nhà/phòng/hợp đồng</t>
        </is>
      </c>
      <c r="H44" s="2" t="inlineStr">
        <is>
          <t xml:space="preserve">P0</t>
        </is>
      </c>
      <c r="I44" s="2" t="inlineStr">
        <is>
          <t xml:space="preserve">Middleware auth/session/role + object scope
D09: idempotency store nếu chưa có khóa tự nhiên</t>
        </is>
      </c>
      <c r="J44" s="2" t="inlineStr">
        <is>
          <t xml:space="preserve">SERVICE: cần triển khai giao dịch backend</t>
        </is>
      </c>
      <c r="K44" s="2" t="inlineStr">
        <is>
          <t xml:space="preserve">code: string (bắt buộc) — Ánh xạ room_number; không trùng trong nhà; tối đa 100 ký tự.
area: decimal (bắt buộc) — &gt; 0; tương thích DECIMAL(10,2).
rentAmount: money (bắt buộc) — Ánh xạ rent_price; không âm; DECIMAL(15,2).
depositAmount: money (bắt buộc) — Không âm; DECIMAL(15,2).
capacity: integer (bắt buộc) — Ánh xạ max_occupants; số nguyên &gt; 0 và ≥ tải phòng hiện tại.
status: enum (bắt buộc) — Chỉ chọn AVAILABLE/MAINTENANCE nếu không có người/chỗ/hợp đồng mở; RESERVED/OCCUPIED do nghiệp vụ tính.
allowAdditionalOccupants: boolean (tùy chọn) — Ánh xạ allow_additional_occupants, điều kiện tiếp nhận thêm người.
notes: string (tùy chọn) — Tối đa 2.000 ký tự.</t>
        </is>
      </c>
      <c r="L44" s="2" t="inlineStr">
        <is>
          <t xml:space="preserve">Room {id,status,capacity}</t>
        </is>
      </c>
      <c r="M44" s="2" t="inlineStr">
        <is>
          <t xml:space="preserve">Nhà nháp vẫn thêm được; code duy nhất theo house; giá/cọc không âm, area&gt;0. Không nhận RESERVED/OCCUPIED khi tạo chưa có người.</t>
        </is>
      </c>
      <c r="N44" s="2" t="inlineStr">
        <is>
          <t xml:space="preserve">400 BAD_REQUEST
401 UNAUTHENTICATED
403 FORBIDDEN
404 RESOURCE_NOT_FOUND
409 STATE_CONFLICT
409 IDEMPOTENCY_KEY_REUSED
422 VALIDATION_ERROR
409 ROOM_NUMBER_EXISTS
422 ROOM_CAPACITY_EXCEEDED
409 ROOM_STILL_OCCUPIED</t>
        </is>
      </c>
      <c r="O44" s="2" t="inlineStr">
        <is>
          <t xml:space="preserve"/>
        </is>
      </c>
      <c r="P44" s="2" t="inlineStr">
        <is>
          <t xml:space="preserve">Chưa làm</t>
        </is>
      </c>
      <c r="Q44" s="2" t="inlineStr">
        <is>
          <t xml:space="preserve">Chưa</t>
        </is>
      </c>
      <c r="R44" s="2" t="inlineStr">
        <is>
          <t xml:space="preserve">Chưa</t>
        </is>
      </c>
      <c r="S44" s="2" t="inlineStr">
        <is>
          <t xml:space="preserve">Chưa</t>
        </is>
      </c>
      <c r="T44" s="2" t="inlineStr">
        <is>
          <t xml:space="preserve">Chưa</t>
        </is>
      </c>
      <c r="U44" s="2" t="inlineStr">
        <is>
          <t xml:space="preserve">Chưa</t>
        </is>
      </c>
      <c r="V44" s="2" t="inlineStr">
        <is>
          <t xml:space="preserve">Chưa</t>
        </is>
      </c>
      <c r="W44" s="2" t="inlineStr">
        <is>
          <t xml:space="preserve">Chưa</t>
        </is>
      </c>
      <c r="X44" s="2" t="inlineStr">
        <is>
          <t xml:space="preserve">Chưa</t>
        </is>
      </c>
      <c r="Y44" s="3">
        <f>COUNTIF(Q44:X44,"Xong")/8</f>
        <v>0</v>
      </c>
      <c r="Z44" s="4" t="inlineStr">
        <is>
          <t xml:space="preserve"/>
        </is>
      </c>
      <c r="AA44" s="4" t="inlineStr">
        <is>
          <t xml:space="preserve"/>
        </is>
      </c>
      <c r="AB44" s="4" t="inlineStr">
        <is>
          <t xml:space="preserve"/>
        </is>
      </c>
      <c r="AC44" s="2" t="inlineStr">
        <is>
          <t xml:space="preserve"/>
        </is>
      </c>
      <c r="AD44" s="2" t="inlineStr">
        <is>
          <t xml:space="preserve">Happy path: Thêm phòng trong nhà; kiểm tra Room {id,status,capacity}.
Thiếu phiên/phiên revoked/actor LOCKED và actor khác chủ hoặc khác participant phải bị chặn.
Ràng buộc: Mã phòng duy nhất trong cùng nhà; sức chứa nguyên dương, giá/cọc không âm, diện tích dương.
Gửi lặp cùng khóa trả kết quả cũ; cùng khóa khác payload trả 409; hai request tranh cùng tài nguyên không vượt hạn mức.
Kiểm tra lỗi DB/provider không để lại cập nhật dở hoặc trả thành công giả.</t>
        </is>
      </c>
      <c r="AE44" s="2" t="inlineStr">
        <is>
          <t xml:space="preserve"/>
        </is>
      </c>
      <c r="AF44" s="5" t="inlineStr">
        <is>
          <t xml:space="preserve">Mở đặc tả</t>
        </is>
      </c>
    </row>
    <row r="45" ht="70" customHeight="1">
      <c r="A45" s="0" t="inlineStr">
        <is>
          <t xml:space="preserve">API-044</t>
        </is>
      </c>
      <c r="B45" s="0" t="inlineStr">
        <is>
          <t xml:space="preserve">Nhà, quyền cho thuê &amp; phòng</t>
        </is>
      </c>
      <c r="C45" s="0" t="inlineStr">
        <is>
          <t xml:space="preserve">rooms</t>
        </is>
      </c>
      <c r="D45" s="0" t="inlineStr">
        <is>
          <t xml:space="preserve">PATCH</t>
        </is>
      </c>
      <c r="E45" s="0" t="inlineStr">
        <is>
          <t xml:space="preserve">/api/v1/rooms/{roomId}</t>
        </is>
      </c>
      <c r="F45" s="0" t="inlineStr">
        <is>
          <t xml:space="preserve">Sửa thông tin vật lý và giá phòng</t>
        </is>
      </c>
      <c r="G45" s="0" t="inlineStr">
        <is>
          <t xml:space="preserve">LANDLORD: sở hữu nhà/phòng/hợp đồng</t>
        </is>
      </c>
      <c r="H45" s="0" t="inlineStr">
        <is>
          <t xml:space="preserve">P0</t>
        </is>
      </c>
      <c r="I45" s="0" t="inlineStr">
        <is>
          <t xml:space="preserve">Middleware auth/session/role + object scope
D09: idempotency store nếu chưa có khóa tự nhiên
D15: kiểm tra version trong khóa</t>
        </is>
      </c>
      <c r="J45" s="0" t="inlineStr">
        <is>
          <t xml:space="preserve">SERVICE: cần triển khai giao dịch backend</t>
        </is>
      </c>
      <c r="K45" s="0" t="inlineStr">
        <is>
          <t xml:space="preserve">code: string (tùy chọn) — Ánh xạ room_number; không trùng trong nhà; tối đa 100 ký tự.
area: decimal (tùy chọn) — &gt; 0; tương thích DECIMAL(10,2).
rentAmount: money (tùy chọn) — Ánh xạ rent_price; không âm; DECIMAL(15,2).
depositAmount: money (tùy chọn) — Không âm; DECIMAL(15,2).
status: enum (tùy chọn) — Chỉ chọn AVAILABLE/MAINTENANCE nếu không có người/chỗ/hợp đồng mở; RESERVED/OCCUPIED do nghiệp vụ tính.
allowAdditionalOccupants: boolean (tùy chọn) — Ánh xạ allow_additional_occupants, điều kiện tiếp nhận thêm người.
notes: string (tùy chọn) — Tối đa 2.000 ký tự.</t>
        </is>
      </c>
      <c r="L45" s="0" t="inlineStr">
        <is>
          <t xml:space="preserve">Room sau cập nhật</t>
        </is>
      </c>
      <c r="M45" s="0" t="inlineStr">
        <is>
          <t xml:space="preserve">Chỉ field vật lý/giá/allowAdditionalOccupants/notes và trạng thái bảo trì; capacity đi route riêng. Không sửa dữ liệu giá trong hợp đồng/hóa đơn cũ; không đặt AVAILABLE cho phòng còn tải/hợp đồng.</t>
        </is>
      </c>
      <c r="N45" s="0" t="inlineStr">
        <is>
          <t xml:space="preserve">400 BAD_REQUEST
401 UNAUTHENTICATED
403 FORBIDDEN
404 RESOURCE_NOT_FOUND
409 STATE_CONFLICT
409 IDEMPOTENCY_KEY_REUSED
422 VALIDATION_ERROR
409 ROOM_NUMBER_EXISTS
422 ROOM_CAPACITY_EXCEEDED
409 ROOM_STILL_OCCUPIED</t>
        </is>
      </c>
      <c r="O45" s="0" t="inlineStr">
        <is>
          <t xml:space="preserve"/>
        </is>
      </c>
      <c r="P45" s="0" t="inlineStr">
        <is>
          <t xml:space="preserve">Chưa làm</t>
        </is>
      </c>
      <c r="Q45" s="0" t="inlineStr">
        <is>
          <t xml:space="preserve">Chưa</t>
        </is>
      </c>
      <c r="R45" s="0" t="inlineStr">
        <is>
          <t xml:space="preserve">Chưa</t>
        </is>
      </c>
      <c r="S45" s="0" t="inlineStr">
        <is>
          <t xml:space="preserve">Chưa</t>
        </is>
      </c>
      <c r="T45" s="0" t="inlineStr">
        <is>
          <t xml:space="preserve">Chưa</t>
        </is>
      </c>
      <c r="U45" s="0" t="inlineStr">
        <is>
          <t xml:space="preserve">Chưa</t>
        </is>
      </c>
      <c r="V45" s="0" t="inlineStr">
        <is>
          <t xml:space="preserve">Chưa</t>
        </is>
      </c>
      <c r="W45" s="0" t="inlineStr">
        <is>
          <t xml:space="preserve">Chưa</t>
        </is>
      </c>
      <c r="X45" s="0" t="inlineStr">
        <is>
          <t xml:space="preserve">Chưa</t>
        </is>
      </c>
      <c r="Y45" s="3">
        <f>COUNTIF(Q45:X45,"Xong")/8</f>
        <v>0</v>
      </c>
      <c r="Z45" s="4" t="inlineStr">
        <is>
          <t xml:space="preserve"/>
        </is>
      </c>
      <c r="AA45" s="4" t="inlineStr">
        <is>
          <t xml:space="preserve"/>
        </is>
      </c>
      <c r="AB45" s="4" t="inlineStr">
        <is>
          <t xml:space="preserve"/>
        </is>
      </c>
      <c r="AC45" s="0" t="inlineStr">
        <is>
          <t xml:space="preserve"/>
        </is>
      </c>
      <c r="AD45" s="0" t="inlineStr">
        <is>
          <t xml:space="preserve">Happy path: Sửa thông tin vật lý và giá phòng; kiểm tra Room sau cập nhật.
Thiếu phiên/phiên revoked/actor LOCKED và actor khác chủ hoặc khác participant phải bị chặn.
Ràng buộc: Mã phòng duy nhất trong cùng nhà; sức chứa nguyên dương, giá/cọc không âm, diện tích dương.
Gửi lặp cùng khóa trả kết quả cũ; cùng khóa khác payload trả 409; hai request tranh cùng tài nguyên không vượt hạn mức.
Kiểm tra lỗi DB/provider không để lại cập nhật dở hoặc trả thành công giả.</t>
        </is>
      </c>
      <c r="AE45" s="0" t="inlineStr">
        <is>
          <t xml:space="preserve"/>
        </is>
      </c>
      <c r="AF45" s="5" t="inlineStr">
        <is>
          <t xml:space="preserve">Mở đặc tả</t>
        </is>
      </c>
    </row>
    <row r="46" ht="70" customHeight="1">
      <c r="A46" s="2" t="inlineStr">
        <is>
          <t xml:space="preserve">API-045</t>
        </is>
      </c>
      <c r="B46" s="2" t="inlineStr">
        <is>
          <t xml:space="preserve">Nhà, quyền cho thuê &amp; phòng</t>
        </is>
      </c>
      <c r="C46" s="2" t="inlineStr">
        <is>
          <t xml:space="preserve">rooms</t>
        </is>
      </c>
      <c r="D46" s="2" t="inlineStr">
        <is>
          <t xml:space="preserve">PUT</t>
        </is>
      </c>
      <c r="E46" s="2" t="inlineStr">
        <is>
          <t xml:space="preserve">/api/v1/rooms/{roomId}/capacity</t>
        </is>
      </c>
      <c r="F46" s="2" t="inlineStr">
        <is>
          <t xml:space="preserve">Đổi sức chứa có khóa phòng</t>
        </is>
      </c>
      <c r="G46" s="2" t="inlineStr">
        <is>
          <t xml:space="preserve">LANDLORD: sở hữu nhà/phòng/hợp đồng</t>
        </is>
      </c>
      <c r="H46" s="2" t="inlineStr">
        <is>
          <t xml:space="preserve">P0</t>
        </is>
      </c>
      <c r="I46" s="2" t="inlineStr">
        <is>
          <t xml:space="preserve">Middleware auth/session/role + object scope
D09: idempotency store nếu chưa có khóa tự nhiên</t>
        </is>
      </c>
      <c r="J46" s="2" t="inlineStr">
        <is>
          <t xml:space="preserve">sp_set_room_capacity</t>
        </is>
      </c>
      <c r="K46" s="2" t="inlineStr">
        <is>
          <t xml:space="preserve">capacity: integer (bắt buộc) — &gt;0 và ≥ ACTIVE + PLANNED mở + hold còn hạn.</t>
        </is>
      </c>
      <c r="L46" s="2" t="inlineStr">
        <is>
          <t xml:space="preserve">Room {id,capacity,currentLoad}</t>
        </is>
      </c>
      <c r="M46" s="2" t="inlineStr">
        <is>
          <t xml:space="preserve">API kiểm tra actor ACTIVE rồi gọi procedure, không chỉ đếm phía client.</t>
        </is>
      </c>
      <c r="N46" s="2" t="inlineStr">
        <is>
          <t xml:space="preserve">400 BAD_REQUEST
401 UNAUTHENTICATED
403 FORBIDDEN
404 RESOURCE_NOT_FOUND
409 STATE_CONFLICT
409 IDEMPOTENCY_KEY_REUSED
422 VALIDATION_ERROR
409 ROOM_NUMBER_EXISTS
422 ROOM_CAPACITY_EXCEEDED
409 ROOM_STILL_OCCUPIED</t>
        </is>
      </c>
      <c r="O46" s="2" t="inlineStr">
        <is>
          <t xml:space="preserve"/>
        </is>
      </c>
      <c r="P46" s="2" t="inlineStr">
        <is>
          <t xml:space="preserve">Chưa làm</t>
        </is>
      </c>
      <c r="Q46" s="2" t="inlineStr">
        <is>
          <t xml:space="preserve">Chưa</t>
        </is>
      </c>
      <c r="R46" s="2" t="inlineStr">
        <is>
          <t xml:space="preserve">Chưa</t>
        </is>
      </c>
      <c r="S46" s="2" t="inlineStr">
        <is>
          <t xml:space="preserve">Chưa</t>
        </is>
      </c>
      <c r="T46" s="2" t="inlineStr">
        <is>
          <t xml:space="preserve">Chưa</t>
        </is>
      </c>
      <c r="U46" s="2" t="inlineStr">
        <is>
          <t xml:space="preserve">Chưa</t>
        </is>
      </c>
      <c r="V46" s="2" t="inlineStr">
        <is>
          <t xml:space="preserve">Chưa</t>
        </is>
      </c>
      <c r="W46" s="2" t="inlineStr">
        <is>
          <t xml:space="preserve">Chưa</t>
        </is>
      </c>
      <c r="X46" s="2" t="inlineStr">
        <is>
          <t xml:space="preserve">Chưa</t>
        </is>
      </c>
      <c r="Y46" s="3">
        <f>COUNTIF(Q46:X46,"Xong")/8</f>
        <v>0</v>
      </c>
      <c r="Z46" s="4" t="inlineStr">
        <is>
          <t xml:space="preserve"/>
        </is>
      </c>
      <c r="AA46" s="4" t="inlineStr">
        <is>
          <t xml:space="preserve"/>
        </is>
      </c>
      <c r="AB46" s="4" t="inlineStr">
        <is>
          <t xml:space="preserve"/>
        </is>
      </c>
      <c r="AC46" s="2" t="inlineStr">
        <is>
          <t xml:space="preserve"/>
        </is>
      </c>
      <c r="AD46" s="2" t="inlineStr">
        <is>
          <t xml:space="preserve">Happy path: Đổi sức chứa có khóa phòng; kiểm tra Room {id,capacity,currentLoad}.
Thiếu phiên/phiên revoked/actor LOCKED và actor khác chủ hoặc khác participant phải bị chặn.
Ràng buộc: Mã phòng duy nhất trong cùng nhà; sức chứa nguyên dương, giá/cọc không âm, diện tích dương.
Gửi lặp cùng khóa trả kết quả cũ; cùng khóa khác payload trả 409; hai request tranh cùng tài nguyên không vượt hạn mức.
Lỗi giữa giao dịch phải rollback; xác minh không bọc CALL trong transaction của ứng dụng.</t>
        </is>
      </c>
      <c r="AE46" s="2" t="inlineStr">
        <is>
          <t xml:space="preserve"/>
        </is>
      </c>
      <c r="AF46" s="5" t="inlineStr">
        <is>
          <t xml:space="preserve">Mở đặc tả</t>
        </is>
      </c>
    </row>
    <row r="47" ht="70" customHeight="1">
      <c r="A47" s="0" t="inlineStr">
        <is>
          <t xml:space="preserve">API-046</t>
        </is>
      </c>
      <c r="B47" s="0" t="inlineStr">
        <is>
          <t xml:space="preserve">Nhà, quyền cho thuê &amp; phòng</t>
        </is>
      </c>
      <c r="C47" s="0" t="inlineStr">
        <is>
          <t xml:space="preserve">room-detail</t>
        </is>
      </c>
      <c r="D47" s="0" t="inlineStr">
        <is>
          <t xml:space="preserve">GET</t>
        </is>
      </c>
      <c r="E47" s="0" t="inlineStr">
        <is>
          <t xml:space="preserve">/api/v1/rooms/{roomId}</t>
        </is>
      </c>
      <c r="F47" s="0" t="inlineStr">
        <is>
          <t xml:space="preserve">Chi tiết phòng theo quyền người xem</t>
        </is>
      </c>
      <c r="G47" s="0" t="inlineStr">
        <is>
          <t xml:space="preserve">PUBLIC</t>
        </is>
      </c>
      <c r="H47" s="0" t="inlineStr">
        <is>
          <t xml:space="preserve">P0</t>
        </is>
      </c>
      <c r="I47" s="0" t="inlineStr">
        <is>
          <t xml:space="preserve"/>
        </is>
      </c>
      <c r="J47" s="0" t="inlineStr">
        <is>
          <t xml:space="preserve">READ: truy vấn có scope quyền</t>
        </is>
      </c>
      <c r="K47" s="0" t="inlineStr">
        <is>
          <t xml:space="preserve">Không có JSON body</t>
        </is>
      </c>
      <c r="L47" s="0" t="inlineStr">
        <is>
          <t xml:space="preserve">Room {id,area,rentAmount,depositAmount,capacity,status,activeCount,services}; không có danh tính cư dân</t>
        </is>
      </c>
      <c r="M47" s="0" t="inlineStr">
        <is>
          <t xml:space="preserve">Người ngoài chỉ đọc phòng có tin công khai đủ quyền. Chủ/admin xem theo phạm vi được xác thực. Tách số lượng công khai khỏi danh sách người ở.</t>
        </is>
      </c>
      <c r="N47" s="0" t="inlineStr">
        <is>
          <t xml:space="preserve">400 BAD_REQUEST
404 RESOURCE_NOT_FOUND</t>
        </is>
      </c>
      <c r="O47" s="0" t="inlineStr">
        <is>
          <t xml:space="preserve"/>
        </is>
      </c>
      <c r="P47" s="0" t="inlineStr">
        <is>
          <t xml:space="preserve">Chưa làm</t>
        </is>
      </c>
      <c r="Q47" s="0" t="inlineStr">
        <is>
          <t xml:space="preserve">Chưa</t>
        </is>
      </c>
      <c r="R47" s="0" t="inlineStr">
        <is>
          <t xml:space="preserve">Chưa</t>
        </is>
      </c>
      <c r="S47" s="0" t="inlineStr">
        <is>
          <t xml:space="preserve">Chưa</t>
        </is>
      </c>
      <c r="T47" s="0" t="inlineStr">
        <is>
          <t xml:space="preserve">Chưa</t>
        </is>
      </c>
      <c r="U47" s="0" t="inlineStr">
        <is>
          <t xml:space="preserve">Chưa</t>
        </is>
      </c>
      <c r="V47" s="0" t="inlineStr">
        <is>
          <t xml:space="preserve">Chưa</t>
        </is>
      </c>
      <c r="W47" s="0" t="inlineStr">
        <is>
          <t xml:space="preserve">Chưa</t>
        </is>
      </c>
      <c r="X47" s="0" t="inlineStr">
        <is>
          <t xml:space="preserve">Chưa</t>
        </is>
      </c>
      <c r="Y47" s="3">
        <f>COUNTIF(Q47:X47,"Xong")/8</f>
        <v>0</v>
      </c>
      <c r="Z47" s="4" t="inlineStr">
        <is>
          <t xml:space="preserve"/>
        </is>
      </c>
      <c r="AA47" s="4" t="inlineStr">
        <is>
          <t xml:space="preserve"/>
        </is>
      </c>
      <c r="AB47" s="4" t="inlineStr">
        <is>
          <t xml:space="preserve"/>
        </is>
      </c>
      <c r="AC47" s="0" t="inlineStr">
        <is>
          <t xml:space="preserve"/>
        </is>
      </c>
      <c r="AD47" s="0" t="inlineStr">
        <is>
          <t xml:space="preserve">Happy path: Chi tiết phòng theo quyền người xem; kiểm tra Room {id,area,rentAmount,depositAmount,capacity,status,activeCount,services}; không có danh tính cư dân.
Đầu vào sai/ID ẩn: không lộ dữ liệu riêng tư.
Ràng buộc: Kiểm tra kiểu dữ liệu và quan hệ FK.
Phân trang/lọc đúng scope; dữ liệu riêng tư bị loại trên server, không chỉ ẩn UI.
Kiểm tra lỗi DB/provider không để lại cập nhật dở hoặc trả thành công giả.</t>
        </is>
      </c>
      <c r="AE47" s="0" t="inlineStr">
        <is>
          <t xml:space="preserve"/>
        </is>
      </c>
      <c r="AF47" s="5" t="inlineStr">
        <is>
          <t xml:space="preserve">Mở đặc tả</t>
        </is>
      </c>
    </row>
    <row r="48" ht="70" customHeight="1">
      <c r="A48" s="2" t="inlineStr">
        <is>
          <t xml:space="preserve">API-047</t>
        </is>
      </c>
      <c r="B48" s="2" t="inlineStr">
        <is>
          <t xml:space="preserve">Nhà, quyền cho thuê &amp; phòng</t>
        </is>
      </c>
      <c r="C48" s="2" t="inlineStr">
        <is>
          <t xml:space="preserve">room-detail</t>
        </is>
      </c>
      <c r="D48" s="2" t="inlineStr">
        <is>
          <t xml:space="preserve">GET</t>
        </is>
      </c>
      <c r="E48" s="2" t="inlineStr">
        <is>
          <t xml:space="preserve">/api/v1/rooms/{roomId}/posts</t>
        </is>
      </c>
      <c r="F48" s="2" t="inlineStr">
        <is>
          <t xml:space="preserve">Bài đăng của một phòng</t>
        </is>
      </c>
      <c r="G48" s="2" t="inlineStr">
        <is>
          <t xml:space="preserve">PUBLIC</t>
        </is>
      </c>
      <c r="H48" s="2" t="inlineStr">
        <is>
          <t xml:space="preserve">P0</t>
        </is>
      </c>
      <c r="I48" s="2" t="inlineStr">
        <is>
          <t xml:space="preserve"/>
        </is>
      </c>
      <c r="J48" s="2" t="inlineStr">
        <is>
          <t xml:space="preserve">READ: truy vấn có scope quyền</t>
        </is>
      </c>
      <c r="K48" s="2" t="inlineStr">
        <is>
          <t xml:space="preserve">Không có JSON body</t>
        </is>
      </c>
      <c r="L48" s="2" t="inlineStr">
        <is>
          <t xml:space="preserve">Post[]; chủ/admin thêm pendingReviewCount và quota=3</t>
        </is>
      </c>
      <c r="M48" s="2" t="inlineStr">
        <is>
          <t xml:space="preserve">Public chỉ từ v_public_house_posts; chủ sở hữu/admin có thể xem mọi trạng thái của phòng có quyền. Không trả nháp cho người thuê.</t>
        </is>
      </c>
      <c r="N48" s="2" t="inlineStr">
        <is>
          <t xml:space="preserve">400 BAD_REQUEST
404 RESOURCE_NOT_FOUND
422 VALIDATION_ERROR</t>
        </is>
      </c>
      <c r="O48" s="2" t="inlineStr">
        <is>
          <t xml:space="preserve"/>
        </is>
      </c>
      <c r="P48" s="2" t="inlineStr">
        <is>
          <t xml:space="preserve">Chưa làm</t>
        </is>
      </c>
      <c r="Q48" s="2" t="inlineStr">
        <is>
          <t xml:space="preserve">Chưa</t>
        </is>
      </c>
      <c r="R48" s="2" t="inlineStr">
        <is>
          <t xml:space="preserve">Chưa</t>
        </is>
      </c>
      <c r="S48" s="2" t="inlineStr">
        <is>
          <t xml:space="preserve">Chưa</t>
        </is>
      </c>
      <c r="T48" s="2" t="inlineStr">
        <is>
          <t xml:space="preserve">Chưa</t>
        </is>
      </c>
      <c r="U48" s="2" t="inlineStr">
        <is>
          <t xml:space="preserve">Chưa</t>
        </is>
      </c>
      <c r="V48" s="2" t="inlineStr">
        <is>
          <t xml:space="preserve">Chưa</t>
        </is>
      </c>
      <c r="W48" s="2" t="inlineStr">
        <is>
          <t xml:space="preserve">Chưa</t>
        </is>
      </c>
      <c r="X48" s="2" t="inlineStr">
        <is>
          <t xml:space="preserve">Chưa</t>
        </is>
      </c>
      <c r="Y48" s="3">
        <f>COUNTIF(Q48:X48,"Xong")/8</f>
        <v>0</v>
      </c>
      <c r="Z48" s="4" t="inlineStr">
        <is>
          <t xml:space="preserve"/>
        </is>
      </c>
      <c r="AA48" s="4" t="inlineStr">
        <is>
          <t xml:space="preserve"/>
        </is>
      </c>
      <c r="AB48" s="4" t="inlineStr">
        <is>
          <t xml:space="preserve"/>
        </is>
      </c>
      <c r="AC48" s="2" t="inlineStr">
        <is>
          <t xml:space="preserve"/>
        </is>
      </c>
      <c r="AD48" s="2" t="inlineStr">
        <is>
          <t xml:space="preserve">Happy path: Bài đăng của một phòng; kiểm tra Post[]; chủ/admin thêm pendingReviewCount và quota=3.
Đầu vào sai/ID ẩn: không lộ dữ liệu riêng tư.
Ràng buộc: Kiểm tra kiểu dữ liệu và quan hệ FK.
Phân trang/lọc đúng scope; dữ liệu riêng tư bị loại trên server, không chỉ ẩn UI.
Kiểm tra lỗi DB/provider không để lại cập nhật dở hoặc trả thành công giả.</t>
        </is>
      </c>
      <c r="AE48" s="2" t="inlineStr">
        <is>
          <t xml:space="preserve"/>
        </is>
      </c>
      <c r="AF48" s="5" t="inlineStr">
        <is>
          <t xml:space="preserve">Mở đặc tả</t>
        </is>
      </c>
    </row>
    <row r="49" ht="70" customHeight="1">
      <c r="A49" s="0" t="inlineStr">
        <is>
          <t xml:space="preserve">API-048</t>
        </is>
      </c>
      <c r="B49" s="0" t="inlineStr">
        <is>
          <t xml:space="preserve">Nhà, quyền cho thuê &amp; phòng</t>
        </is>
      </c>
      <c r="C49" s="0" t="inlineStr">
        <is>
          <t xml:space="preserve">room-detail</t>
        </is>
      </c>
      <c r="D49" s="0" t="inlineStr">
        <is>
          <t xml:space="preserve">GET</t>
        </is>
      </c>
      <c r="E49" s="0" t="inlineStr">
        <is>
          <t xml:space="preserve">/api/v1/rooms/{roomId}/residents</t>
        </is>
      </c>
      <c r="F49" s="0" t="inlineStr">
        <is>
          <t xml:space="preserve">Người đang ở trong phòng</t>
        </is>
      </c>
      <c r="G49" s="0" t="inlineStr">
        <is>
          <t xml:space="preserve">LANDLORD: sở hữu nhà/phòng/hợp đồng hoặc ADMIN</t>
        </is>
      </c>
      <c r="H49" s="0" t="inlineStr">
        <is>
          <t xml:space="preserve">P0</t>
        </is>
      </c>
      <c r="I49" s="0" t="inlineStr">
        <is>
          <t xml:space="preserve">Middleware auth/session/role + object scope</t>
        </is>
      </c>
      <c r="J49" s="0" t="inlineStr">
        <is>
          <t xml:space="preserve">READ: truy vấn có scope quyền</t>
        </is>
      </c>
      <c r="K49" s="0" t="inlineStr">
        <is>
          <t xml:space="preserve">Không có JSON body</t>
        </is>
      </c>
      <c r="L49" s="0" t="inlineStr">
        <is>
          <t xml:space="preserve">Resident[] {id,fullName,isRepresentative,moveInDate,reconciliationRequired}</t>
        </is>
      </c>
      <c r="M49" s="0" t="inlineStr">
        <is>
          <t xml:space="preserve">Chỉ ACTIVE, kể cả contract đã đóng sai; không trộn PLANNED/LEFT/CANCELLED; trả 403 cho người ngoài.</t>
        </is>
      </c>
      <c r="N49" s="0" t="inlineStr">
        <is>
          <t xml:space="preserve">400 BAD_REQUEST
401 UNAUTHENTICATED
403 FORBIDDEN
404 RESOURCE_NOT_FOUND
422 VALIDATION_ERROR</t>
        </is>
      </c>
      <c r="O49" s="0" t="inlineStr">
        <is>
          <t xml:space="preserve"/>
        </is>
      </c>
      <c r="P49" s="0" t="inlineStr">
        <is>
          <t xml:space="preserve">Chưa làm</t>
        </is>
      </c>
      <c r="Q49" s="0" t="inlineStr">
        <is>
          <t xml:space="preserve">Chưa</t>
        </is>
      </c>
      <c r="R49" s="0" t="inlineStr">
        <is>
          <t xml:space="preserve">Chưa</t>
        </is>
      </c>
      <c r="S49" s="0" t="inlineStr">
        <is>
          <t xml:space="preserve">Chưa</t>
        </is>
      </c>
      <c r="T49" s="0" t="inlineStr">
        <is>
          <t xml:space="preserve">Chưa</t>
        </is>
      </c>
      <c r="U49" s="0" t="inlineStr">
        <is>
          <t xml:space="preserve">Chưa</t>
        </is>
      </c>
      <c r="V49" s="0" t="inlineStr">
        <is>
          <t xml:space="preserve">Chưa</t>
        </is>
      </c>
      <c r="W49" s="0" t="inlineStr">
        <is>
          <t xml:space="preserve">Chưa</t>
        </is>
      </c>
      <c r="X49" s="0" t="inlineStr">
        <is>
          <t xml:space="preserve">Chưa</t>
        </is>
      </c>
      <c r="Y49" s="3">
        <f>COUNTIF(Q49:X49,"Xong")/8</f>
        <v>0</v>
      </c>
      <c r="Z49" s="4" t="inlineStr">
        <is>
          <t xml:space="preserve"/>
        </is>
      </c>
      <c r="AA49" s="4" t="inlineStr">
        <is>
          <t xml:space="preserve"/>
        </is>
      </c>
      <c r="AB49" s="4" t="inlineStr">
        <is>
          <t xml:space="preserve"/>
        </is>
      </c>
      <c r="AC49" s="0" t="inlineStr">
        <is>
          <t xml:space="preserve"/>
        </is>
      </c>
      <c r="AD49" s="0" t="inlineStr">
        <is>
          <t xml:space="preserve">Happy path: Người đang ở trong phòng; kiểm tra Resident[] {id,fullName,isRepresentative,moveInDate,reconciliationRequired}.
Thiếu phiên/phiên revoked/actor LOCKED và actor khác chủ hoặc khác participant phải bị chặn.
Ràng buộc: Kiểm tra kiểu dữ liệu và quan hệ FK.
Phân trang/lọc đúng scope; dữ liệu riêng tư bị loại trên server, không chỉ ẩn UI.
Kiểm tra lỗi DB/provider không để lại cập nhật dở hoặc trả thành công giả.</t>
        </is>
      </c>
      <c r="AE49" s="0" t="inlineStr">
        <is>
          <t xml:space="preserve"/>
        </is>
      </c>
      <c r="AF49" s="5" t="inlineStr">
        <is>
          <t xml:space="preserve">Mở đặc tả</t>
        </is>
      </c>
    </row>
    <row r="50" ht="70" customHeight="1">
      <c r="A50" s="2" t="inlineStr">
        <is>
          <t xml:space="preserve">API-049</t>
        </is>
      </c>
      <c r="B50" s="2" t="inlineStr">
        <is>
          <t xml:space="preserve">Nhà, quyền cho thuê &amp; phòng</t>
        </is>
      </c>
      <c r="C50" s="2" t="inlineStr">
        <is>
          <t xml:space="preserve">room-detail</t>
        </is>
      </c>
      <c r="D50" s="2" t="inlineStr">
        <is>
          <t xml:space="preserve">GET</t>
        </is>
      </c>
      <c r="E50" s="2" t="inlineStr">
        <is>
          <t xml:space="preserve">/api/v1/rooms/{roomId}/services</t>
        </is>
      </c>
      <c r="F50" s="2" t="inlineStr">
        <is>
          <t xml:space="preserve">Dịch vụ hiệu lực của phòng</t>
        </is>
      </c>
      <c r="G50" s="2" t="inlineStr">
        <is>
          <t xml:space="preserve">PUBLIC</t>
        </is>
      </c>
      <c r="H50" s="2" t="inlineStr">
        <is>
          <t xml:space="preserve">P0</t>
        </is>
      </c>
      <c r="I50" s="2" t="inlineStr">
        <is>
          <t xml:space="preserve"/>
        </is>
      </c>
      <c r="J50" s="2" t="inlineStr">
        <is>
          <t xml:space="preserve">READ: active_room_services</t>
        </is>
      </c>
      <c r="K50" s="2" t="inlineStr">
        <is>
          <t xml:space="preserve">Không có JSON body</t>
        </is>
      </c>
      <c r="L50" s="2" t="inlineStr">
        <is>
          <t xml:space="preserve">EffectiveService[] {name,unit,method,unitPrice}</t>
        </is>
      </c>
      <c r="M50" s="2" t="inlineStr">
        <is>
          <t xml:space="preserve">Kiểm tra quyền xem phòng; active cả house_services và room_services; COALESCE override, 0 là giá hợp lệ.</t>
        </is>
      </c>
      <c r="N50" s="2" t="inlineStr">
        <is>
          <t xml:space="preserve">400 BAD_REQUEST
404 RESOURCE_NOT_FOUND
422 VALIDATION_ERROR</t>
        </is>
      </c>
      <c r="O50" s="2" t="inlineStr">
        <is>
          <t xml:space="preserve"/>
        </is>
      </c>
      <c r="P50" s="2" t="inlineStr">
        <is>
          <t xml:space="preserve">Chưa làm</t>
        </is>
      </c>
      <c r="Q50" s="2" t="inlineStr">
        <is>
          <t xml:space="preserve">Chưa</t>
        </is>
      </c>
      <c r="R50" s="2" t="inlineStr">
        <is>
          <t xml:space="preserve">Chưa</t>
        </is>
      </c>
      <c r="S50" s="2" t="inlineStr">
        <is>
          <t xml:space="preserve">Chưa</t>
        </is>
      </c>
      <c r="T50" s="2" t="inlineStr">
        <is>
          <t xml:space="preserve">Chưa</t>
        </is>
      </c>
      <c r="U50" s="2" t="inlineStr">
        <is>
          <t xml:space="preserve">Chưa</t>
        </is>
      </c>
      <c r="V50" s="2" t="inlineStr">
        <is>
          <t xml:space="preserve">Chưa</t>
        </is>
      </c>
      <c r="W50" s="2" t="inlineStr">
        <is>
          <t xml:space="preserve">Chưa</t>
        </is>
      </c>
      <c r="X50" s="2" t="inlineStr">
        <is>
          <t xml:space="preserve">Chưa</t>
        </is>
      </c>
      <c r="Y50" s="3">
        <f>COUNTIF(Q50:X50,"Xong")/8</f>
        <v>0</v>
      </c>
      <c r="Z50" s="4" t="inlineStr">
        <is>
          <t xml:space="preserve"/>
        </is>
      </c>
      <c r="AA50" s="4" t="inlineStr">
        <is>
          <t xml:space="preserve"/>
        </is>
      </c>
      <c r="AB50" s="4" t="inlineStr">
        <is>
          <t xml:space="preserve"/>
        </is>
      </c>
      <c r="AC50" s="2" t="inlineStr">
        <is>
          <t xml:space="preserve"/>
        </is>
      </c>
      <c r="AD50" s="2" t="inlineStr">
        <is>
          <t xml:space="preserve">Happy path: Dịch vụ hiệu lực của phòng; kiểm tra EffectiveService[] {name,unit,method,unitPrice}.
Đầu vào sai/ID ẩn: không lộ dữ liệu riêng tư.
Ràng buộc: Kiểm tra kiểu dữ liệu và quan hệ FK.
Phân trang/lọc đúng scope; dữ liệu riêng tư bị loại trên server, không chỉ ẩn UI.
Kiểm tra lỗi DB/provider không để lại cập nhật dở hoặc trả thành công giả.</t>
        </is>
      </c>
      <c r="AE50" s="2" t="inlineStr">
        <is>
          <t xml:space="preserve"/>
        </is>
      </c>
      <c r="AF50" s="5" t="inlineStr">
        <is>
          <t xml:space="preserve">Mở đặc tả</t>
        </is>
      </c>
    </row>
    <row r="51" ht="70" customHeight="1">
      <c r="A51" s="0" t="inlineStr">
        <is>
          <t xml:space="preserve">API-050</t>
        </is>
      </c>
      <c r="B51" s="0" t="inlineStr">
        <is>
          <t xml:space="preserve">Tin đăng &amp; tìm phòng</t>
        </is>
      </c>
      <c r="C51" s="0" t="inlineStr">
        <is>
          <t xml:space="preserve">submit-post</t>
        </is>
      </c>
      <c r="D51" s="0" t="inlineStr">
        <is>
          <t xml:space="preserve">GET</t>
        </is>
      </c>
      <c r="E51" s="0" t="inlineStr">
        <is>
          <t xml:space="preserve">/api/v1/landlord/posts</t>
        </is>
      </c>
      <c r="F51" s="0" t="inlineStr">
        <is>
          <t xml:space="preserve">Danh sách tin chủ trọ quản lý</t>
        </is>
      </c>
      <c r="G51" s="0" t="inlineStr">
        <is>
          <t xml:space="preserve">LANDLORD: sở hữu nhà/phòng/hợp đồng</t>
        </is>
      </c>
      <c r="H51" s="0" t="inlineStr">
        <is>
          <t xml:space="preserve">P1</t>
        </is>
      </c>
      <c r="I51" s="0" t="inlineStr">
        <is>
          <t xml:space="preserve">Middleware auth/session/role + object scope</t>
        </is>
      </c>
      <c r="J51" s="0" t="inlineStr">
        <is>
          <t xml:space="preserve">READ: truy vấn có scope quyền</t>
        </is>
      </c>
      <c r="K51" s="0" t="inlineStr">
        <is>
          <t xml:space="preserve">Không có JSON body</t>
        </is>
      </c>
      <c r="L51" s="0" t="inlineStr">
        <is>
          <t xml:space="preserve">Post[] {id,roomId,status,contentVersion,pendingReviewCount}</t>
        </is>
      </c>
      <c r="M51" s="0" t="inlineStr">
        <is>
          <t xml:space="preserve">Lọc đúng các phòng thuộc mình; trả đủ mọi trạng thái.</t>
        </is>
      </c>
      <c r="N51" s="0" t="inlineStr">
        <is>
          <t xml:space="preserve">400 BAD_REQUEST
401 UNAUTHENTICATED
403 FORBIDDEN
404 RESOURCE_NOT_FOUND
422 VALIDATION_ERROR</t>
        </is>
      </c>
      <c r="O51" s="0" t="inlineStr">
        <is>
          <t xml:space="preserve"/>
        </is>
      </c>
      <c r="P51" s="0" t="inlineStr">
        <is>
          <t xml:space="preserve">Chưa làm</t>
        </is>
      </c>
      <c r="Q51" s="0" t="inlineStr">
        <is>
          <t xml:space="preserve">Chưa</t>
        </is>
      </c>
      <c r="R51" s="0" t="inlineStr">
        <is>
          <t xml:space="preserve">Chưa</t>
        </is>
      </c>
      <c r="S51" s="0" t="inlineStr">
        <is>
          <t xml:space="preserve">Chưa</t>
        </is>
      </c>
      <c r="T51" s="0" t="inlineStr">
        <is>
          <t xml:space="preserve">Chưa</t>
        </is>
      </c>
      <c r="U51" s="0" t="inlineStr">
        <is>
          <t xml:space="preserve">Chưa</t>
        </is>
      </c>
      <c r="V51" s="0" t="inlineStr">
        <is>
          <t xml:space="preserve">Chưa</t>
        </is>
      </c>
      <c r="W51" s="0" t="inlineStr">
        <is>
          <t xml:space="preserve">Chưa</t>
        </is>
      </c>
      <c r="X51" s="0" t="inlineStr">
        <is>
          <t xml:space="preserve">Chưa</t>
        </is>
      </c>
      <c r="Y51" s="3">
        <f>COUNTIF(Q51:X51,"Xong")/8</f>
        <v>0</v>
      </c>
      <c r="Z51" s="4" t="inlineStr">
        <is>
          <t xml:space="preserve"/>
        </is>
      </c>
      <c r="AA51" s="4" t="inlineStr">
        <is>
          <t xml:space="preserve"/>
        </is>
      </c>
      <c r="AB51" s="4" t="inlineStr">
        <is>
          <t xml:space="preserve"/>
        </is>
      </c>
      <c r="AC51" s="0" t="inlineStr">
        <is>
          <t xml:space="preserve"/>
        </is>
      </c>
      <c r="AD51" s="0" t="inlineStr">
        <is>
          <t xml:space="preserve">Happy path: Danh sách tin chủ trọ quản lý; kiểm tra Post[] {id,roomId,status,contentVersion,pendingReviewCount}.
Thiếu phiên/phiên revoked/actor LOCKED và actor khác chủ hoặc khác participant phải bị chặn.
Ràng buộc: Một phòng tối đa 3 PENDING_REVIEW qua slot 1–3, UNIQUE (room_id,pending_review_slot) và CHECK. Tổng bài và số bài APPROVED không giới hạn.
Phân trang/lọc đúng scope; dữ liệu riêng tư bị loại trên server, không chỉ ẩn UI.
Kiểm tra lỗi DB/provider không để lại cập nhật dở hoặc trả thành công giả.</t>
        </is>
      </c>
      <c r="AE51" s="0" t="inlineStr">
        <is>
          <t xml:space="preserve"/>
        </is>
      </c>
      <c r="AF51" s="5" t="inlineStr">
        <is>
          <t xml:space="preserve">Mở đặc tả</t>
        </is>
      </c>
    </row>
    <row r="52" ht="70" customHeight="1">
      <c r="A52" s="2" t="inlineStr">
        <is>
          <t xml:space="preserve">API-051</t>
        </is>
      </c>
      <c r="B52" s="2" t="inlineStr">
        <is>
          <t xml:space="preserve">Tin đăng &amp; tìm phòng</t>
        </is>
      </c>
      <c r="C52" s="2" t="inlineStr">
        <is>
          <t xml:space="preserve">submit-post</t>
        </is>
      </c>
      <c r="D52" s="2" t="inlineStr">
        <is>
          <t xml:space="preserve">POST</t>
        </is>
      </c>
      <c r="E52" s="2" t="inlineStr">
        <is>
          <t xml:space="preserve">/api/v1/posts</t>
        </is>
      </c>
      <c r="F52" s="2" t="inlineStr">
        <is>
          <t xml:space="preserve">Tạo bài mới và gửi duyệt</t>
        </is>
      </c>
      <c r="G52" s="2" t="inlineStr">
        <is>
          <t xml:space="preserve">LANDLORD: sở hữu nhà/phòng/hợp đồng</t>
        </is>
      </c>
      <c r="H52" s="2" t="inlineStr">
        <is>
          <t xml:space="preserve">P0</t>
        </is>
      </c>
      <c r="I52" s="2" t="inlineStr">
        <is>
          <t xml:space="preserve">Middleware auth/session/role + object scope
D09: idempotency store nếu chưa có khóa tự nhiên
D07</t>
        </is>
      </c>
      <c r="J52" s="2" t="inlineStr">
        <is>
          <t xml:space="preserve">sp_submit_post</t>
        </is>
      </c>
      <c r="K52" s="2" t="inlineStr">
        <is>
          <t xml:space="preserve">roomId: id (bắt buộc) — Phòng thuộc chủ trọ. Khi sửa giữ nguyên roomId.
title: string (bắt buộc) — 1–200 ký tự sau trim.
content: string (bắt buộc) — Không trống; posts.content là TEXT (≤65.535 bytes UTF-8), dù tham số procedure LONGTEXT. API kiểm tra byte length trước ghi.
imageFileIds: id[] (bắt buộc) — Ít nhất 1 tệp POST_IMAGE ACTIVE của chủ trọ; thứ tự mảng là thứ tự ảnh.
amenities: string[] (tùy chọn) — Chuẩn hóa, loại trùng; mỗi amenity ≤100 ký tự theo SQL; giới hạn số mục API cần cấu hình.</t>
        </is>
      </c>
      <c r="L52" s="2" t="inlineStr">
        <is>
          <t xml:space="preserve">Post {id,status:PENDING_REVIEW,contentVersion,pendingReviewCount}</t>
        </is>
      </c>
      <c r="M52" s="2" t="inlineStr">
        <is>
          <t xml:space="preserve">Gọi sp_submit_post(p_post=NULL) cấp slot 1–3, nhà chưa xác minh vẫn nộp chờ được. sp_submit_post không ghi ảnh/amenities: cần mở rộng thủ tục trước khi coi toàn bộ body là nguyên tử. Không tạo post nửa chừng rồi báo thành công.</t>
        </is>
      </c>
      <c r="N52" s="2" t="inlineStr">
        <is>
          <t xml:space="preserve">400 BAD_REQUEST
401 UNAUTHENTICATED
403 FORBIDDEN
404 RESOURCE_NOT_FOUND
409 STATE_CONFLICT
409 IDEMPOTENCY_KEY_REUSED
422 VALIDATION_ERROR
409 POST_REVIEW_QUOTA_REACHED
409 POST_VERSION_CHANGED
422 POST_IMAGE_INVALID</t>
        </is>
      </c>
      <c r="O52" s="2" t="inlineStr">
        <is>
          <t xml:space="preserve"/>
        </is>
      </c>
      <c r="P52" s="2" t="inlineStr">
        <is>
          <t xml:space="preserve">Chưa làm</t>
        </is>
      </c>
      <c r="Q52" s="2" t="inlineStr">
        <is>
          <t xml:space="preserve">Chưa</t>
        </is>
      </c>
      <c r="R52" s="2" t="inlineStr">
        <is>
          <t xml:space="preserve">Chưa</t>
        </is>
      </c>
      <c r="S52" s="2" t="inlineStr">
        <is>
          <t xml:space="preserve">Chưa</t>
        </is>
      </c>
      <c r="T52" s="2" t="inlineStr">
        <is>
          <t xml:space="preserve">Chưa</t>
        </is>
      </c>
      <c r="U52" s="2" t="inlineStr">
        <is>
          <t xml:space="preserve">Chưa</t>
        </is>
      </c>
      <c r="V52" s="2" t="inlineStr">
        <is>
          <t xml:space="preserve">Chưa</t>
        </is>
      </c>
      <c r="W52" s="2" t="inlineStr">
        <is>
          <t xml:space="preserve">Chưa</t>
        </is>
      </c>
      <c r="X52" s="2" t="inlineStr">
        <is>
          <t xml:space="preserve">Chưa</t>
        </is>
      </c>
      <c r="Y52" s="3">
        <f>COUNTIF(Q52:X52,"Xong")/8</f>
        <v>0</v>
      </c>
      <c r="Z52" s="4" t="inlineStr">
        <is>
          <t xml:space="preserve"/>
        </is>
      </c>
      <c r="AA52" s="4" t="inlineStr">
        <is>
          <t xml:space="preserve"/>
        </is>
      </c>
      <c r="AB52" s="4" t="inlineStr">
        <is>
          <t xml:space="preserve"/>
        </is>
      </c>
      <c r="AC52" s="2" t="inlineStr">
        <is>
          <t xml:space="preserve"/>
        </is>
      </c>
      <c r="AD52" s="2" t="inlineStr">
        <is>
          <t xml:space="preserve">Happy path: Tạo bài mới và gửi duyệt; kiểm tra Post {id,status:PENDING_REVIEW,contentVersion,pendingReviewCount}.
Thiếu phiên/phiên revoked/actor LOCKED và actor khác chủ hoặc khác participant phải bị chặn.
Ràng buộc: Một phòng tối đa 3 PENDING_REVIEW qua slot 1–3, UNIQUE (room_id,pending_review_slot) và CHECK. Tổng bài và số bài APPROVED không giới hạn.
Gửi lặp cùng khóa trả kết quả cũ; cùng khóa khác payload trả 409; hai request tranh cùng tài nguyên không vượt hạn mức.
Lỗi giữa giao dịch phải rollback; xác minh không bọc CALL trong transaction của ứng dụng.</t>
        </is>
      </c>
      <c r="AE52" s="2" t="inlineStr">
        <is>
          <t xml:space="preserve"/>
        </is>
      </c>
      <c r="AF52" s="5" t="inlineStr">
        <is>
          <t xml:space="preserve">Mở đặc tả</t>
        </is>
      </c>
    </row>
    <row r="53" ht="70" customHeight="1">
      <c r="A53" s="0" t="inlineStr">
        <is>
          <t xml:space="preserve">API-052</t>
        </is>
      </c>
      <c r="B53" s="0" t="inlineStr">
        <is>
          <t xml:space="preserve">Tin đăng &amp; tìm phòng</t>
        </is>
      </c>
      <c r="C53" s="0" t="inlineStr">
        <is>
          <t xml:space="preserve">submit-post</t>
        </is>
      </c>
      <c r="D53" s="0" t="inlineStr">
        <is>
          <t xml:space="preserve">PATCH</t>
        </is>
      </c>
      <c r="E53" s="0" t="inlineStr">
        <is>
          <t xml:space="preserve">/api/v1/posts/{postId}</t>
        </is>
      </c>
      <c r="F53" s="0" t="inlineStr">
        <is>
          <t xml:space="preserve">Sửa đúng bài và gửi duyệt lại</t>
        </is>
      </c>
      <c r="G53" s="0" t="inlineStr">
        <is>
          <t xml:space="preserve">LANDLORD: sở hữu nhà/phòng/hợp đồng</t>
        </is>
      </c>
      <c r="H53" s="0" t="inlineStr">
        <is>
          <t xml:space="preserve">P1</t>
        </is>
      </c>
      <c r="I53" s="0" t="inlineStr">
        <is>
          <t xml:space="preserve">Middleware auth/session/role + object scope
D09: idempotency store nếu chưa có khóa tự nhiên
D07
D15: kiểm tra version trong khóa</t>
        </is>
      </c>
      <c r="J53" s="0" t="inlineStr">
        <is>
          <t xml:space="preserve">sp_submit_post</t>
        </is>
      </c>
      <c r="K53" s="0" t="inlineStr">
        <is>
          <t xml:space="preserve">roomId: id (tùy chọn) — Phòng thuộc chủ trọ. Khi sửa giữ nguyên roomId.
title: string (tùy chọn) — 1–200 ký tự sau trim.
content: string (tùy chọn) — Không trống; posts.content là TEXT (≤65.535 bytes UTF-8), dù tham số procedure LONGTEXT. API kiểm tra byte length trước ghi.
imageFileIds: id[] (tùy chọn) — Ít nhất 1 tệp POST_IMAGE ACTIVE của chủ trọ; thứ tự mảng là thứ tự ảnh.
amenities: string[] (tùy chọn) — Chuẩn hóa, loại trùng; mỗi amenity ≤100 ký tự theo SQL; giới hạn số mục API cần cấu hình.</t>
        </is>
      </c>
      <c r="L53" s="0" t="inlineStr">
        <is>
          <t xml:space="preserve">Post {id,status:PENDING_REVIEW,contentVersion}</t>
        </is>
      </c>
      <c r="M53" s="0" t="inlineStr">
        <is>
          <t xml:space="preserve">Giữ roomId. If-Match → p_expected_version. Sửa bài PENDING giữ slot, bài khác cần slot trống. Ảnh/amenities cần mở rộng procedure cùng transaction; không tác động bài khác.</t>
        </is>
      </c>
      <c r="N53" s="0" t="inlineStr">
        <is>
          <t xml:space="preserve">400 BAD_REQUEST
401 UNAUTHENTICATED
403 FORBIDDEN
404 RESOURCE_NOT_FOUND
409 STATE_CONFLICT
409 IDEMPOTENCY_KEY_REUSED
422 VALIDATION_ERROR
409 POST_REVIEW_QUOTA_REACHED
409 POST_VERSION_CHANGED
422 POST_IMAGE_INVALID</t>
        </is>
      </c>
      <c r="O53" s="0" t="inlineStr">
        <is>
          <t xml:space="preserve"/>
        </is>
      </c>
      <c r="P53" s="0" t="inlineStr">
        <is>
          <t xml:space="preserve">Chưa làm</t>
        </is>
      </c>
      <c r="Q53" s="0" t="inlineStr">
        <is>
          <t xml:space="preserve">Chưa</t>
        </is>
      </c>
      <c r="R53" s="0" t="inlineStr">
        <is>
          <t xml:space="preserve">Chưa</t>
        </is>
      </c>
      <c r="S53" s="0" t="inlineStr">
        <is>
          <t xml:space="preserve">Chưa</t>
        </is>
      </c>
      <c r="T53" s="0" t="inlineStr">
        <is>
          <t xml:space="preserve">Chưa</t>
        </is>
      </c>
      <c r="U53" s="0" t="inlineStr">
        <is>
          <t xml:space="preserve">Chưa</t>
        </is>
      </c>
      <c r="V53" s="0" t="inlineStr">
        <is>
          <t xml:space="preserve">Chưa</t>
        </is>
      </c>
      <c r="W53" s="0" t="inlineStr">
        <is>
          <t xml:space="preserve">Chưa</t>
        </is>
      </c>
      <c r="X53" s="0" t="inlineStr">
        <is>
          <t xml:space="preserve">Chưa</t>
        </is>
      </c>
      <c r="Y53" s="3">
        <f>COUNTIF(Q53:X53,"Xong")/8</f>
        <v>0</v>
      </c>
      <c r="Z53" s="4" t="inlineStr">
        <is>
          <t xml:space="preserve"/>
        </is>
      </c>
      <c r="AA53" s="4" t="inlineStr">
        <is>
          <t xml:space="preserve"/>
        </is>
      </c>
      <c r="AB53" s="4" t="inlineStr">
        <is>
          <t xml:space="preserve"/>
        </is>
      </c>
      <c r="AC53" s="0" t="inlineStr">
        <is>
          <t xml:space="preserve"/>
        </is>
      </c>
      <c r="AD53" s="0" t="inlineStr">
        <is>
          <t xml:space="preserve">Happy path: Sửa đúng bài và gửi duyệt lại; kiểm tra Post {id,status:PENDING_REVIEW,contentVersion}.
Thiếu phiên/phiên revoked/actor LOCKED và actor khác chủ hoặc khác participant phải bị chặn.
Ràng buộc: Một phòng tối đa 3 PENDING_REVIEW qua slot 1–3, UNIQUE (room_id,pending_review_slot) và CHECK. Tổng bài và số bài APPROVED không giới hạn.
Gửi lặp cùng khóa trả kết quả cũ; cùng khóa khác payload trả 409; hai request tranh cùng tài nguyên không vượt hạn mức.
Lỗi giữa giao dịch phải rollback; xác minh không bọc CALL trong transaction của ứng dụng.</t>
        </is>
      </c>
      <c r="AE53" s="0" t="inlineStr">
        <is>
          <t xml:space="preserve"/>
        </is>
      </c>
      <c r="AF53" s="5" t="inlineStr">
        <is>
          <t xml:space="preserve">Mở đặc tả</t>
        </is>
      </c>
    </row>
    <row r="54" ht="70" customHeight="1">
      <c r="A54" s="2" t="inlineStr">
        <is>
          <t xml:space="preserve">API-053</t>
        </is>
      </c>
      <c r="B54" s="2" t="inlineStr">
        <is>
          <t xml:space="preserve">Tin đăng &amp; tìm phòng</t>
        </is>
      </c>
      <c r="C54" s="2" t="inlineStr">
        <is>
          <t xml:space="preserve">moderate-post</t>
        </is>
      </c>
      <c r="D54" s="2" t="inlineStr">
        <is>
          <t xml:space="preserve">GET</t>
        </is>
      </c>
      <c r="E54" s="2" t="inlineStr">
        <is>
          <t xml:space="preserve">/api/v1/admin/posts</t>
        </is>
      </c>
      <c r="F54" s="2" t="inlineStr">
        <is>
          <t xml:space="preserve">Hàng đợi kiểm duyệt tin</t>
        </is>
      </c>
      <c r="G54" s="2" t="inlineStr">
        <is>
          <t xml:space="preserve">ADMIN: tài khoản ACTIVE có dòng admins</t>
        </is>
      </c>
      <c r="H54" s="2" t="inlineStr">
        <is>
          <t xml:space="preserve">P1</t>
        </is>
      </c>
      <c r="I54" s="2" t="inlineStr">
        <is>
          <t xml:space="preserve">Middleware auth/session/role + object scope</t>
        </is>
      </c>
      <c r="J54" s="2" t="inlineStr">
        <is>
          <t xml:space="preserve">READ: truy vấn có scope quyền</t>
        </is>
      </c>
      <c r="K54" s="2" t="inlineStr">
        <is>
          <t xml:space="preserve">Không có JSON body</t>
        </is>
      </c>
      <c r="L54" s="2" t="inlineStr">
        <is>
          <t xml:space="preserve">Post[] kèm trạng thái quyền nhà</t>
        </is>
      </c>
      <c r="M54" s="2" t="inlineStr">
        <is>
          <t xml:space="preserve">Lọc trạng thái; đọc tin và ảnh riêng phục vụ kiểm duyệt, không dùng route public.</t>
        </is>
      </c>
      <c r="N54" s="2" t="inlineStr">
        <is>
          <t xml:space="preserve">400 BAD_REQUEST
401 UNAUTHENTICATED
403 FORBIDDEN
404 RESOURCE_NOT_FOUND
422 VALIDATION_ERROR</t>
        </is>
      </c>
      <c r="O54" s="2" t="inlineStr">
        <is>
          <t xml:space="preserve"/>
        </is>
      </c>
      <c r="P54" s="2" t="inlineStr">
        <is>
          <t xml:space="preserve">Chưa làm</t>
        </is>
      </c>
      <c r="Q54" s="2" t="inlineStr">
        <is>
          <t xml:space="preserve">Chưa</t>
        </is>
      </c>
      <c r="R54" s="2" t="inlineStr">
        <is>
          <t xml:space="preserve">Chưa</t>
        </is>
      </c>
      <c r="S54" s="2" t="inlineStr">
        <is>
          <t xml:space="preserve">Chưa</t>
        </is>
      </c>
      <c r="T54" s="2" t="inlineStr">
        <is>
          <t xml:space="preserve">Chưa</t>
        </is>
      </c>
      <c r="U54" s="2" t="inlineStr">
        <is>
          <t xml:space="preserve">Chưa</t>
        </is>
      </c>
      <c r="V54" s="2" t="inlineStr">
        <is>
          <t xml:space="preserve">Chưa</t>
        </is>
      </c>
      <c r="W54" s="2" t="inlineStr">
        <is>
          <t xml:space="preserve">Chưa</t>
        </is>
      </c>
      <c r="X54" s="2" t="inlineStr">
        <is>
          <t xml:space="preserve">Chưa</t>
        </is>
      </c>
      <c r="Y54" s="3">
        <f>COUNTIF(Q54:X54,"Xong")/8</f>
        <v>0</v>
      </c>
      <c r="Z54" s="4" t="inlineStr">
        <is>
          <t xml:space="preserve"/>
        </is>
      </c>
      <c r="AA54" s="4" t="inlineStr">
        <is>
          <t xml:space="preserve"/>
        </is>
      </c>
      <c r="AB54" s="4" t="inlineStr">
        <is>
          <t xml:space="preserve"/>
        </is>
      </c>
      <c r="AC54" s="2" t="inlineStr">
        <is>
          <t xml:space="preserve"/>
        </is>
      </c>
      <c r="AD54" s="2" t="inlineStr">
        <is>
          <t xml:space="preserve">Happy path: Hàng đợi kiểm duyệt tin; kiểm tra Post[] kèm trạng thái quyền nhà.
Thiếu phiên/phiên revoked/actor LOCKED và actor khác chủ hoặc khác participant phải bị chặn.
Ràng buộc: moderation_actions lưu đối tượng, người xử lý, lý do và bản chụp trước/sau khi có.
Phân trang/lọc đúng scope; dữ liệu riêng tư bị loại trên server, không chỉ ẩn UI.
Kiểm tra lỗi DB/provider không để lại cập nhật dở hoặc trả thành công giả.</t>
        </is>
      </c>
      <c r="AE54" s="2" t="inlineStr">
        <is>
          <t xml:space="preserve"/>
        </is>
      </c>
      <c r="AF54" s="5" t="inlineStr">
        <is>
          <t xml:space="preserve">Mở đặc tả</t>
        </is>
      </c>
    </row>
    <row r="55" ht="70" customHeight="1">
      <c r="A55" s="0" t="inlineStr">
        <is>
          <t xml:space="preserve">API-054</t>
        </is>
      </c>
      <c r="B55" s="0" t="inlineStr">
        <is>
          <t xml:space="preserve">Tin đăng &amp; tìm phòng</t>
        </is>
      </c>
      <c r="C55" s="0" t="inlineStr">
        <is>
          <t xml:space="preserve">moderate-post</t>
        </is>
      </c>
      <c r="D55" s="0" t="inlineStr">
        <is>
          <t xml:space="preserve">POST</t>
        </is>
      </c>
      <c r="E55" s="0" t="inlineStr">
        <is>
          <t xml:space="preserve">/api/v1/admin/posts/{postId}/decision</t>
        </is>
      </c>
      <c r="F55" s="0" t="inlineStr">
        <is>
          <t xml:space="preserve">Duyệt hoặc từ chối đúng bài</t>
        </is>
      </c>
      <c r="G55" s="0" t="inlineStr">
        <is>
          <t xml:space="preserve">ADMIN: tài khoản ACTIVE có dòng admins</t>
        </is>
      </c>
      <c r="H55" s="0" t="inlineStr">
        <is>
          <t xml:space="preserve">P1</t>
        </is>
      </c>
      <c r="I55" s="0" t="inlineStr">
        <is>
          <t xml:space="preserve">Middleware auth/session/role + object scope
D09: idempotency store nếu chưa có khóa tự nhiên
D15: kiểm tra version trong khóa</t>
        </is>
      </c>
      <c r="J55" s="0" t="inlineStr">
        <is>
          <t xml:space="preserve">SERVICE: cần triển khai giao dịch backend</t>
        </is>
      </c>
      <c r="K55" s="0" t="inlineStr">
        <is>
          <t xml:space="preserve">decision: enum (bắt buộc) — APPROVE hoặc REJECT.
reason: string (tùy chọn) — Bắt buộc khi REJECT; tối đa 1.000 ký tự.</t>
        </is>
      </c>
      <c r="L55" s="0" t="inlineStr">
        <is>
          <t xml:space="preserve">Post và contentVersion</t>
        </is>
      </c>
      <c r="M55" s="0" t="inlineStr">
        <is>
          <t xml:space="preserve">Khóa room + post, kiểm tra If-Match/content_version, PENDING_REVIEW; APPROVE cần quyền nhà hiệu lực; REJECT cần reason. Giải phóng slot; ghi audit + thông báo.</t>
        </is>
      </c>
      <c r="N55" s="0" t="inlineStr">
        <is>
          <t xml:space="preserve">400 BAD_REQUEST
401 UNAUTHENTICATED
403 FORBIDDEN
404 RESOURCE_NOT_FOUND
409 STATE_CONFLICT
409 IDEMPOTENCY_KEY_REUSED
422 VALIDATION_ERROR
409 MODERATION_STATE_CHANGED
422 HOUSE_RIGHT_NOT_EFFECTIVE</t>
        </is>
      </c>
      <c r="O55" s="0" t="inlineStr">
        <is>
          <t xml:space="preserve"/>
        </is>
      </c>
      <c r="P55" s="0" t="inlineStr">
        <is>
          <t xml:space="preserve">Chưa làm</t>
        </is>
      </c>
      <c r="Q55" s="0" t="inlineStr">
        <is>
          <t xml:space="preserve">Chưa</t>
        </is>
      </c>
      <c r="R55" s="0" t="inlineStr">
        <is>
          <t xml:space="preserve">Chưa</t>
        </is>
      </c>
      <c r="S55" s="0" t="inlineStr">
        <is>
          <t xml:space="preserve">Chưa</t>
        </is>
      </c>
      <c r="T55" s="0" t="inlineStr">
        <is>
          <t xml:space="preserve">Chưa</t>
        </is>
      </c>
      <c r="U55" s="0" t="inlineStr">
        <is>
          <t xml:space="preserve">Chưa</t>
        </is>
      </c>
      <c r="V55" s="0" t="inlineStr">
        <is>
          <t xml:space="preserve">Chưa</t>
        </is>
      </c>
      <c r="W55" s="0" t="inlineStr">
        <is>
          <t xml:space="preserve">Chưa</t>
        </is>
      </c>
      <c r="X55" s="0" t="inlineStr">
        <is>
          <t xml:space="preserve">Chưa</t>
        </is>
      </c>
      <c r="Y55" s="3">
        <f>COUNTIF(Q55:X55,"Xong")/8</f>
        <v>0</v>
      </c>
      <c r="Z55" s="4" t="inlineStr">
        <is>
          <t xml:space="preserve"/>
        </is>
      </c>
      <c r="AA55" s="4" t="inlineStr">
        <is>
          <t xml:space="preserve"/>
        </is>
      </c>
      <c r="AB55" s="4" t="inlineStr">
        <is>
          <t xml:space="preserve"/>
        </is>
      </c>
      <c r="AC55" s="0" t="inlineStr">
        <is>
          <t xml:space="preserve"/>
        </is>
      </c>
      <c r="AD55" s="0" t="inlineStr">
        <is>
          <t xml:space="preserve">Happy path: Duyệt hoặc từ chối đúng bài; kiểm tra Post và contentVersion.
Thiếu phiên/phiên revoked/actor LOCKED và actor khác chủ hoặc khác participant phải bị chặn.
Ràng buộc: moderation_actions lưu đối tượng, người xử lý, lý do và bản chụp trước/sau khi có.
Gửi lặp cùng khóa trả kết quả cũ; cùng khóa khác payload trả 409; hai request tranh cùng tài nguyên không vượt hạn mức.
Kiểm tra lỗi DB/provider không để lại cập nhật dở hoặc trả thành công giả.</t>
        </is>
      </c>
      <c r="AE55" s="0" t="inlineStr">
        <is>
          <t xml:space="preserve"/>
        </is>
      </c>
      <c r="AF55" s="5" t="inlineStr">
        <is>
          <t xml:space="preserve">Mở đặc tả</t>
        </is>
      </c>
    </row>
    <row r="56" ht="70" customHeight="1">
      <c r="A56" s="2" t="inlineStr">
        <is>
          <t xml:space="preserve">API-055</t>
        </is>
      </c>
      <c r="B56" s="2" t="inlineStr">
        <is>
          <t xml:space="preserve">Tin đăng &amp; tìm phòng</t>
        </is>
      </c>
      <c r="C56" s="2" t="inlineStr">
        <is>
          <t xml:space="preserve">moderate-post</t>
        </is>
      </c>
      <c r="D56" s="2" t="inlineStr">
        <is>
          <t xml:space="preserve">POST</t>
        </is>
      </c>
      <c r="E56" s="2" t="inlineStr">
        <is>
          <t xml:space="preserve">/api/v1/posts/{postId}/hide</t>
        </is>
      </c>
      <c r="F56" s="2" t="inlineStr">
        <is>
          <t xml:space="preserve">Ẩn tin đang công khai</t>
        </is>
      </c>
      <c r="G56" s="2" t="inlineStr">
        <is>
          <t xml:space="preserve">LANDLORD: sở hữu nhà/phòng/hợp đồng hoặc ADMIN</t>
        </is>
      </c>
      <c r="H56" s="2" t="inlineStr">
        <is>
          <t xml:space="preserve">P1</t>
        </is>
      </c>
      <c r="I56" s="2" t="inlineStr">
        <is>
          <t xml:space="preserve">Middleware auth/session/role + object scope
D09: idempotency store nếu chưa có khóa tự nhiên</t>
        </is>
      </c>
      <c r="J56" s="2" t="inlineStr">
        <is>
          <t xml:space="preserve">SERVICE: cần triển khai giao dịch backend</t>
        </is>
      </c>
      <c r="K56" s="2" t="inlineStr">
        <is>
          <t xml:space="preserve">reason: string (bắt buộc) — Không chỉ khoảng trắng; tối đa 1.000 ký tự.</t>
        </is>
      </c>
      <c r="L56" s="2" t="inlineStr">
        <is>
          <t xml:space="preserve">Post {id,status:HIDDEN}</t>
        </is>
      </c>
      <c r="M56" s="2" t="inlineStr">
        <is>
          <t xml:space="preserve">Chỉ APPROVED; kiểm tra chủ phòng/admin, không đổi bài khác. Giữ ID đã lưu/chia sẻ; ghi audit.</t>
        </is>
      </c>
      <c r="N56" s="2" t="inlineStr">
        <is>
          <t xml:space="preserve">400 BAD_REQUEST
401 UNAUTHENTICATED
403 FORBIDDEN
404 RESOURCE_NOT_FOUND
409 STATE_CONFLICT
409 IDEMPOTENCY_KEY_REUSED
422 VALIDATION_ERROR
409 MODERATION_STATE_CHANGED
422 HOUSE_RIGHT_NOT_EFFECTIVE</t>
        </is>
      </c>
      <c r="O56" s="2" t="inlineStr">
        <is>
          <t xml:space="preserve"/>
        </is>
      </c>
      <c r="P56" s="2" t="inlineStr">
        <is>
          <t xml:space="preserve">Chưa làm</t>
        </is>
      </c>
      <c r="Q56" s="2" t="inlineStr">
        <is>
          <t xml:space="preserve">Chưa</t>
        </is>
      </c>
      <c r="R56" s="2" t="inlineStr">
        <is>
          <t xml:space="preserve">Chưa</t>
        </is>
      </c>
      <c r="S56" s="2" t="inlineStr">
        <is>
          <t xml:space="preserve">Chưa</t>
        </is>
      </c>
      <c r="T56" s="2" t="inlineStr">
        <is>
          <t xml:space="preserve">Chưa</t>
        </is>
      </c>
      <c r="U56" s="2" t="inlineStr">
        <is>
          <t xml:space="preserve">Chưa</t>
        </is>
      </c>
      <c r="V56" s="2" t="inlineStr">
        <is>
          <t xml:space="preserve">Chưa</t>
        </is>
      </c>
      <c r="W56" s="2" t="inlineStr">
        <is>
          <t xml:space="preserve">Chưa</t>
        </is>
      </c>
      <c r="X56" s="2" t="inlineStr">
        <is>
          <t xml:space="preserve">Chưa</t>
        </is>
      </c>
      <c r="Y56" s="3">
        <f>COUNTIF(Q56:X56,"Xong")/8</f>
        <v>0</v>
      </c>
      <c r="Z56" s="4" t="inlineStr">
        <is>
          <t xml:space="preserve"/>
        </is>
      </c>
      <c r="AA56" s="4" t="inlineStr">
        <is>
          <t xml:space="preserve"/>
        </is>
      </c>
      <c r="AB56" s="4" t="inlineStr">
        <is>
          <t xml:space="preserve"/>
        </is>
      </c>
      <c r="AC56" s="2" t="inlineStr">
        <is>
          <t xml:space="preserve"/>
        </is>
      </c>
      <c r="AD56" s="2" t="inlineStr">
        <is>
          <t xml:space="preserve">Happy path: Ẩn tin đang công khai; kiểm tra Post {id,status:HIDDEN}.
Thiếu phiên/phiên revoked/actor LOCKED và actor khác chủ hoặc khác participant phải bị chặn.
Ràng buộc: moderation_actions lưu đối tượng, người xử lý, lý do và bản chụp trước/sau khi có.
Gửi lặp cùng khóa trả kết quả cũ; cùng khóa khác payload trả 409; hai request tranh cùng tài nguyên không vượt hạn mức.
Kiểm tra lỗi DB/provider không để lại cập nhật dở hoặc trả thành công giả.</t>
        </is>
      </c>
      <c r="AE56" s="2" t="inlineStr">
        <is>
          <t xml:space="preserve"/>
        </is>
      </c>
      <c r="AF56" s="5" t="inlineStr">
        <is>
          <t xml:space="preserve">Mở đặc tả</t>
        </is>
      </c>
    </row>
    <row r="57" ht="70" customHeight="1">
      <c r="A57" s="0" t="inlineStr">
        <is>
          <t xml:space="preserve">API-056</t>
        </is>
      </c>
      <c r="B57" s="0" t="inlineStr">
        <is>
          <t xml:space="preserve">Tin đăng &amp; tìm phòng</t>
        </is>
      </c>
      <c r="C57" s="0" t="inlineStr">
        <is>
          <t xml:space="preserve">moderate-post</t>
        </is>
      </c>
      <c r="D57" s="0" t="inlineStr">
        <is>
          <t xml:space="preserve">POST</t>
        </is>
      </c>
      <c r="E57" s="0" t="inlineStr">
        <is>
          <t xml:space="preserve">/api/v1/admin/posts/{postId}/restore</t>
        </is>
      </c>
      <c r="F57" s="0" t="inlineStr">
        <is>
          <t xml:space="preserve">Hiện lại tin đã ẩn</t>
        </is>
      </c>
      <c r="G57" s="0" t="inlineStr">
        <is>
          <t xml:space="preserve">ADMIN: tài khoản ACTIVE có dòng admins</t>
        </is>
      </c>
      <c r="H57" s="0" t="inlineStr">
        <is>
          <t xml:space="preserve">P1</t>
        </is>
      </c>
      <c r="I57" s="0" t="inlineStr">
        <is>
          <t xml:space="preserve">Middleware auth/session/role + object scope
D09: idempotency store nếu chưa có khóa tự nhiên</t>
        </is>
      </c>
      <c r="J57" s="0" t="inlineStr">
        <is>
          <t xml:space="preserve">SERVICE: cần triển khai giao dịch backend</t>
        </is>
      </c>
      <c r="K57" s="0" t="inlineStr">
        <is>
          <t xml:space="preserve">reason: string (bắt buộc) — Không chỉ khoảng trắng; tối đa 1.000 ký tự.</t>
        </is>
      </c>
      <c r="L57" s="0" t="inlineStr">
        <is>
          <t xml:space="preserve">Post {id,status:APPROVED}</t>
        </is>
      </c>
      <c r="M57" s="0" t="inlineStr">
        <is>
          <t xml:space="preserve">Chỉ HIDDEN; kiểm tra quyền nhà, giữ nội dung, ghi người/lý do/thời điểm; nếu chủ sửa bài thì phải đi lại hàng chờ.</t>
        </is>
      </c>
      <c r="N57" s="0" t="inlineStr">
        <is>
          <t xml:space="preserve">400 BAD_REQUEST
401 UNAUTHENTICATED
403 FORBIDDEN
404 RESOURCE_NOT_FOUND
409 STATE_CONFLICT
409 IDEMPOTENCY_KEY_REUSED
422 VALIDATION_ERROR
409 MODERATION_STATE_CHANGED
422 HOUSE_RIGHT_NOT_EFFECTIVE</t>
        </is>
      </c>
      <c r="O57" s="0" t="inlineStr">
        <is>
          <t xml:space="preserve"/>
        </is>
      </c>
      <c r="P57" s="0" t="inlineStr">
        <is>
          <t xml:space="preserve">Chưa làm</t>
        </is>
      </c>
      <c r="Q57" s="0" t="inlineStr">
        <is>
          <t xml:space="preserve">Chưa</t>
        </is>
      </c>
      <c r="R57" s="0" t="inlineStr">
        <is>
          <t xml:space="preserve">Chưa</t>
        </is>
      </c>
      <c r="S57" s="0" t="inlineStr">
        <is>
          <t xml:space="preserve">Chưa</t>
        </is>
      </c>
      <c r="T57" s="0" t="inlineStr">
        <is>
          <t xml:space="preserve">Chưa</t>
        </is>
      </c>
      <c r="U57" s="0" t="inlineStr">
        <is>
          <t xml:space="preserve">Chưa</t>
        </is>
      </c>
      <c r="V57" s="0" t="inlineStr">
        <is>
          <t xml:space="preserve">Chưa</t>
        </is>
      </c>
      <c r="W57" s="0" t="inlineStr">
        <is>
          <t xml:space="preserve">Chưa</t>
        </is>
      </c>
      <c r="X57" s="0" t="inlineStr">
        <is>
          <t xml:space="preserve">Chưa</t>
        </is>
      </c>
      <c r="Y57" s="3">
        <f>COUNTIF(Q57:X57,"Xong")/8</f>
        <v>0</v>
      </c>
      <c r="Z57" s="4" t="inlineStr">
        <is>
          <t xml:space="preserve"/>
        </is>
      </c>
      <c r="AA57" s="4" t="inlineStr">
        <is>
          <t xml:space="preserve"/>
        </is>
      </c>
      <c r="AB57" s="4" t="inlineStr">
        <is>
          <t xml:space="preserve"/>
        </is>
      </c>
      <c r="AC57" s="0" t="inlineStr">
        <is>
          <t xml:space="preserve"/>
        </is>
      </c>
      <c r="AD57" s="0" t="inlineStr">
        <is>
          <t xml:space="preserve">Happy path: Hiện lại tin đã ẩn; kiểm tra Post {id,status:APPROVED}.
Thiếu phiên/phiên revoked/actor LOCKED và actor khác chủ hoặc khác participant phải bị chặn.
Ràng buộc: moderation_actions lưu đối tượng, người xử lý, lý do và bản chụp trước/sau khi có.
Gửi lặp cùng khóa trả kết quả cũ; cùng khóa khác payload trả 409; hai request tranh cùng tài nguyên không vượt hạn mức.
Kiểm tra lỗi DB/provider không để lại cập nhật dở hoặc trả thành công giả.</t>
        </is>
      </c>
      <c r="AE57" s="0" t="inlineStr">
        <is>
          <t xml:space="preserve"/>
        </is>
      </c>
      <c r="AF57" s="5" t="inlineStr">
        <is>
          <t xml:space="preserve">Mở đặc tả</t>
        </is>
      </c>
    </row>
    <row r="58" ht="70" customHeight="1">
      <c r="A58" s="2" t="inlineStr">
        <is>
          <t xml:space="preserve">API-057</t>
        </is>
      </c>
      <c r="B58" s="2" t="inlineStr">
        <is>
          <t xml:space="preserve">Tin đăng &amp; tìm phòng</t>
        </is>
      </c>
      <c r="C58" s="2" t="inlineStr">
        <is>
          <t xml:space="preserve">discover</t>
        </is>
      </c>
      <c r="D58" s="2" t="inlineStr">
        <is>
          <t xml:space="preserve">GET</t>
        </is>
      </c>
      <c r="E58" s="2" t="inlineStr">
        <is>
          <t xml:space="preserve">/api/v1/posts</t>
        </is>
      </c>
      <c r="F58" s="2" t="inlineStr">
        <is>
          <t xml:space="preserve">Khám phá và lọc tin công khai</t>
        </is>
      </c>
      <c r="G58" s="2" t="inlineStr">
        <is>
          <t xml:space="preserve">PUBLIC</t>
        </is>
      </c>
      <c r="H58" s="2" t="inlineStr">
        <is>
          <t xml:space="preserve">P0</t>
        </is>
      </c>
      <c r="I58" s="2" t="inlineStr">
        <is>
          <t xml:space="preserve"/>
        </is>
      </c>
      <c r="J58" s="2" t="inlineStr">
        <is>
          <t xml:space="preserve">READ: v_public_house_posts</t>
        </is>
      </c>
      <c r="K58" s="2" t="inlineStr">
        <is>
          <t xml:space="preserve">Không có JSON body</t>
        </is>
      </c>
      <c r="L58" s="2" t="inlineStr">
        <is>
          <t xml:space="preserve">Post[] {id,roomId,title,images,room,landlordSummary}</t>
        </is>
      </c>
      <c r="M58" s="2" t="inlineStr">
        <is>
          <t xml:space="preserve">Dùng v_public_house_posts; khám phá loại OCCUPIED, vẫn gắn nhãn RESERVED/MAINTENANCE. q,provinceCode,minArea,maxRent,amenities,lat,lng,radiusKm; tọa độ phải cùng cặp. Khoảng cách do backend tính, không dùng demo distance.</t>
        </is>
      </c>
      <c r="N58" s="2" t="inlineStr">
        <is>
          <t xml:space="preserve">400 BAD_REQUEST
404 RESOURCE_NOT_FOUND
422 VALIDATION_ERROR</t>
        </is>
      </c>
      <c r="O58" s="2" t="inlineStr">
        <is>
          <t xml:space="preserve"/>
        </is>
      </c>
      <c r="P58" s="2" t="inlineStr">
        <is>
          <t xml:space="preserve">Chưa làm</t>
        </is>
      </c>
      <c r="Q58" s="2" t="inlineStr">
        <is>
          <t xml:space="preserve">Chưa</t>
        </is>
      </c>
      <c r="R58" s="2" t="inlineStr">
        <is>
          <t xml:space="preserve">Chưa</t>
        </is>
      </c>
      <c r="S58" s="2" t="inlineStr">
        <is>
          <t xml:space="preserve">Chưa</t>
        </is>
      </c>
      <c r="T58" s="2" t="inlineStr">
        <is>
          <t xml:space="preserve">Chưa</t>
        </is>
      </c>
      <c r="U58" s="2" t="inlineStr">
        <is>
          <t xml:space="preserve">Chưa</t>
        </is>
      </c>
      <c r="V58" s="2" t="inlineStr">
        <is>
          <t xml:space="preserve">Chưa</t>
        </is>
      </c>
      <c r="W58" s="2" t="inlineStr">
        <is>
          <t xml:space="preserve">Chưa</t>
        </is>
      </c>
      <c r="X58" s="2" t="inlineStr">
        <is>
          <t xml:space="preserve">Chưa</t>
        </is>
      </c>
      <c r="Y58" s="3">
        <f>COUNTIF(Q58:X58,"Xong")/8</f>
        <v>0</v>
      </c>
      <c r="Z58" s="4" t="inlineStr">
        <is>
          <t xml:space="preserve"/>
        </is>
      </c>
      <c r="AA58" s="4" t="inlineStr">
        <is>
          <t xml:space="preserve"/>
        </is>
      </c>
      <c r="AB58" s="4" t="inlineStr">
        <is>
          <t xml:space="preserve"/>
        </is>
      </c>
      <c r="AC58" s="2" t="inlineStr">
        <is>
          <t xml:space="preserve"/>
        </is>
      </c>
      <c r="AD58" s="2" t="inlineStr">
        <is>
          <t xml:space="preserve">Happy path: Khám phá và lọc tin công khai; kiểm tra Post[] {id,roomId,title,images,room,landlordSummary}.
Đầu vào sai/ID ẩn: không lộ dữ liệu riêng tư.
Ràng buộc: favorite_posts chống trùng cặp người thuê + bài đăng; FK giữ tham chiếu đúng bài.
Phân trang/lọc đúng scope; dữ liệu riêng tư bị loại trên server, không chỉ ẩn UI.
Kiểm tra lỗi DB/provider không để lại cập nhật dở hoặc trả thành công giả.</t>
        </is>
      </c>
      <c r="AE58" s="2" t="inlineStr">
        <is>
          <t xml:space="preserve"/>
        </is>
      </c>
      <c r="AF58" s="5" t="inlineStr">
        <is>
          <t xml:space="preserve">Mở đặc tả</t>
        </is>
      </c>
    </row>
    <row r="59" ht="70" customHeight="1">
      <c r="A59" s="0" t="inlineStr">
        <is>
          <t xml:space="preserve">API-058</t>
        </is>
      </c>
      <c r="B59" s="0" t="inlineStr">
        <is>
          <t xml:space="preserve">Tin đăng &amp; tìm phòng</t>
        </is>
      </c>
      <c r="C59" s="0" t="inlineStr">
        <is>
          <t xml:space="preserve">discover</t>
        </is>
      </c>
      <c r="D59" s="0" t="inlineStr">
        <is>
          <t xml:space="preserve">GET</t>
        </is>
      </c>
      <c r="E59" s="0" t="inlineStr">
        <is>
          <t xml:space="preserve">/api/v1/posts/{postId}</t>
        </is>
      </c>
      <c r="F59" s="0" t="inlineStr">
        <is>
          <t xml:space="preserve">Chi tiết đúng tin công khai</t>
        </is>
      </c>
      <c r="G59" s="0" t="inlineStr">
        <is>
          <t xml:space="preserve">PUBLIC</t>
        </is>
      </c>
      <c r="H59" s="0" t="inlineStr">
        <is>
          <t xml:space="preserve">P1</t>
        </is>
      </c>
      <c r="I59" s="0" t="inlineStr">
        <is>
          <t xml:space="preserve"/>
        </is>
      </c>
      <c r="J59" s="0" t="inlineStr">
        <is>
          <t xml:space="preserve">READ: v_public_house_posts</t>
        </is>
      </c>
      <c r="K59" s="0" t="inlineStr">
        <is>
          <t xml:space="preserve">Không có JSON body</t>
        </is>
      </c>
      <c r="L59" s="0" t="inlineStr">
        <is>
          <t xml:space="preserve">Post {id,roomId,title,content,images,amenities,room,landlordSummary}</t>
        </is>
      </c>
      <c r="M59" s="0" t="inlineStr">
        <is>
          <t xml:space="preserve">Tin không còn quyền/ẩn/từ chối trả 404; không tự thay bài khác cùng roomId. Giá/tình trạng/sức chứa lấy rooms hiện tại.</t>
        </is>
      </c>
      <c r="N59" s="0" t="inlineStr">
        <is>
          <t xml:space="preserve">400 BAD_REQUEST
404 RESOURCE_NOT_FOUND</t>
        </is>
      </c>
      <c r="O59" s="0" t="inlineStr">
        <is>
          <t xml:space="preserve"/>
        </is>
      </c>
      <c r="P59" s="0" t="inlineStr">
        <is>
          <t xml:space="preserve">Chưa làm</t>
        </is>
      </c>
      <c r="Q59" s="0" t="inlineStr">
        <is>
          <t xml:space="preserve">Chưa</t>
        </is>
      </c>
      <c r="R59" s="0" t="inlineStr">
        <is>
          <t xml:space="preserve">Chưa</t>
        </is>
      </c>
      <c r="S59" s="0" t="inlineStr">
        <is>
          <t xml:space="preserve">Chưa</t>
        </is>
      </c>
      <c r="T59" s="0" t="inlineStr">
        <is>
          <t xml:space="preserve">Chưa</t>
        </is>
      </c>
      <c r="U59" s="0" t="inlineStr">
        <is>
          <t xml:space="preserve">Chưa</t>
        </is>
      </c>
      <c r="V59" s="0" t="inlineStr">
        <is>
          <t xml:space="preserve">Chưa</t>
        </is>
      </c>
      <c r="W59" s="0" t="inlineStr">
        <is>
          <t xml:space="preserve">Chưa</t>
        </is>
      </c>
      <c r="X59" s="0" t="inlineStr">
        <is>
          <t xml:space="preserve">Chưa</t>
        </is>
      </c>
      <c r="Y59" s="3">
        <f>COUNTIF(Q59:X59,"Xong")/8</f>
        <v>0</v>
      </c>
      <c r="Z59" s="4" t="inlineStr">
        <is>
          <t xml:space="preserve"/>
        </is>
      </c>
      <c r="AA59" s="4" t="inlineStr">
        <is>
          <t xml:space="preserve"/>
        </is>
      </c>
      <c r="AB59" s="4" t="inlineStr">
        <is>
          <t xml:space="preserve"/>
        </is>
      </c>
      <c r="AC59" s="0" t="inlineStr">
        <is>
          <t xml:space="preserve"/>
        </is>
      </c>
      <c r="AD59" s="0" t="inlineStr">
        <is>
          <t xml:space="preserve">Happy path: Chi tiết đúng tin công khai; kiểm tra Post {id,roomId,title,content,images,amenities,room,landlordSummary}.
Đầu vào sai/ID ẩn: không lộ dữ liệu riêng tư.
Ràng buộc: favorite_posts chống trùng cặp người thuê + bài đăng; FK giữ tham chiếu đúng bài.
Phân trang/lọc đúng scope; dữ liệu riêng tư bị loại trên server, không chỉ ẩn UI.
Kiểm tra lỗi DB/provider không để lại cập nhật dở hoặc trả thành công giả.</t>
        </is>
      </c>
      <c r="AE59" s="0" t="inlineStr">
        <is>
          <t xml:space="preserve"/>
        </is>
      </c>
      <c r="AF59" s="5" t="inlineStr">
        <is>
          <t xml:space="preserve">Mở đặc tả</t>
        </is>
      </c>
    </row>
    <row r="60" ht="70" customHeight="1">
      <c r="A60" s="2" t="inlineStr">
        <is>
          <t xml:space="preserve">API-059</t>
        </is>
      </c>
      <c r="B60" s="2" t="inlineStr">
        <is>
          <t xml:space="preserve">Tin đăng &amp; tìm phòng</t>
        </is>
      </c>
      <c r="C60" s="2" t="inlineStr">
        <is>
          <t xml:space="preserve">discover</t>
        </is>
      </c>
      <c r="D60" s="2" t="inlineStr">
        <is>
          <t xml:space="preserve">GET</t>
        </is>
      </c>
      <c r="E60" s="2" t="inlineStr">
        <is>
          <t xml:space="preserve">/api/v1/me/favorites</t>
        </is>
      </c>
      <c r="F60" s="2" t="inlineStr">
        <is>
          <t xml:space="preserve">Danh sách bài đã lưu</t>
        </is>
      </c>
      <c r="G60" s="2" t="inlineStr">
        <is>
          <t xml:space="preserve">TENANT: chỉ chính người thuê và tài nguyên được phép</t>
        </is>
      </c>
      <c r="H60" s="2" t="inlineStr">
        <is>
          <t xml:space="preserve">P1</t>
        </is>
      </c>
      <c r="I60" s="2" t="inlineStr">
        <is>
          <t xml:space="preserve">Middleware auth/session/role + object scope</t>
        </is>
      </c>
      <c r="J60" s="2" t="inlineStr">
        <is>
          <t xml:space="preserve">READ: truy vấn có scope quyền</t>
        </is>
      </c>
      <c r="K60" s="2" t="inlineStr">
        <is>
          <t xml:space="preserve">Không có JSON body</t>
        </is>
      </c>
      <c r="L60" s="2" t="inlineStr">
        <is>
          <t xml:space="preserve">Favorite[] {postId,savedAt,availability,post|null}</t>
        </is>
      </c>
      <c r="M60" s="2" t="inlineStr">
        <is>
          <t xml:space="preserve">Chỉ favorites actor. Nếu bài mất quyền thì trả placeholder không lộ ảnh/tiêu đề cũ.</t>
        </is>
      </c>
      <c r="N60" s="2" t="inlineStr">
        <is>
          <t xml:space="preserve">400 BAD_REQUEST
401 UNAUTHENTICATED
403 FORBIDDEN
404 RESOURCE_NOT_FOUND
422 VALIDATION_ERROR</t>
        </is>
      </c>
      <c r="O60" s="2" t="inlineStr">
        <is>
          <t xml:space="preserve"/>
        </is>
      </c>
      <c r="P60" s="2" t="inlineStr">
        <is>
          <t xml:space="preserve">Chưa làm</t>
        </is>
      </c>
      <c r="Q60" s="2" t="inlineStr">
        <is>
          <t xml:space="preserve">Chưa</t>
        </is>
      </c>
      <c r="R60" s="2" t="inlineStr">
        <is>
          <t xml:space="preserve">Chưa</t>
        </is>
      </c>
      <c r="S60" s="2" t="inlineStr">
        <is>
          <t xml:space="preserve">Chưa</t>
        </is>
      </c>
      <c r="T60" s="2" t="inlineStr">
        <is>
          <t xml:space="preserve">Chưa</t>
        </is>
      </c>
      <c r="U60" s="2" t="inlineStr">
        <is>
          <t xml:space="preserve">Chưa</t>
        </is>
      </c>
      <c r="V60" s="2" t="inlineStr">
        <is>
          <t xml:space="preserve">Chưa</t>
        </is>
      </c>
      <c r="W60" s="2" t="inlineStr">
        <is>
          <t xml:space="preserve">Chưa</t>
        </is>
      </c>
      <c r="X60" s="2" t="inlineStr">
        <is>
          <t xml:space="preserve">Chưa</t>
        </is>
      </c>
      <c r="Y60" s="3">
        <f>COUNTIF(Q60:X60,"Xong")/8</f>
        <v>0</v>
      </c>
      <c r="Z60" s="4" t="inlineStr">
        <is>
          <t xml:space="preserve"/>
        </is>
      </c>
      <c r="AA60" s="4" t="inlineStr">
        <is>
          <t xml:space="preserve"/>
        </is>
      </c>
      <c r="AB60" s="4" t="inlineStr">
        <is>
          <t xml:space="preserve"/>
        </is>
      </c>
      <c r="AC60" s="2" t="inlineStr">
        <is>
          <t xml:space="preserve"/>
        </is>
      </c>
      <c r="AD60" s="2" t="inlineStr">
        <is>
          <t xml:space="preserve">Happy path: Danh sách bài đã lưu; kiểm tra Favorite[] {postId,savedAt,availability,post|null}.
Thiếu phiên/phiên revoked/actor LOCKED và actor khác chủ hoặc khác participant phải bị chặn.
Ràng buộc: favorite_posts chống trùng cặp người thuê + bài đăng; FK giữ tham chiếu đúng bài.
Phân trang/lọc đúng scope; dữ liệu riêng tư bị loại trên server, không chỉ ẩn UI.
Kiểm tra lỗi DB/provider không để lại cập nhật dở hoặc trả thành công giả.</t>
        </is>
      </c>
      <c r="AE60" s="2" t="inlineStr">
        <is>
          <t xml:space="preserve"/>
        </is>
      </c>
      <c r="AF60" s="5" t="inlineStr">
        <is>
          <t xml:space="preserve">Mở đặc tả</t>
        </is>
      </c>
    </row>
    <row r="61" ht="70" customHeight="1">
      <c r="A61" s="0" t="inlineStr">
        <is>
          <t xml:space="preserve">API-060</t>
        </is>
      </c>
      <c r="B61" s="0" t="inlineStr">
        <is>
          <t xml:space="preserve">Tin đăng &amp; tìm phòng</t>
        </is>
      </c>
      <c r="C61" s="0" t="inlineStr">
        <is>
          <t xml:space="preserve">discover</t>
        </is>
      </c>
      <c r="D61" s="0" t="inlineStr">
        <is>
          <t xml:space="preserve">PUT</t>
        </is>
      </c>
      <c r="E61" s="0" t="inlineStr">
        <is>
          <t xml:space="preserve">/api/v1/me/favorites/{postId}</t>
        </is>
      </c>
      <c r="F61" s="0" t="inlineStr">
        <is>
          <t xml:space="preserve">Lưu bài theo ID</t>
        </is>
      </c>
      <c r="G61" s="0" t="inlineStr">
        <is>
          <t xml:space="preserve">TENANT: chỉ chính người thuê và tài nguyên được phép</t>
        </is>
      </c>
      <c r="H61" s="0" t="inlineStr">
        <is>
          <t xml:space="preserve">P1</t>
        </is>
      </c>
      <c r="I61" s="0" t="inlineStr">
        <is>
          <t xml:space="preserve">Middleware auth/session/role + object scope
D09: idempotency store nếu chưa có khóa tự nhiên</t>
        </is>
      </c>
      <c r="J61" s="0" t="inlineStr">
        <is>
          <t xml:space="preserve">SERVICE: cần triển khai giao dịch backend</t>
        </is>
      </c>
      <c r="K61" s="0" t="inlineStr">
        <is>
          <t xml:space="preserve">Không có JSON body</t>
        </is>
      </c>
      <c r="L61" s="0" t="inlineStr">
        <is>
          <t xml:space="preserve">{postId,saved:true}</t>
        </is>
      </c>
      <c r="M61" s="0" t="inlineStr">
        <is>
          <t xml:space="preserve">Bài còn công khai khi lưu; uq tenant+post chống trùng; gọi lặp cùng kết quả.</t>
        </is>
      </c>
      <c r="N61" s="0" t="inlineStr">
        <is>
          <t xml:space="preserve">400 BAD_REQUEST
401 UNAUTHENTICATED
403 FORBIDDEN
404 RESOURCE_NOT_FOUND
409 STATE_CONFLICT
409 IDEMPOTENCY_KEY_REUSED
422 VALIDATION_ERROR
404 POST_UNAVAILABLE</t>
        </is>
      </c>
      <c r="O61" s="0" t="inlineStr">
        <is>
          <t xml:space="preserve"/>
        </is>
      </c>
      <c r="P61" s="0" t="inlineStr">
        <is>
          <t xml:space="preserve">Chưa làm</t>
        </is>
      </c>
      <c r="Q61" s="0" t="inlineStr">
        <is>
          <t xml:space="preserve">Chưa</t>
        </is>
      </c>
      <c r="R61" s="0" t="inlineStr">
        <is>
          <t xml:space="preserve">Chưa</t>
        </is>
      </c>
      <c r="S61" s="0" t="inlineStr">
        <is>
          <t xml:space="preserve">Chưa</t>
        </is>
      </c>
      <c r="T61" s="0" t="inlineStr">
        <is>
          <t xml:space="preserve">Chưa</t>
        </is>
      </c>
      <c r="U61" s="0" t="inlineStr">
        <is>
          <t xml:space="preserve">Chưa</t>
        </is>
      </c>
      <c r="V61" s="0" t="inlineStr">
        <is>
          <t xml:space="preserve">Chưa</t>
        </is>
      </c>
      <c r="W61" s="0" t="inlineStr">
        <is>
          <t xml:space="preserve">Chưa</t>
        </is>
      </c>
      <c r="X61" s="0" t="inlineStr">
        <is>
          <t xml:space="preserve">Chưa</t>
        </is>
      </c>
      <c r="Y61" s="3">
        <f>COUNTIF(Q61:X61,"Xong")/8</f>
        <v>0</v>
      </c>
      <c r="Z61" s="4" t="inlineStr">
        <is>
          <t xml:space="preserve"/>
        </is>
      </c>
      <c r="AA61" s="4" t="inlineStr">
        <is>
          <t xml:space="preserve"/>
        </is>
      </c>
      <c r="AB61" s="4" t="inlineStr">
        <is>
          <t xml:space="preserve"/>
        </is>
      </c>
      <c r="AC61" s="0" t="inlineStr">
        <is>
          <t xml:space="preserve"/>
        </is>
      </c>
      <c r="AD61" s="0" t="inlineStr">
        <is>
          <t xml:space="preserve">Happy path: Lưu bài theo ID; kiểm tra {postId,saved:true}.
Thiếu phiên/phiên revoked/actor LOCKED và actor khác chủ hoặc khác participant phải bị chặn.
Ràng buộc: favorite_posts chống trùng cặp người thuê + bài đăng; FK giữ tham chiếu đúng bài.
Gửi lặp cùng khóa trả kết quả cũ; cùng khóa khác payload trả 409; hai request tranh cùng tài nguyên không vượt hạn mức.
Kiểm tra lỗi DB/provider không để lại cập nhật dở hoặc trả thành công giả.</t>
        </is>
      </c>
      <c r="AE61" s="0" t="inlineStr">
        <is>
          <t xml:space="preserve"/>
        </is>
      </c>
      <c r="AF61" s="5" t="inlineStr">
        <is>
          <t xml:space="preserve">Mở đặc tả</t>
        </is>
      </c>
    </row>
    <row r="62" ht="70" customHeight="1">
      <c r="A62" s="2" t="inlineStr">
        <is>
          <t xml:space="preserve">API-061</t>
        </is>
      </c>
      <c r="B62" s="2" t="inlineStr">
        <is>
          <t xml:space="preserve">Tin đăng &amp; tìm phòng</t>
        </is>
      </c>
      <c r="C62" s="2" t="inlineStr">
        <is>
          <t xml:space="preserve">discover</t>
        </is>
      </c>
      <c r="D62" s="2" t="inlineStr">
        <is>
          <t xml:space="preserve">DELETE</t>
        </is>
      </c>
      <c r="E62" s="2" t="inlineStr">
        <is>
          <t xml:space="preserve">/api/v1/me/favorites/{postId}</t>
        </is>
      </c>
      <c r="F62" s="2" t="inlineStr">
        <is>
          <t xml:space="preserve">Bỏ lưu bài</t>
        </is>
      </c>
      <c r="G62" s="2" t="inlineStr">
        <is>
          <t xml:space="preserve">TENANT: chỉ chính người thuê và tài nguyên được phép</t>
        </is>
      </c>
      <c r="H62" s="2" t="inlineStr">
        <is>
          <t xml:space="preserve">P1</t>
        </is>
      </c>
      <c r="I62" s="2" t="inlineStr">
        <is>
          <t xml:space="preserve">Middleware auth/session/role + object scope
D09: idempotency store nếu chưa có khóa tự nhiên</t>
        </is>
      </c>
      <c r="J62" s="2" t="inlineStr">
        <is>
          <t xml:space="preserve">SERVICE: cần triển khai giao dịch backend</t>
        </is>
      </c>
      <c r="K62" s="2" t="inlineStr">
        <is>
          <t xml:space="preserve">Không có JSON body</t>
        </is>
      </c>
      <c r="L62" s="2" t="inlineStr">
        <is>
          <t xml:space="preserve">{postId,saved:false}</t>
        </is>
      </c>
      <c r="M62" s="2" t="inlineStr">
        <is>
          <t xml:space="preserve">Chỉ favorite actor; bỏ lưu được cả khi bài đã ẩn; gọi lặp vẫn thành công.</t>
        </is>
      </c>
      <c r="N62" s="2" t="inlineStr">
        <is>
          <t xml:space="preserve">400 BAD_REQUEST
401 UNAUTHENTICATED
403 FORBIDDEN
404 RESOURCE_NOT_FOUND
409 STATE_CONFLICT
409 IDEMPOTENCY_KEY_REUSED
422 VALIDATION_ERROR
404 POST_UNAVAILABLE</t>
        </is>
      </c>
      <c r="O62" s="2" t="inlineStr">
        <is>
          <t xml:space="preserve"/>
        </is>
      </c>
      <c r="P62" s="2" t="inlineStr">
        <is>
          <t xml:space="preserve">Chưa làm</t>
        </is>
      </c>
      <c r="Q62" s="2" t="inlineStr">
        <is>
          <t xml:space="preserve">Chưa</t>
        </is>
      </c>
      <c r="R62" s="2" t="inlineStr">
        <is>
          <t xml:space="preserve">Chưa</t>
        </is>
      </c>
      <c r="S62" s="2" t="inlineStr">
        <is>
          <t xml:space="preserve">Chưa</t>
        </is>
      </c>
      <c r="T62" s="2" t="inlineStr">
        <is>
          <t xml:space="preserve">Chưa</t>
        </is>
      </c>
      <c r="U62" s="2" t="inlineStr">
        <is>
          <t xml:space="preserve">Chưa</t>
        </is>
      </c>
      <c r="V62" s="2" t="inlineStr">
        <is>
          <t xml:space="preserve">Chưa</t>
        </is>
      </c>
      <c r="W62" s="2" t="inlineStr">
        <is>
          <t xml:space="preserve">Chưa</t>
        </is>
      </c>
      <c r="X62" s="2" t="inlineStr">
        <is>
          <t xml:space="preserve">Chưa</t>
        </is>
      </c>
      <c r="Y62" s="3">
        <f>COUNTIF(Q62:X62,"Xong")/8</f>
        <v>0</v>
      </c>
      <c r="Z62" s="4" t="inlineStr">
        <is>
          <t xml:space="preserve"/>
        </is>
      </c>
      <c r="AA62" s="4" t="inlineStr">
        <is>
          <t xml:space="preserve"/>
        </is>
      </c>
      <c r="AB62" s="4" t="inlineStr">
        <is>
          <t xml:space="preserve"/>
        </is>
      </c>
      <c r="AC62" s="2" t="inlineStr">
        <is>
          <t xml:space="preserve"/>
        </is>
      </c>
      <c r="AD62" s="2" t="inlineStr">
        <is>
          <t xml:space="preserve">Happy path: Bỏ lưu bài; kiểm tra {postId,saved:false}.
Thiếu phiên/phiên revoked/actor LOCKED và actor khác chủ hoặc khác participant phải bị chặn.
Ràng buộc: favorite_posts chống trùng cặp người thuê + bài đăng; FK giữ tham chiếu đúng bài.
Gửi lặp cùng khóa trả kết quả cũ; cùng khóa khác payload trả 409; hai request tranh cùng tài nguyên không vượt hạn mức.
Kiểm tra lỗi DB/provider không để lại cập nhật dở hoặc trả thành công giả.</t>
        </is>
      </c>
      <c r="AE62" s="2" t="inlineStr">
        <is>
          <t xml:space="preserve"/>
        </is>
      </c>
      <c r="AF62" s="5" t="inlineStr">
        <is>
          <t xml:space="preserve">Mở đặc tả</t>
        </is>
      </c>
    </row>
    <row r="63" ht="70" customHeight="1">
      <c r="A63" s="0" t="inlineStr">
        <is>
          <t xml:space="preserve">API-062</t>
        </is>
      </c>
      <c r="B63" s="0" t="inlineStr">
        <is>
          <t xml:space="preserve">Hồ sơ &amp; kết nối ở ghép</t>
        </is>
      </c>
      <c r="C63" s="0" t="inlineStr">
        <is>
          <t xml:space="preserve">roommate-profile</t>
        </is>
      </c>
      <c r="D63" s="0" t="inlineStr">
        <is>
          <t xml:space="preserve">GET</t>
        </is>
      </c>
      <c r="E63" s="0" t="inlineStr">
        <is>
          <t xml:space="preserve">/api/v1/me/roommate-profile</t>
        </is>
      </c>
      <c r="F63" s="0" t="inlineStr">
        <is>
          <t xml:space="preserve">Đọc hồ sơ ở ghép của mình</t>
        </is>
      </c>
      <c r="G63" s="0" t="inlineStr">
        <is>
          <t xml:space="preserve">TENANT: chỉ chính người thuê và tài nguyên được phép</t>
        </is>
      </c>
      <c r="H63" s="0" t="inlineStr">
        <is>
          <t xml:space="preserve">P1</t>
        </is>
      </c>
      <c r="I63" s="0" t="inlineStr">
        <is>
          <t xml:space="preserve">Middleware auth/session/role + object scope</t>
        </is>
      </c>
      <c r="J63" s="0" t="inlineStr">
        <is>
          <t xml:space="preserve">READ: truy vấn có scope quyền</t>
        </is>
      </c>
      <c r="K63" s="0" t="inlineStr">
        <is>
          <t xml:space="preserve">Không có JSON body</t>
        </is>
      </c>
      <c r="L63" s="0" t="inlineStr">
        <is>
          <t xml:space="preserve">RoommateProfile hoặc 404 PROFILE_NOT_CREATED</t>
        </is>
      </c>
      <c r="M63" s="0" t="inlineStr">
        <is>
          <t xml:space="preserve">Trả profileVersion/housingStatus/currentRoomTenantId; phát hiện hồ sơ IN_SYSTEM cũ khi cư trú đã đổi.</t>
        </is>
      </c>
      <c r="N63" s="0" t="inlineStr">
        <is>
          <t xml:space="preserve">400 BAD_REQUEST
401 UNAUTHENTICATED
403 FORBIDDEN
404 RESOURCE_NOT_FOUND</t>
        </is>
      </c>
      <c r="O63" s="0" t="inlineStr">
        <is>
          <t xml:space="preserve"/>
        </is>
      </c>
      <c r="P63" s="0" t="inlineStr">
        <is>
          <t xml:space="preserve">Chưa làm</t>
        </is>
      </c>
      <c r="Q63" s="0" t="inlineStr">
        <is>
          <t xml:space="preserve">Chưa</t>
        </is>
      </c>
      <c r="R63" s="0" t="inlineStr">
        <is>
          <t xml:space="preserve">Chưa</t>
        </is>
      </c>
      <c r="S63" s="0" t="inlineStr">
        <is>
          <t xml:space="preserve">Chưa</t>
        </is>
      </c>
      <c r="T63" s="0" t="inlineStr">
        <is>
          <t xml:space="preserve">Chưa</t>
        </is>
      </c>
      <c r="U63" s="0" t="inlineStr">
        <is>
          <t xml:space="preserve">Chưa</t>
        </is>
      </c>
      <c r="V63" s="0" t="inlineStr">
        <is>
          <t xml:space="preserve">Chưa</t>
        </is>
      </c>
      <c r="W63" s="0" t="inlineStr">
        <is>
          <t xml:space="preserve">Chưa</t>
        </is>
      </c>
      <c r="X63" s="0" t="inlineStr">
        <is>
          <t xml:space="preserve">Chưa</t>
        </is>
      </c>
      <c r="Y63" s="3">
        <f>COUNTIF(Q63:X63,"Xong")/8</f>
        <v>0</v>
      </c>
      <c r="Z63" s="4" t="inlineStr">
        <is>
          <t xml:space="preserve"/>
        </is>
      </c>
      <c r="AA63" s="4" t="inlineStr">
        <is>
          <t xml:space="preserve"/>
        </is>
      </c>
      <c r="AB63" s="4" t="inlineStr">
        <is>
          <t xml:space="preserve"/>
        </is>
      </c>
      <c r="AC63" s="0" t="inlineStr">
        <is>
          <t xml:space="preserve"/>
        </is>
      </c>
      <c r="AD63" s="0" t="inlineStr">
        <is>
          <t xml:space="preserve">Happy path: Đọc hồ sơ ở ghép của mình; kiểm tra RoommateProfile hoặc 404 PROFILE_NOT_CREATED.
Thiếu phiên/phiên revoked/actor LOCKED và actor khác chủ hoặc khác participant phải bị chặn.
Ràng buộc: Một roommate_profiles cho mỗi tenant; ngân sách không âm và max ≥ min nếu có cả hai.
Phân trang/lọc đúng scope; dữ liệu riêng tư bị loại trên server, không chỉ ẩn UI.
Kiểm tra lỗi DB/provider không để lại cập nhật dở hoặc trả thành công giả.</t>
        </is>
      </c>
      <c r="AE63" s="0" t="inlineStr">
        <is>
          <t xml:space="preserve"/>
        </is>
      </c>
      <c r="AF63" s="5" t="inlineStr">
        <is>
          <t xml:space="preserve">Mở đặc tả</t>
        </is>
      </c>
    </row>
    <row r="64" ht="70" customHeight="1">
      <c r="A64" s="2" t="inlineStr">
        <is>
          <t xml:space="preserve">API-063</t>
        </is>
      </c>
      <c r="B64" s="2" t="inlineStr">
        <is>
          <t xml:space="preserve">Hồ sơ &amp; kết nối ở ghép</t>
        </is>
      </c>
      <c r="C64" s="2" t="inlineStr">
        <is>
          <t xml:space="preserve">roommate-profile</t>
        </is>
      </c>
      <c r="D64" s="2" t="inlineStr">
        <is>
          <t xml:space="preserve">PUT</t>
        </is>
      </c>
      <c r="E64" s="2" t="inlineStr">
        <is>
          <t xml:space="preserve">/api/v1/me/roommate-profile</t>
        </is>
      </c>
      <c r="F64" s="2" t="inlineStr">
        <is>
          <t xml:space="preserve">Tạo hoặc thay thế hồ sơ ở ghép</t>
        </is>
      </c>
      <c r="G64" s="2" t="inlineStr">
        <is>
          <t xml:space="preserve">TENANT: chỉ chính người thuê và tài nguyên được phép</t>
        </is>
      </c>
      <c r="H64" s="2" t="inlineStr">
        <is>
          <t xml:space="preserve">P1</t>
        </is>
      </c>
      <c r="I64" s="2" t="inlineStr">
        <is>
          <t xml:space="preserve">Middleware auth/session/role + object scope
D09: idempotency store nếu chưa có khóa tự nhiên
D15: kiểm tra version trong khóa</t>
        </is>
      </c>
      <c r="J64" s="2" t="inlineStr">
        <is>
          <t xml:space="preserve">SERVICE: cần triển khai giao dịch backend</t>
        </is>
      </c>
      <c r="K64" s="2" t="inlineStr">
        <is>
          <t xml:space="preserve">housingStatus: enum (bắt buộc) — NO_ACCOMMODATION / EXTERNAL; IN_SYSTEM do server xác định từ ACTIVE.
externalContext: string (tùy chọn) — Chỉ EXTERNAL, tối đa 1.000 ký tự.
availableFrom: date (bắt buộc) — Ngày hợp lệ.
budgetMin: money (tùy chọn) — ≥0.
budgetMax: money (tùy chọn) — ≥ budgetMin.
preferredLocation: string (bắt buộc) — 1–500 ký tự.
preferredGender: string (tùy chọn) — ≤30 ký tự.
requirementsSnapshot: object (tùy chọn) — Nhu cầu tự khai; schema cần chốt.
active: boolean (bắt buộc) — Bật cho phép tìm kiếm.</t>
        </is>
      </c>
      <c r="L64" s="2" t="inlineStr">
        <is>
          <t xml:space="preserve">RoommateProfile {id,profileVersion,...}</t>
        </is>
      </c>
      <c r="M64" s="2" t="inlineStr">
        <is>
          <t xml:space="preserve">Một hồ sơ/tenant; tra ACTIVE bằng khóa, tự ghi IN_SYSTEM + đúng member nếu có; không tin currentRoomTenantId client. If-Match cho cập nhật, If-None-Match:* khi tạo. Lưu không gửi lời mời.</t>
        </is>
      </c>
      <c r="N64" s="2" t="inlineStr">
        <is>
          <t xml:space="preserve">400 BAD_REQUEST
401 UNAUTHENTICATED
403 FORBIDDEN
404 RESOURCE_NOT_FOUND
409 STATE_CONFLICT
409 IDEMPOTENCY_KEY_REUSED
422 VALIDATION_ERROR
409 PROFILE_VERSION_CHANGED
422 HOUSING_CONTEXT_INVALID</t>
        </is>
      </c>
      <c r="O64" s="2" t="inlineStr">
        <is>
          <t xml:space="preserve"/>
        </is>
      </c>
      <c r="P64" s="2" t="inlineStr">
        <is>
          <t xml:space="preserve">Chưa làm</t>
        </is>
      </c>
      <c r="Q64" s="2" t="inlineStr">
        <is>
          <t xml:space="preserve">Chưa</t>
        </is>
      </c>
      <c r="R64" s="2" t="inlineStr">
        <is>
          <t xml:space="preserve">Chưa</t>
        </is>
      </c>
      <c r="S64" s="2" t="inlineStr">
        <is>
          <t xml:space="preserve">Chưa</t>
        </is>
      </c>
      <c r="T64" s="2" t="inlineStr">
        <is>
          <t xml:space="preserve">Chưa</t>
        </is>
      </c>
      <c r="U64" s="2" t="inlineStr">
        <is>
          <t xml:space="preserve">Chưa</t>
        </is>
      </c>
      <c r="V64" s="2" t="inlineStr">
        <is>
          <t xml:space="preserve">Chưa</t>
        </is>
      </c>
      <c r="W64" s="2" t="inlineStr">
        <is>
          <t xml:space="preserve">Chưa</t>
        </is>
      </c>
      <c r="X64" s="2" t="inlineStr">
        <is>
          <t xml:space="preserve">Chưa</t>
        </is>
      </c>
      <c r="Y64" s="3">
        <f>COUNTIF(Q64:X64,"Xong")/8</f>
        <v>0</v>
      </c>
      <c r="Z64" s="4" t="inlineStr">
        <is>
          <t xml:space="preserve"/>
        </is>
      </c>
      <c r="AA64" s="4" t="inlineStr">
        <is>
          <t xml:space="preserve"/>
        </is>
      </c>
      <c r="AB64" s="4" t="inlineStr">
        <is>
          <t xml:space="preserve"/>
        </is>
      </c>
      <c r="AC64" s="2" t="inlineStr">
        <is>
          <t xml:space="preserve"/>
        </is>
      </c>
      <c r="AD64" s="2" t="inlineStr">
        <is>
          <t xml:space="preserve">Happy path: Tạo hoặc thay thế hồ sơ ở ghép; kiểm tra RoommateProfile {id,profileVersion,...}.
Thiếu phiên/phiên revoked/actor LOCKED và actor khác chủ hoặc khác participant phải bị chặn.
Ràng buộc: Một roommate_profiles cho mỗi tenant; ngân sách không âm và max ≥ min nếu có cả hai.
Gửi lặp cùng khóa trả kết quả cũ; cùng khóa khác payload trả 409; hai request tranh cùng tài nguyên không vượt hạn mức.
Kiểm tra lỗi DB/provider không để lại cập nhật dở hoặc trả thành công giả.</t>
        </is>
      </c>
      <c r="AE64" s="2" t="inlineStr">
        <is>
          <t xml:space="preserve"/>
        </is>
      </c>
      <c r="AF64" s="5" t="inlineStr">
        <is>
          <t xml:space="preserve">Mở đặc tả</t>
        </is>
      </c>
    </row>
    <row r="65" ht="70" customHeight="1">
      <c r="A65" s="0" t="inlineStr">
        <is>
          <t xml:space="preserve">API-064</t>
        </is>
      </c>
      <c r="B65" s="0" t="inlineStr">
        <is>
          <t xml:space="preserve">Hồ sơ &amp; kết nối ở ghép</t>
        </is>
      </c>
      <c r="C65" s="0" t="inlineStr">
        <is>
          <t xml:space="preserve">roommate-profile</t>
        </is>
      </c>
      <c r="D65" s="0" t="inlineStr">
        <is>
          <t xml:space="preserve">GET</t>
        </is>
      </c>
      <c r="E65" s="0" t="inlineStr">
        <is>
          <t xml:space="preserve">/api/v1/roommate-profiles/{profileId}</t>
        </is>
      </c>
      <c r="F65" s="0" t="inlineStr">
        <is>
          <t xml:space="preserve">Xem hồ sơ ứng viên theo quyền</t>
        </is>
      </c>
      <c r="G65" s="0" t="inlineStr">
        <is>
          <t xml:space="preserve">TENANT: chỉ chính người thuê và tài nguyên được phép</t>
        </is>
      </c>
      <c r="H65" s="0" t="inlineStr">
        <is>
          <t xml:space="preserve">P1</t>
        </is>
      </c>
      <c r="I65" s="0" t="inlineStr">
        <is>
          <t xml:space="preserve">Middleware auth/session/role + object scope</t>
        </is>
      </c>
      <c r="J65" s="0" t="inlineStr">
        <is>
          <t xml:space="preserve">READ: truy vấn có scope quyền</t>
        </is>
      </c>
      <c r="K65" s="0" t="inlineStr">
        <is>
          <t xml:space="preserve">Không có JSON body</t>
        </is>
      </c>
      <c r="L65" s="0" t="inlineStr">
        <is>
          <t xml:space="preserve">PublicRoommateProfile; không có CCCD/địa chỉ cư trú cụ thể</t>
        </is>
      </c>
      <c r="M65" s="0" t="inlineStr">
        <is>
          <t xml:space="preserve">Hồ sơ active được tìm; người nhận lời mời vẫn được xem nội dung đủ quyết định theo quyền lời mời. Không trả định danh căn cước.</t>
        </is>
      </c>
      <c r="N65" s="0" t="inlineStr">
        <is>
          <t xml:space="preserve">400 BAD_REQUEST
401 UNAUTHENTICATED
403 FORBIDDEN
404 RESOURCE_NOT_FOUND</t>
        </is>
      </c>
      <c r="O65" s="0" t="inlineStr">
        <is>
          <t xml:space="preserve"/>
        </is>
      </c>
      <c r="P65" s="0" t="inlineStr">
        <is>
          <t xml:space="preserve">Chưa làm</t>
        </is>
      </c>
      <c r="Q65" s="0" t="inlineStr">
        <is>
          <t xml:space="preserve">Chưa</t>
        </is>
      </c>
      <c r="R65" s="0" t="inlineStr">
        <is>
          <t xml:space="preserve">Chưa</t>
        </is>
      </c>
      <c r="S65" s="0" t="inlineStr">
        <is>
          <t xml:space="preserve">Chưa</t>
        </is>
      </c>
      <c r="T65" s="0" t="inlineStr">
        <is>
          <t xml:space="preserve">Chưa</t>
        </is>
      </c>
      <c r="U65" s="0" t="inlineStr">
        <is>
          <t xml:space="preserve">Chưa</t>
        </is>
      </c>
      <c r="V65" s="0" t="inlineStr">
        <is>
          <t xml:space="preserve">Chưa</t>
        </is>
      </c>
      <c r="W65" s="0" t="inlineStr">
        <is>
          <t xml:space="preserve">Chưa</t>
        </is>
      </c>
      <c r="X65" s="0" t="inlineStr">
        <is>
          <t xml:space="preserve">Chưa</t>
        </is>
      </c>
      <c r="Y65" s="3">
        <f>COUNTIF(Q65:X65,"Xong")/8</f>
        <v>0</v>
      </c>
      <c r="Z65" s="4" t="inlineStr">
        <is>
          <t xml:space="preserve"/>
        </is>
      </c>
      <c r="AA65" s="4" t="inlineStr">
        <is>
          <t xml:space="preserve"/>
        </is>
      </c>
      <c r="AB65" s="4" t="inlineStr">
        <is>
          <t xml:space="preserve"/>
        </is>
      </c>
      <c r="AC65" s="0" t="inlineStr">
        <is>
          <t xml:space="preserve"/>
        </is>
      </c>
      <c r="AD65" s="0" t="inlineStr">
        <is>
          <t xml:space="preserve">Happy path: Xem hồ sơ ứng viên theo quyền; kiểm tra PublicRoommateProfile; không có CCCD/địa chỉ cư trú cụ thể.
Thiếu phiên/phiên revoked/actor LOCKED và actor khác chủ hoặc khác participant phải bị chặn.
Ràng buộc: Một roommate_profiles cho mỗi tenant; ngân sách không âm và max ≥ min nếu có cả hai.
Phân trang/lọc đúng scope; dữ liệu riêng tư bị loại trên server, không chỉ ẩn UI.
Kiểm tra lỗi DB/provider không để lại cập nhật dở hoặc trả thành công giả.</t>
        </is>
      </c>
      <c r="AE65" s="0" t="inlineStr">
        <is>
          <t xml:space="preserve"/>
        </is>
      </c>
      <c r="AF65" s="5" t="inlineStr">
        <is>
          <t xml:space="preserve">Mở đặc tả</t>
        </is>
      </c>
    </row>
    <row r="66" ht="70" customHeight="1">
      <c r="A66" s="2" t="inlineStr">
        <is>
          <t xml:space="preserve">API-065</t>
        </is>
      </c>
      <c r="B66" s="2" t="inlineStr">
        <is>
          <t xml:space="preserve">Hồ sơ &amp; kết nối ở ghép</t>
        </is>
      </c>
      <c r="C66" s="2" t="inlineStr">
        <is>
          <t xml:space="preserve">matching-criteria</t>
        </is>
      </c>
      <c r="D66" s="2" t="inlineStr">
        <is>
          <t xml:space="preserve">GET</t>
        </is>
      </c>
      <c r="E66" s="2" t="inlineStr">
        <is>
          <t xml:space="preserve">/api/v1/lifestyle-criteria</t>
        </is>
      </c>
      <c r="F66" s="2" t="inlineStr">
        <is>
          <t xml:space="preserve">Danh mục tiêu chí đang áp dụng</t>
        </is>
      </c>
      <c r="G66" s="2" t="inlineStr">
        <is>
          <t xml:space="preserve">TENANT: chỉ chính người thuê và tài nguyên được phép</t>
        </is>
      </c>
      <c r="H66" s="2" t="inlineStr">
        <is>
          <t xml:space="preserve">P1</t>
        </is>
      </c>
      <c r="I66" s="2" t="inlineStr">
        <is>
          <t xml:space="preserve">Middleware auth/session/role + object scope</t>
        </is>
      </c>
      <c r="J66" s="2" t="inlineStr">
        <is>
          <t xml:space="preserve">READ: truy vấn có scope quyền</t>
        </is>
      </c>
      <c r="K66" s="2" t="inlineStr">
        <is>
          <t xml:space="preserve">Không có JSON body</t>
        </is>
      </c>
      <c r="L66" s="2" t="inlineStr">
        <is>
          <t xml:space="preserve">LifestyleCriterion[] {id,code,name,category,valueType,allowedValues}</t>
        </is>
      </c>
      <c r="M66" s="2" t="inlineStr">
        <is>
          <t xml:space="preserve">Chỉ active; cấu trúc JSON theo valueType được validate bởi service.</t>
        </is>
      </c>
      <c r="N66" s="2" t="inlineStr">
        <is>
          <t xml:space="preserve">400 BAD_REQUEST
401 UNAUTHENTICATED
403 FORBIDDEN
404 RESOURCE_NOT_FOUND
422 VALIDATION_ERROR</t>
        </is>
      </c>
      <c r="O66" s="2" t="inlineStr">
        <is>
          <t xml:space="preserve"/>
        </is>
      </c>
      <c r="P66" s="2" t="inlineStr">
        <is>
          <t xml:space="preserve">Chưa làm</t>
        </is>
      </c>
      <c r="Q66" s="2" t="inlineStr">
        <is>
          <t xml:space="preserve">Chưa</t>
        </is>
      </c>
      <c r="R66" s="2" t="inlineStr">
        <is>
          <t xml:space="preserve">Chưa</t>
        </is>
      </c>
      <c r="S66" s="2" t="inlineStr">
        <is>
          <t xml:space="preserve">Chưa</t>
        </is>
      </c>
      <c r="T66" s="2" t="inlineStr">
        <is>
          <t xml:space="preserve">Chưa</t>
        </is>
      </c>
      <c r="U66" s="2" t="inlineStr">
        <is>
          <t xml:space="preserve">Chưa</t>
        </is>
      </c>
      <c r="V66" s="2" t="inlineStr">
        <is>
          <t xml:space="preserve">Chưa</t>
        </is>
      </c>
      <c r="W66" s="2" t="inlineStr">
        <is>
          <t xml:space="preserve">Chưa</t>
        </is>
      </c>
      <c r="X66" s="2" t="inlineStr">
        <is>
          <t xml:space="preserve">Chưa</t>
        </is>
      </c>
      <c r="Y66" s="3">
        <f>COUNTIF(Q66:X66,"Xong")/8</f>
        <v>0</v>
      </c>
      <c r="Z66" s="4" t="inlineStr">
        <is>
          <t xml:space="preserve"/>
        </is>
      </c>
      <c r="AA66" s="4" t="inlineStr">
        <is>
          <t xml:space="preserve"/>
        </is>
      </c>
      <c r="AB66" s="4" t="inlineStr">
        <is>
          <t xml:space="preserve"/>
        </is>
      </c>
      <c r="AC66" s="2" t="inlineStr">
        <is>
          <t xml:space="preserve"/>
        </is>
      </c>
      <c r="AD66" s="2" t="inlineStr">
        <is>
          <t xml:space="preserve">Happy path: Danh mục tiêu chí đang áp dụng; kiểm tra LifestyleCriterion[] {id,code,name,category,valueType,allowedValues}.
Thiếu phiên/phiên revoked/actor LOCKED và actor khác chủ hoặc khác participant phải bị chặn.
Ràng buộc: lifestyle_criteria.code duy nhất; value_type thuộc BOOLEAN / NUMBER / CATEGORY / TIME / RANGE.
Phân trang/lọc đúng scope; dữ liệu riêng tư bị loại trên server, không chỉ ẩn UI.
Kiểm tra lỗi DB/provider không để lại cập nhật dở hoặc trả thành công giả.</t>
        </is>
      </c>
      <c r="AE66" s="2" t="inlineStr">
        <is>
          <t xml:space="preserve"/>
        </is>
      </c>
      <c r="AF66" s="5" t="inlineStr">
        <is>
          <t xml:space="preserve">Mở đặc tả</t>
        </is>
      </c>
    </row>
    <row r="67" ht="70" customHeight="1">
      <c r="A67" s="0" t="inlineStr">
        <is>
          <t xml:space="preserve">API-066</t>
        </is>
      </c>
      <c r="B67" s="0" t="inlineStr">
        <is>
          <t xml:space="preserve">Hồ sơ &amp; kết nối ở ghép</t>
        </is>
      </c>
      <c r="C67" s="0" t="inlineStr">
        <is>
          <t xml:space="preserve">matching-criteria</t>
        </is>
      </c>
      <c r="D67" s="0" t="inlineStr">
        <is>
          <t xml:space="preserve">GET</t>
        </is>
      </c>
      <c r="E67" s="0" t="inlineStr">
        <is>
          <t xml:space="preserve">/api/v1/me/roommate-profile/lifestyles</t>
        </is>
      </c>
      <c r="F67" s="0" t="inlineStr">
        <is>
          <t xml:space="preserve">Đọc đặc điểm và mong muốn đã lưu</t>
        </is>
      </c>
      <c r="G67" s="0" t="inlineStr">
        <is>
          <t xml:space="preserve">TENANT: chỉ chính người thuê và tài nguyên được phép</t>
        </is>
      </c>
      <c r="H67" s="0" t="inlineStr">
        <is>
          <t xml:space="preserve">P1</t>
        </is>
      </c>
      <c r="I67" s="0" t="inlineStr">
        <is>
          <t xml:space="preserve">Middleware auth/session/role + object scope</t>
        </is>
      </c>
      <c r="J67" s="0" t="inlineStr">
        <is>
          <t xml:space="preserve">READ: truy vấn có scope quyền</t>
        </is>
      </c>
      <c r="K67" s="0" t="inlineStr">
        <is>
          <t xml:space="preserve">Không có JSON body</t>
        </is>
      </c>
      <c r="L67" s="0" t="inlineStr">
        <is>
          <t xml:space="preserve">ProfileLifestyle[]</t>
        </is>
      </c>
      <c r="M67" s="0" t="inlineStr">
        <is>
          <t xml:space="preserve">Chỉ profile actor; trả selfValue/preferredValue/isMandatory/importance.</t>
        </is>
      </c>
      <c r="N67" s="0" t="inlineStr">
        <is>
          <t xml:space="preserve">400 BAD_REQUEST
401 UNAUTHENTICATED
403 FORBIDDEN
404 RESOURCE_NOT_FOUND
422 VALIDATION_ERROR</t>
        </is>
      </c>
      <c r="O67" s="0" t="inlineStr">
        <is>
          <t xml:space="preserve"/>
        </is>
      </c>
      <c r="P67" s="0" t="inlineStr">
        <is>
          <t xml:space="preserve">Chưa làm</t>
        </is>
      </c>
      <c r="Q67" s="0" t="inlineStr">
        <is>
          <t xml:space="preserve">Chưa</t>
        </is>
      </c>
      <c r="R67" s="0" t="inlineStr">
        <is>
          <t xml:space="preserve">Chưa</t>
        </is>
      </c>
      <c r="S67" s="0" t="inlineStr">
        <is>
          <t xml:space="preserve">Chưa</t>
        </is>
      </c>
      <c r="T67" s="0" t="inlineStr">
        <is>
          <t xml:space="preserve">Chưa</t>
        </is>
      </c>
      <c r="U67" s="0" t="inlineStr">
        <is>
          <t xml:space="preserve">Chưa</t>
        </is>
      </c>
      <c r="V67" s="0" t="inlineStr">
        <is>
          <t xml:space="preserve">Chưa</t>
        </is>
      </c>
      <c r="W67" s="0" t="inlineStr">
        <is>
          <t xml:space="preserve">Chưa</t>
        </is>
      </c>
      <c r="X67" s="0" t="inlineStr">
        <is>
          <t xml:space="preserve">Chưa</t>
        </is>
      </c>
      <c r="Y67" s="3">
        <f>COUNTIF(Q67:X67,"Xong")/8</f>
        <v>0</v>
      </c>
      <c r="Z67" s="4" t="inlineStr">
        <is>
          <t xml:space="preserve"/>
        </is>
      </c>
      <c r="AA67" s="4" t="inlineStr">
        <is>
          <t xml:space="preserve"/>
        </is>
      </c>
      <c r="AB67" s="4" t="inlineStr">
        <is>
          <t xml:space="preserve"/>
        </is>
      </c>
      <c r="AC67" s="0" t="inlineStr">
        <is>
          <t xml:space="preserve"/>
        </is>
      </c>
      <c r="AD67" s="0" t="inlineStr">
        <is>
          <t xml:space="preserve">Happy path: Đọc đặc điểm và mong muốn đã lưu; kiểm tra ProfileLifestyle[].
Thiếu phiên/phiên revoked/actor LOCKED và actor khác chủ hoặc khác participant phải bị chặn.
Ràng buộc: lifestyle_criteria.code duy nhất; value_type thuộc BOOLEAN / NUMBER / CATEGORY / TIME / RANGE.
Phân trang/lọc đúng scope; dữ liệu riêng tư bị loại trên server, không chỉ ẩn UI.
Kiểm tra lỗi DB/provider không để lại cập nhật dở hoặc trả thành công giả.</t>
        </is>
      </c>
      <c r="AE67" s="0" t="inlineStr">
        <is>
          <t xml:space="preserve"/>
        </is>
      </c>
      <c r="AF67" s="5" t="inlineStr">
        <is>
          <t xml:space="preserve">Mở đặc tả</t>
        </is>
      </c>
    </row>
    <row r="68" ht="70" customHeight="1">
      <c r="A68" s="2" t="inlineStr">
        <is>
          <t xml:space="preserve">API-067</t>
        </is>
      </c>
      <c r="B68" s="2" t="inlineStr">
        <is>
          <t xml:space="preserve">Hồ sơ &amp; kết nối ở ghép</t>
        </is>
      </c>
      <c r="C68" s="2" t="inlineStr">
        <is>
          <t xml:space="preserve">matching-criteria</t>
        </is>
      </c>
      <c r="D68" s="2" t="inlineStr">
        <is>
          <t xml:space="preserve">PUT</t>
        </is>
      </c>
      <c r="E68" s="2" t="inlineStr">
        <is>
          <t xml:space="preserve">/api/v1/me/roommate-profile/lifestyles</t>
        </is>
      </c>
      <c r="F68" s="2" t="inlineStr">
        <is>
          <t xml:space="preserve">Thay bộ tiêu chí của hồ sơ</t>
        </is>
      </c>
      <c r="G68" s="2" t="inlineStr">
        <is>
          <t xml:space="preserve">TENANT: chỉ chính người thuê và tài nguyên được phép</t>
        </is>
      </c>
      <c r="H68" s="2" t="inlineStr">
        <is>
          <t xml:space="preserve">P1</t>
        </is>
      </c>
      <c r="I68" s="2" t="inlineStr">
        <is>
          <t xml:space="preserve">Middleware auth/session/role + object scope
D09: idempotency store nếu chưa có khóa tự nhiên</t>
        </is>
      </c>
      <c r="J68" s="2" t="inlineStr">
        <is>
          <t xml:space="preserve">SERVICE: cần triển khai giao dịch backend</t>
        </is>
      </c>
      <c r="K68" s="2" t="inlineStr">
        <is>
          <t xml:space="preserve">criteria: object[] (bắt buộc) — Mỗi criterionId duy nhất; có selfValue hoặc preferredValue; mandatory cần preferredValue; importance 0–5.</t>
        </is>
      </c>
      <c r="L68" s="2" t="inlineStr">
        <is>
          <t xml:space="preserve">ProfileLifestyle[] và profileVersion</t>
        </is>
      </c>
      <c r="M68" s="2" t="inlineStr">
        <is>
          <t xml:space="preserve">Khóa profile; kiểm tra criterion active, kiểu JSON BOOLEAN/NUMBER/CATEGORY/TIME/RANGE và allowed_values; thay bộ giá trị atomically, tăng profile_version.</t>
        </is>
      </c>
      <c r="N68" s="2" t="inlineStr">
        <is>
          <t xml:space="preserve">400 BAD_REQUEST
401 UNAUTHENTICATED
403 FORBIDDEN
404 RESOURCE_NOT_FOUND
409 STATE_CONFLICT
409 IDEMPOTENCY_KEY_REUSED
422 VALIDATION_ERROR
422 INVALID_CRITERION_VALUE
409 CRITERION_IN_USE</t>
        </is>
      </c>
      <c r="O68" s="2" t="inlineStr">
        <is>
          <t xml:space="preserve"/>
        </is>
      </c>
      <c r="P68" s="2" t="inlineStr">
        <is>
          <t xml:space="preserve">Chưa làm</t>
        </is>
      </c>
      <c r="Q68" s="2" t="inlineStr">
        <is>
          <t xml:space="preserve">Chưa</t>
        </is>
      </c>
      <c r="R68" s="2" t="inlineStr">
        <is>
          <t xml:space="preserve">Chưa</t>
        </is>
      </c>
      <c r="S68" s="2" t="inlineStr">
        <is>
          <t xml:space="preserve">Chưa</t>
        </is>
      </c>
      <c r="T68" s="2" t="inlineStr">
        <is>
          <t xml:space="preserve">Chưa</t>
        </is>
      </c>
      <c r="U68" s="2" t="inlineStr">
        <is>
          <t xml:space="preserve">Chưa</t>
        </is>
      </c>
      <c r="V68" s="2" t="inlineStr">
        <is>
          <t xml:space="preserve">Chưa</t>
        </is>
      </c>
      <c r="W68" s="2" t="inlineStr">
        <is>
          <t xml:space="preserve">Chưa</t>
        </is>
      </c>
      <c r="X68" s="2" t="inlineStr">
        <is>
          <t xml:space="preserve">Chưa</t>
        </is>
      </c>
      <c r="Y68" s="3">
        <f>COUNTIF(Q68:X68,"Xong")/8</f>
        <v>0</v>
      </c>
      <c r="Z68" s="4" t="inlineStr">
        <is>
          <t xml:space="preserve"/>
        </is>
      </c>
      <c r="AA68" s="4" t="inlineStr">
        <is>
          <t xml:space="preserve"/>
        </is>
      </c>
      <c r="AB68" s="4" t="inlineStr">
        <is>
          <t xml:space="preserve"/>
        </is>
      </c>
      <c r="AC68" s="2" t="inlineStr">
        <is>
          <t xml:space="preserve"/>
        </is>
      </c>
      <c r="AD68" s="2" t="inlineStr">
        <is>
          <t xml:space="preserve">Happy path: Thay bộ tiêu chí của hồ sơ; kiểm tra ProfileLifestyle[] và profileVersion.
Thiếu phiên/phiên revoked/actor LOCKED và actor khác chủ hoặc khác participant phải bị chặn.
Ràng buộc: lifestyle_criteria.code duy nhất; value_type thuộc BOOLEAN / NUMBER / CATEGORY / TIME / RANGE.
Gửi lặp cùng khóa trả kết quả cũ; cùng khóa khác payload trả 409; hai request tranh cùng tài nguyên không vượt hạn mức.
Kiểm tra lỗi DB/provider không để lại cập nhật dở hoặc trả thành công giả.</t>
        </is>
      </c>
      <c r="AE68" s="2" t="inlineStr">
        <is>
          <t xml:space="preserve"/>
        </is>
      </c>
      <c r="AF68" s="5" t="inlineStr">
        <is>
          <t xml:space="preserve">Mở đặc tả</t>
        </is>
      </c>
    </row>
    <row r="69" ht="70" customHeight="1">
      <c r="A69" s="0" t="inlineStr">
        <is>
          <t xml:space="preserve">API-068</t>
        </is>
      </c>
      <c r="B69" s="0" t="inlineStr">
        <is>
          <t xml:space="preserve">Hồ sơ &amp; kết nối ở ghép</t>
        </is>
      </c>
      <c r="C69" s="0" t="inlineStr">
        <is>
          <t xml:space="preserve">matching-criteria</t>
        </is>
      </c>
      <c r="D69" s="0" t="inlineStr">
        <is>
          <t xml:space="preserve">GET</t>
        </is>
      </c>
      <c r="E69" s="0" t="inlineStr">
        <is>
          <t xml:space="preserve">/api/v1/roommate-matches</t>
        </is>
      </c>
      <c r="F69" s="0" t="inlineStr">
        <is>
          <t xml:space="preserve">Danh sách người phù hợp</t>
        </is>
      </c>
      <c r="G69" s="0" t="inlineStr">
        <is>
          <t xml:space="preserve">TENANT: chỉ chính người thuê và tài nguyên được phép</t>
        </is>
      </c>
      <c r="H69" s="0" t="inlineStr">
        <is>
          <t xml:space="preserve">P1</t>
        </is>
      </c>
      <c r="I69" s="0" t="inlineStr">
        <is>
          <t xml:space="preserve">Middleware auth/session/role + object scope
D02</t>
        </is>
      </c>
      <c r="J69" s="0" t="inlineStr">
        <is>
          <t xml:space="preserve">READ: truy vấn có scope quyền</t>
        </is>
      </c>
      <c r="K69" s="0" t="inlineStr">
        <is>
          <t xml:space="preserve">Không có JSON body</t>
        </is>
      </c>
      <c r="L69" s="0" t="inlineStr">
        <is>
          <t xml:space="preserve">Match[] {profile,score|null,algorithmVersion,explanations}</t>
        </is>
      </c>
      <c r="M69" s="0" t="inlineStr">
        <is>
          <t xml:space="preserve">Loại bản thân, hồ sơ inactive; lọc khu vực/ngân sách/tiêu chí bắt buộc. Thuật toán điểm/trọng số chưa tồn tại: chốt D02 trước khi trả score.</t>
        </is>
      </c>
      <c r="N69" s="0" t="inlineStr">
        <is>
          <t xml:space="preserve">400 BAD_REQUEST
401 UNAUTHENTICATED
403 FORBIDDEN
404 RESOURCE_NOT_FOUND
422 VALIDATION_ERROR</t>
        </is>
      </c>
      <c r="O69" s="0" t="inlineStr">
        <is>
          <t xml:space="preserve"/>
        </is>
      </c>
      <c r="P69" s="0" t="inlineStr">
        <is>
          <t xml:space="preserve">Chưa làm</t>
        </is>
      </c>
      <c r="Q69" s="0" t="inlineStr">
        <is>
          <t xml:space="preserve">Chưa</t>
        </is>
      </c>
      <c r="R69" s="0" t="inlineStr">
        <is>
          <t xml:space="preserve">Chưa</t>
        </is>
      </c>
      <c r="S69" s="0" t="inlineStr">
        <is>
          <t xml:space="preserve">Chưa</t>
        </is>
      </c>
      <c r="T69" s="0" t="inlineStr">
        <is>
          <t xml:space="preserve">Chưa</t>
        </is>
      </c>
      <c r="U69" s="0" t="inlineStr">
        <is>
          <t xml:space="preserve">Chưa</t>
        </is>
      </c>
      <c r="V69" s="0" t="inlineStr">
        <is>
          <t xml:space="preserve">Chưa</t>
        </is>
      </c>
      <c r="W69" s="0" t="inlineStr">
        <is>
          <t xml:space="preserve">Chưa</t>
        </is>
      </c>
      <c r="X69" s="0" t="inlineStr">
        <is>
          <t xml:space="preserve">Chưa</t>
        </is>
      </c>
      <c r="Y69" s="3">
        <f>COUNTIF(Q69:X69,"Xong")/8</f>
        <v>0</v>
      </c>
      <c r="Z69" s="4" t="inlineStr">
        <is>
          <t xml:space="preserve"/>
        </is>
      </c>
      <c r="AA69" s="4" t="inlineStr">
        <is>
          <t xml:space="preserve"/>
        </is>
      </c>
      <c r="AB69" s="4" t="inlineStr">
        <is>
          <t xml:space="preserve"/>
        </is>
      </c>
      <c r="AC69" s="0" t="inlineStr">
        <is>
          <t xml:space="preserve"/>
        </is>
      </c>
      <c r="AD69" s="0" t="inlineStr">
        <is>
          <t xml:space="preserve">Happy path: Danh sách người phù hợp; kiểm tra Match[] {profile,score|null,algorithmVersion,explanations}.
Thiếu phiên/phiên revoked/actor LOCKED và actor khác chủ hoặc khác participant phải bị chặn.
Ràng buộc: lifestyle_criteria.code duy nhất; value_type thuộc BOOLEAN / NUMBER / CATEGORY / TIME / RANGE.
Phân trang/lọc đúng scope; dữ liệu riêng tư bị loại trên server, không chỉ ẩn UI.
Kiểm tra lỗi DB/provider không để lại cập nhật dở hoặc trả thành công giả.</t>
        </is>
      </c>
      <c r="AE69" s="0" t="inlineStr">
        <is>
          <t xml:space="preserve"/>
        </is>
      </c>
      <c r="AF69" s="5" t="inlineStr">
        <is>
          <t xml:space="preserve">Mở đặc tả</t>
        </is>
      </c>
    </row>
    <row r="70" ht="70" customHeight="1">
      <c r="A70" s="2" t="inlineStr">
        <is>
          <t xml:space="preserve">API-069</t>
        </is>
      </c>
      <c r="B70" s="2" t="inlineStr">
        <is>
          <t xml:space="preserve">Hồ sơ &amp; kết nối ở ghép</t>
        </is>
      </c>
      <c r="C70" s="2" t="inlineStr">
        <is>
          <t xml:space="preserve">matching-criteria</t>
        </is>
      </c>
      <c r="D70" s="2" t="inlineStr">
        <is>
          <t xml:space="preserve">POST</t>
        </is>
      </c>
      <c r="E70" s="2" t="inlineStr">
        <is>
          <t xml:space="preserve">/api/v1/admin/lifestyle-criteria</t>
        </is>
      </c>
      <c r="F70" s="2" t="inlineStr">
        <is>
          <t xml:space="preserve">Tạo tiêu chí ghép linh động</t>
        </is>
      </c>
      <c r="G70" s="2" t="inlineStr">
        <is>
          <t xml:space="preserve">ADMIN: tài khoản ACTIVE có dòng admins</t>
        </is>
      </c>
      <c r="H70" s="2" t="inlineStr">
        <is>
          <t xml:space="preserve">P1</t>
        </is>
      </c>
      <c r="I70" s="2" t="inlineStr">
        <is>
          <t xml:space="preserve">Middleware auth/session/role + object scope
D09: idempotency store nếu chưa có khóa tự nhiên</t>
        </is>
      </c>
      <c r="J70" s="2" t="inlineStr">
        <is>
          <t xml:space="preserve">SERVICE: cần triển khai giao dịch backend</t>
        </is>
      </c>
      <c r="K70" s="2" t="inlineStr">
        <is>
          <t xml:space="preserve">code: string (bắt buộc) — Duy nhất; ≤80 ký tự.
name: string (bắt buộc) — ≤100 ký tự.
category: string (bắt buộc) — ≤100 ký tự.
valueType: enum (bắt buộc) — BOOLEAN/NUMBER/CATEGORY/TIME/RANGE.
allowedValues: object (tùy chọn) — JSON phải tương thích kiểu.
active: boolean (bắt buộc) — Bật/ngừng.</t>
        </is>
      </c>
      <c r="L70" s="2" t="inlineStr">
        <is>
          <t xml:space="preserve">LifestyleCriterion</t>
        </is>
      </c>
      <c r="M70" s="2" t="inlineStr">
        <is>
          <t xml:space="preserve">Không thêm cột hồ sơ cho từng tiêu chí; ghi audit vận hành riêng nếu cần vì moderation_actions không có target tiêu chí.</t>
        </is>
      </c>
      <c r="N70" s="2" t="inlineStr">
        <is>
          <t xml:space="preserve">400 BAD_REQUEST
401 UNAUTHENTICATED
403 FORBIDDEN
404 RESOURCE_NOT_FOUND
409 STATE_CONFLICT
409 IDEMPOTENCY_KEY_REUSED
422 VALIDATION_ERROR
422 INVALID_CRITERION_VALUE
409 CRITERION_IN_USE</t>
        </is>
      </c>
      <c r="O70" s="2" t="inlineStr">
        <is>
          <t xml:space="preserve"/>
        </is>
      </c>
      <c r="P70" s="2" t="inlineStr">
        <is>
          <t xml:space="preserve">Chưa làm</t>
        </is>
      </c>
      <c r="Q70" s="2" t="inlineStr">
        <is>
          <t xml:space="preserve">Chưa</t>
        </is>
      </c>
      <c r="R70" s="2" t="inlineStr">
        <is>
          <t xml:space="preserve">Chưa</t>
        </is>
      </c>
      <c r="S70" s="2" t="inlineStr">
        <is>
          <t xml:space="preserve">Chưa</t>
        </is>
      </c>
      <c r="T70" s="2" t="inlineStr">
        <is>
          <t xml:space="preserve">Chưa</t>
        </is>
      </c>
      <c r="U70" s="2" t="inlineStr">
        <is>
          <t xml:space="preserve">Chưa</t>
        </is>
      </c>
      <c r="V70" s="2" t="inlineStr">
        <is>
          <t xml:space="preserve">Chưa</t>
        </is>
      </c>
      <c r="W70" s="2" t="inlineStr">
        <is>
          <t xml:space="preserve">Chưa</t>
        </is>
      </c>
      <c r="X70" s="2" t="inlineStr">
        <is>
          <t xml:space="preserve">Chưa</t>
        </is>
      </c>
      <c r="Y70" s="3">
        <f>COUNTIF(Q70:X70,"Xong")/8</f>
        <v>0</v>
      </c>
      <c r="Z70" s="4" t="inlineStr">
        <is>
          <t xml:space="preserve"/>
        </is>
      </c>
      <c r="AA70" s="4" t="inlineStr">
        <is>
          <t xml:space="preserve"/>
        </is>
      </c>
      <c r="AB70" s="4" t="inlineStr">
        <is>
          <t xml:space="preserve"/>
        </is>
      </c>
      <c r="AC70" s="2" t="inlineStr">
        <is>
          <t xml:space="preserve"/>
        </is>
      </c>
      <c r="AD70" s="2" t="inlineStr">
        <is>
          <t xml:space="preserve">Happy path: Tạo tiêu chí ghép linh động; kiểm tra LifestyleCriterion.
Thiếu phiên/phiên revoked/actor LOCKED và actor khác chủ hoặc khác participant phải bị chặn.
Ràng buộc: lifestyle_criteria.code duy nhất; value_type thuộc BOOLEAN / NUMBER / CATEGORY / TIME / RANGE.
Gửi lặp cùng khóa trả kết quả cũ; cùng khóa khác payload trả 409; hai request tranh cùng tài nguyên không vượt hạn mức.
Kiểm tra lỗi DB/provider không để lại cập nhật dở hoặc trả thành công giả.</t>
        </is>
      </c>
      <c r="AE70" s="2" t="inlineStr">
        <is>
          <t xml:space="preserve"/>
        </is>
      </c>
      <c r="AF70" s="5" t="inlineStr">
        <is>
          <t xml:space="preserve">Mở đặc tả</t>
        </is>
      </c>
    </row>
    <row r="71" ht="70" customHeight="1">
      <c r="A71" s="0" t="inlineStr">
        <is>
          <t xml:space="preserve">API-070</t>
        </is>
      </c>
      <c r="B71" s="0" t="inlineStr">
        <is>
          <t xml:space="preserve">Hồ sơ &amp; kết nối ở ghép</t>
        </is>
      </c>
      <c r="C71" s="0" t="inlineStr">
        <is>
          <t xml:space="preserve">matching-criteria</t>
        </is>
      </c>
      <c r="D71" s="0" t="inlineStr">
        <is>
          <t xml:space="preserve">PATCH</t>
        </is>
      </c>
      <c r="E71" s="0" t="inlineStr">
        <is>
          <t xml:space="preserve">/api/v1/admin/lifestyle-criteria/{criterionId}</t>
        </is>
      </c>
      <c r="F71" s="0" t="inlineStr">
        <is>
          <t xml:space="preserve">Sửa/ngừng tiêu chí</t>
        </is>
      </c>
      <c r="G71" s="0" t="inlineStr">
        <is>
          <t xml:space="preserve">ADMIN: tài khoản ACTIVE có dòng admins</t>
        </is>
      </c>
      <c r="H71" s="0" t="inlineStr">
        <is>
          <t xml:space="preserve">P1</t>
        </is>
      </c>
      <c r="I71" s="0" t="inlineStr">
        <is>
          <t xml:space="preserve">Middleware auth/session/role + object scope
D09: idempotency store nếu chưa có khóa tự nhiên
D02</t>
        </is>
      </c>
      <c r="J71" s="0" t="inlineStr">
        <is>
          <t xml:space="preserve">SERVICE: cần triển khai giao dịch backend</t>
        </is>
      </c>
      <c r="K71" s="0" t="inlineStr">
        <is>
          <t xml:space="preserve">code: string (tùy chọn) — Duy nhất; ≤80 ký tự.
name: string (tùy chọn) — ≤100 ký tự.
category: string (tùy chọn) — ≤100 ký tự.
valueType: enum (tùy chọn) — BOOLEAN/NUMBER/CATEGORY/TIME/RANGE.
allowedValues: object (tùy chọn) — JSON phải tương thích kiểu.
active: boolean (tùy chọn) — Bật/ngừng.</t>
        </is>
      </c>
      <c r="L71" s="0" t="inlineStr">
        <is>
          <t xml:space="preserve">LifestyleCriterion</t>
        </is>
      </c>
      <c r="M71" s="0" t="inlineStr">
        <is>
          <t xml:space="preserve">Không đổi code/kiểu khiến giá trị lịch sử mất nghĩa; đổi kiểu đang dùng cần phiên bản/migration được thiết kế.</t>
        </is>
      </c>
      <c r="N71" s="0" t="inlineStr">
        <is>
          <t xml:space="preserve">400 BAD_REQUEST
401 UNAUTHENTICATED
403 FORBIDDEN
404 RESOURCE_NOT_FOUND
409 STATE_CONFLICT
409 IDEMPOTENCY_KEY_REUSED
422 VALIDATION_ERROR
422 INVALID_CRITERION_VALUE
409 CRITERION_IN_USE</t>
        </is>
      </c>
      <c r="O71" s="0" t="inlineStr">
        <is>
          <t xml:space="preserve"/>
        </is>
      </c>
      <c r="P71" s="0" t="inlineStr">
        <is>
          <t xml:space="preserve">Chưa làm</t>
        </is>
      </c>
      <c r="Q71" s="0" t="inlineStr">
        <is>
          <t xml:space="preserve">Chưa</t>
        </is>
      </c>
      <c r="R71" s="0" t="inlineStr">
        <is>
          <t xml:space="preserve">Chưa</t>
        </is>
      </c>
      <c r="S71" s="0" t="inlineStr">
        <is>
          <t xml:space="preserve">Chưa</t>
        </is>
      </c>
      <c r="T71" s="0" t="inlineStr">
        <is>
          <t xml:space="preserve">Chưa</t>
        </is>
      </c>
      <c r="U71" s="0" t="inlineStr">
        <is>
          <t xml:space="preserve">Chưa</t>
        </is>
      </c>
      <c r="V71" s="0" t="inlineStr">
        <is>
          <t xml:space="preserve">Chưa</t>
        </is>
      </c>
      <c r="W71" s="0" t="inlineStr">
        <is>
          <t xml:space="preserve">Chưa</t>
        </is>
      </c>
      <c r="X71" s="0" t="inlineStr">
        <is>
          <t xml:space="preserve">Chưa</t>
        </is>
      </c>
      <c r="Y71" s="3">
        <f>COUNTIF(Q71:X71,"Xong")/8</f>
        <v>0</v>
      </c>
      <c r="Z71" s="4" t="inlineStr">
        <is>
          <t xml:space="preserve"/>
        </is>
      </c>
      <c r="AA71" s="4" t="inlineStr">
        <is>
          <t xml:space="preserve"/>
        </is>
      </c>
      <c r="AB71" s="4" t="inlineStr">
        <is>
          <t xml:space="preserve"/>
        </is>
      </c>
      <c r="AC71" s="0" t="inlineStr">
        <is>
          <t xml:space="preserve"/>
        </is>
      </c>
      <c r="AD71" s="0" t="inlineStr">
        <is>
          <t xml:space="preserve">Happy path: Sửa/ngừng tiêu chí; kiểm tra LifestyleCriterion.
Thiếu phiên/phiên revoked/actor LOCKED và actor khác chủ hoặc khác participant phải bị chặn.
Ràng buộc: lifestyle_criteria.code duy nhất; value_type thuộc BOOLEAN / NUMBER / CATEGORY / TIME / RANGE.
Gửi lặp cùng khóa trả kết quả cũ; cùng khóa khác payload trả 409; hai request tranh cùng tài nguyên không vượt hạn mức.
Kiểm tra lỗi DB/provider không để lại cập nhật dở hoặc trả thành công giả.</t>
        </is>
      </c>
      <c r="AE71" s="0" t="inlineStr">
        <is>
          <t xml:space="preserve"/>
        </is>
      </c>
      <c r="AF71" s="5" t="inlineStr">
        <is>
          <t xml:space="preserve">Mở đặc tả</t>
        </is>
      </c>
    </row>
    <row r="72" ht="70" customHeight="1">
      <c r="A72" s="2" t="inlineStr">
        <is>
          <t xml:space="preserve">API-071</t>
        </is>
      </c>
      <c r="B72" s="2" t="inlineStr">
        <is>
          <t xml:space="preserve">Hồ sơ &amp; kết nối ở ghép</t>
        </is>
      </c>
      <c r="C72" s="2" t="inlineStr">
        <is>
          <t xml:space="preserve">roommate-invite</t>
        </is>
      </c>
      <c r="D72" s="2" t="inlineStr">
        <is>
          <t xml:space="preserve">GET</t>
        </is>
      </c>
      <c r="E72" s="2" t="inlineStr">
        <is>
          <t xml:space="preserve">/api/v1/roommate-requests</t>
        </is>
      </c>
      <c r="F72" s="2" t="inlineStr">
        <is>
          <t xml:space="preserve">Lời mời đến/đã gửi và bộ đếm</t>
        </is>
      </c>
      <c r="G72" s="2" t="inlineStr">
        <is>
          <t xml:space="preserve">TENANT: chỉ chính người thuê và tài nguyên được phép</t>
        </is>
      </c>
      <c r="H72" s="2" t="inlineStr">
        <is>
          <t xml:space="preserve">P1</t>
        </is>
      </c>
      <c r="I72" s="2" t="inlineStr">
        <is>
          <t xml:space="preserve">Middleware auth/session/role + object scope</t>
        </is>
      </c>
      <c r="J72" s="2" t="inlineStr">
        <is>
          <t xml:space="preserve">READ: truy vấn có scope quyền</t>
        </is>
      </c>
      <c r="K72" s="2" t="inlineStr">
        <is>
          <t xml:space="preserve">Không có JSON body</t>
        </is>
      </c>
      <c r="L72" s="2" t="inlineStr">
        <is>
          <t xml:space="preserve">{items:RoommateRequest[],counts:{incoming,outgoing}}</t>
        </is>
      </c>
      <c r="M72" s="2" t="inlineStr">
        <is>
          <t xml:space="preserve">direction=incoming/outgoing; actor phải là sender/receiver; bộ đếm gồm mục đã phản hồi theo tab hiện tại.</t>
        </is>
      </c>
      <c r="N72" s="2" t="inlineStr">
        <is>
          <t xml:space="preserve">400 BAD_REQUEST
401 UNAUTHENTICATED
403 FORBIDDEN
404 RESOURCE_NOT_FOUND
422 VALIDATION_ERROR</t>
        </is>
      </c>
      <c r="O72" s="2" t="inlineStr">
        <is>
          <t xml:space="preserve"/>
        </is>
      </c>
      <c r="P72" s="2" t="inlineStr">
        <is>
          <t xml:space="preserve">Chưa làm</t>
        </is>
      </c>
      <c r="Q72" s="2" t="inlineStr">
        <is>
          <t xml:space="preserve">Chưa</t>
        </is>
      </c>
      <c r="R72" s="2" t="inlineStr">
        <is>
          <t xml:space="preserve">Chưa</t>
        </is>
      </c>
      <c r="S72" s="2" t="inlineStr">
        <is>
          <t xml:space="preserve">Chưa</t>
        </is>
      </c>
      <c r="T72" s="2" t="inlineStr">
        <is>
          <t xml:space="preserve">Chưa</t>
        </is>
      </c>
      <c r="U72" s="2" t="inlineStr">
        <is>
          <t xml:space="preserve">Chưa</t>
        </is>
      </c>
      <c r="V72" s="2" t="inlineStr">
        <is>
          <t xml:space="preserve">Chưa</t>
        </is>
      </c>
      <c r="W72" s="2" t="inlineStr">
        <is>
          <t xml:space="preserve">Chưa</t>
        </is>
      </c>
      <c r="X72" s="2" t="inlineStr">
        <is>
          <t xml:space="preserve">Chưa</t>
        </is>
      </c>
      <c r="Y72" s="3">
        <f>COUNTIF(Q72:X72,"Xong")/8</f>
        <v>0</v>
      </c>
      <c r="Z72" s="4" t="inlineStr">
        <is>
          <t xml:space="preserve"/>
        </is>
      </c>
      <c r="AA72" s="4" t="inlineStr">
        <is>
          <t xml:space="preserve"/>
        </is>
      </c>
      <c r="AB72" s="4" t="inlineStr">
        <is>
          <t xml:space="preserve"/>
        </is>
      </c>
      <c r="AC72" s="2" t="inlineStr">
        <is>
          <t xml:space="preserve"/>
        </is>
      </c>
      <c r="AD72" s="2" t="inlineStr">
        <is>
          <t xml:space="preserve">Happy path: Lời mời đến/đã gửi và bộ đếm; kiểm tra {items:RoommateRequest[],counts:{incoming,outgoing}}.
Thiếu phiên/phiên revoked/actor LOCKED và actor khác chủ hoặc khác participant phải bị chặn.
Ràng buộc: Không tự mời mình; UNIQUE cặp đã chuẩn hóa chặn hai chiều khi còn PENDING hoặc ACCEPTED chưa kết thúc.
Phân trang/lọc đúng scope; dữ liệu riêng tư bị loại trên server, không chỉ ẩn UI.
Kiểm tra lỗi DB/provider không để lại cập nhật dở hoặc trả thành công giả.</t>
        </is>
      </c>
      <c r="AE72" s="2" t="inlineStr">
        <is>
          <t xml:space="preserve"/>
        </is>
      </c>
      <c r="AF72" s="5" t="inlineStr">
        <is>
          <t xml:space="preserve">Mở đặc tả</t>
        </is>
      </c>
    </row>
    <row r="73" ht="70" customHeight="1">
      <c r="A73" s="0" t="inlineStr">
        <is>
          <t xml:space="preserve">API-072</t>
        </is>
      </c>
      <c r="B73" s="0" t="inlineStr">
        <is>
          <t xml:space="preserve">Hồ sơ &amp; kết nối ở ghép</t>
        </is>
      </c>
      <c r="C73" s="0" t="inlineStr">
        <is>
          <t xml:space="preserve">roommate-invite</t>
        </is>
      </c>
      <c r="D73" s="0" t="inlineStr">
        <is>
          <t xml:space="preserve">POST</t>
        </is>
      </c>
      <c r="E73" s="0" t="inlineStr">
        <is>
          <t xml:space="preserve">/api/v1/roommate-requests</t>
        </is>
      </c>
      <c r="F73" s="0" t="inlineStr">
        <is>
          <t xml:space="preserve">Gửi lời mời kết nối</t>
        </is>
      </c>
      <c r="G73" s="0" t="inlineStr">
        <is>
          <t xml:space="preserve">TENANT: chỉ chính người thuê và tài nguyên được phép</t>
        </is>
      </c>
      <c r="H73" s="0" t="inlineStr">
        <is>
          <t xml:space="preserve">P1</t>
        </is>
      </c>
      <c r="I73" s="0" t="inlineStr">
        <is>
          <t xml:space="preserve">Middleware auth/session/role + object scope
D09: idempotency store nếu chưa có khóa tự nhiên</t>
        </is>
      </c>
      <c r="J73" s="0" t="inlineStr">
        <is>
          <t xml:space="preserve">SERVICE: cần triển khai giao dịch backend</t>
        </is>
      </c>
      <c r="K73" s="0" t="inlineStr">
        <is>
          <t xml:space="preserve">receiverId: id (bắt buộc) — TENANT ACTIVE khác actor.
scenario: enum (bắt buộc) — SEARCH_TOGETHER/JOIN_EXTERNAL_HOME/JOIN_SYSTEM_ROOM.
targetContractId: id (tùy chọn) — Bắt buộc chỉ JOIN_SYSTEM_ROOM, đúng ngữ cảnh đại diện.
message: string (tùy chọn) — ≤2.000 ký tự.</t>
        </is>
      </c>
      <c r="L73" s="0" t="inlineStr">
        <is>
          <t xml:space="preserve">RoommateRequest {id,status:PENDING}</t>
        </is>
      </c>
      <c r="M73" s="0" t="inlineStr">
        <is>
          <t xml:space="preserve">Người gửi có profile; unique cặp chuẩn hóa chống cả hai chiều PENDING/ACCEPTED chưa ended. Không tự accept lời mời ngược chiều.</t>
        </is>
      </c>
      <c r="N73" s="0" t="inlineStr">
        <is>
          <t xml:space="preserve">400 BAD_REQUEST
401 UNAUTHENTICATED
403 FORBIDDEN
404 RESOURCE_NOT_FOUND
409 STATE_CONFLICT
409 IDEMPOTENCY_KEY_REUSED
422 VALIDATION_ERROR
409 OPEN_PAIR_EXISTS
422 PROFILE_REQUIRED
409 CONNECTION_ENDED</t>
        </is>
      </c>
      <c r="O73" s="0" t="inlineStr">
        <is>
          <t xml:space="preserve"/>
        </is>
      </c>
      <c r="P73" s="0" t="inlineStr">
        <is>
          <t xml:space="preserve">Chưa làm</t>
        </is>
      </c>
      <c r="Q73" s="0" t="inlineStr">
        <is>
          <t xml:space="preserve">Chưa</t>
        </is>
      </c>
      <c r="R73" s="0" t="inlineStr">
        <is>
          <t xml:space="preserve">Chưa</t>
        </is>
      </c>
      <c r="S73" s="0" t="inlineStr">
        <is>
          <t xml:space="preserve">Chưa</t>
        </is>
      </c>
      <c r="T73" s="0" t="inlineStr">
        <is>
          <t xml:space="preserve">Chưa</t>
        </is>
      </c>
      <c r="U73" s="0" t="inlineStr">
        <is>
          <t xml:space="preserve">Chưa</t>
        </is>
      </c>
      <c r="V73" s="0" t="inlineStr">
        <is>
          <t xml:space="preserve">Chưa</t>
        </is>
      </c>
      <c r="W73" s="0" t="inlineStr">
        <is>
          <t xml:space="preserve">Chưa</t>
        </is>
      </c>
      <c r="X73" s="0" t="inlineStr">
        <is>
          <t xml:space="preserve">Chưa</t>
        </is>
      </c>
      <c r="Y73" s="3">
        <f>COUNTIF(Q73:X73,"Xong")/8</f>
        <v>0</v>
      </c>
      <c r="Z73" s="4" t="inlineStr">
        <is>
          <t xml:space="preserve"/>
        </is>
      </c>
      <c r="AA73" s="4" t="inlineStr">
        <is>
          <t xml:space="preserve"/>
        </is>
      </c>
      <c r="AB73" s="4" t="inlineStr">
        <is>
          <t xml:space="preserve"/>
        </is>
      </c>
      <c r="AC73" s="0" t="inlineStr">
        <is>
          <t xml:space="preserve"/>
        </is>
      </c>
      <c r="AD73" s="0" t="inlineStr">
        <is>
          <t xml:space="preserve">Happy path: Gửi lời mời kết nối; kiểm tra RoommateRequest {id,status:PENDING}.
Thiếu phiên/phiên revoked/actor LOCKED và actor khác chủ hoặc khác participant phải bị chặn.
Ràng buộc: Không tự mời mình; UNIQUE cặp đã chuẩn hóa chặn hai chiều khi còn PENDING hoặc ACCEPTED chưa kết thúc.
Gửi lặp cùng khóa trả kết quả cũ; cùng khóa khác payload trả 409; hai request tranh cùng tài nguyên không vượt hạn mức.
Kiểm tra lỗi DB/provider không để lại cập nhật dở hoặc trả thành công giả.</t>
        </is>
      </c>
      <c r="AE73" s="0" t="inlineStr">
        <is>
          <t xml:space="preserve"/>
        </is>
      </c>
      <c r="AF73" s="5" t="inlineStr">
        <is>
          <t xml:space="preserve">Mở đặc tả</t>
        </is>
      </c>
    </row>
    <row r="74" ht="70" customHeight="1">
      <c r="A74" s="2" t="inlineStr">
        <is>
          <t xml:space="preserve">API-073</t>
        </is>
      </c>
      <c r="B74" s="2" t="inlineStr">
        <is>
          <t xml:space="preserve">Hồ sơ &amp; kết nối ở ghép</t>
        </is>
      </c>
      <c r="C74" s="2" t="inlineStr">
        <is>
          <t xml:space="preserve">roommate-invite</t>
        </is>
      </c>
      <c r="D74" s="2" t="inlineStr">
        <is>
          <t xml:space="preserve">POST</t>
        </is>
      </c>
      <c r="E74" s="2" t="inlineStr">
        <is>
          <t xml:space="preserve">/api/v1/roommate-requests/{requestId}/response</t>
        </is>
      </c>
      <c r="F74" s="2" t="inlineStr">
        <is>
          <t xml:space="preserve">Người nhận chấp nhận/từ chối kết nối</t>
        </is>
      </c>
      <c r="G74" s="2" t="inlineStr">
        <is>
          <t xml:space="preserve">TENANT: chỉ chính người thuê và tài nguyên được phép</t>
        </is>
      </c>
      <c r="H74" s="2" t="inlineStr">
        <is>
          <t xml:space="preserve">P1</t>
        </is>
      </c>
      <c r="I74" s="2" t="inlineStr">
        <is>
          <t xml:space="preserve">Middleware auth/session/role + object scope
D09: idempotency store nếu chưa có khóa tự nhiên</t>
        </is>
      </c>
      <c r="J74" s="2" t="inlineStr">
        <is>
          <t xml:space="preserve">SERVICE: cần triển khai giao dịch backend</t>
        </is>
      </c>
      <c r="K74" s="2" t="inlineStr">
        <is>
          <t xml:space="preserve">decision: enum (bắt buộc) — ACCEPT / REJECT.</t>
        </is>
      </c>
      <c r="L74" s="2" t="inlineStr">
        <is>
          <t xml:space="preserve">RoommateRequest và conversationId|null</t>
        </is>
      </c>
      <c r="M74" s="2" t="inlineStr">
        <is>
          <t xml:space="preserve">Chỉ receiver, PENDING; ACCEPT tạo/lấy ROOMMATE và đúng hai participant trong transaction, không tạo join request/giữ chỗ. Lời mời cũ không bắt buộc có profile mới.</t>
        </is>
      </c>
      <c r="N74" s="2" t="inlineStr">
        <is>
          <t xml:space="preserve">400 BAD_REQUEST
401 UNAUTHENTICATED
403 FORBIDDEN
404 RESOURCE_NOT_FOUND
409 STATE_CONFLICT
409 IDEMPOTENCY_KEY_REUSED
422 VALIDATION_ERROR
409 OPEN_PAIR_EXISTS
422 PROFILE_REQUIRED
409 CONNECTION_ENDED</t>
        </is>
      </c>
      <c r="O74" s="2" t="inlineStr">
        <is>
          <t xml:space="preserve"/>
        </is>
      </c>
      <c r="P74" s="2" t="inlineStr">
        <is>
          <t xml:space="preserve">Chưa làm</t>
        </is>
      </c>
      <c r="Q74" s="2" t="inlineStr">
        <is>
          <t xml:space="preserve">Chưa</t>
        </is>
      </c>
      <c r="R74" s="2" t="inlineStr">
        <is>
          <t xml:space="preserve">Chưa</t>
        </is>
      </c>
      <c r="S74" s="2" t="inlineStr">
        <is>
          <t xml:space="preserve">Chưa</t>
        </is>
      </c>
      <c r="T74" s="2" t="inlineStr">
        <is>
          <t xml:space="preserve">Chưa</t>
        </is>
      </c>
      <c r="U74" s="2" t="inlineStr">
        <is>
          <t xml:space="preserve">Chưa</t>
        </is>
      </c>
      <c r="V74" s="2" t="inlineStr">
        <is>
          <t xml:space="preserve">Chưa</t>
        </is>
      </c>
      <c r="W74" s="2" t="inlineStr">
        <is>
          <t xml:space="preserve">Chưa</t>
        </is>
      </c>
      <c r="X74" s="2" t="inlineStr">
        <is>
          <t xml:space="preserve">Chưa</t>
        </is>
      </c>
      <c r="Y74" s="3">
        <f>COUNTIF(Q74:X74,"Xong")/8</f>
        <v>0</v>
      </c>
      <c r="Z74" s="4" t="inlineStr">
        <is>
          <t xml:space="preserve"/>
        </is>
      </c>
      <c r="AA74" s="4" t="inlineStr">
        <is>
          <t xml:space="preserve"/>
        </is>
      </c>
      <c r="AB74" s="4" t="inlineStr">
        <is>
          <t xml:space="preserve"/>
        </is>
      </c>
      <c r="AC74" s="2" t="inlineStr">
        <is>
          <t xml:space="preserve"/>
        </is>
      </c>
      <c r="AD74" s="2" t="inlineStr">
        <is>
          <t xml:space="preserve">Happy path: Người nhận chấp nhận/từ chối kết nối; kiểm tra RoommateRequest và conversationId|null.
Thiếu phiên/phiên revoked/actor LOCKED và actor khác chủ hoặc khác participant phải bị chặn.
Ràng buộc: Không tự mời mình; UNIQUE cặp đã chuẩn hóa chặn hai chiều khi còn PENDING hoặc ACCEPTED chưa kết thúc.
Gửi lặp cùng khóa trả kết quả cũ; cùng khóa khác payload trả 409; hai request tranh cùng tài nguyên không vượt hạn mức.
Kiểm tra lỗi DB/provider không để lại cập nhật dở hoặc trả thành công giả.</t>
        </is>
      </c>
      <c r="AE74" s="2" t="inlineStr">
        <is>
          <t xml:space="preserve"/>
        </is>
      </c>
      <c r="AF74" s="5" t="inlineStr">
        <is>
          <t xml:space="preserve">Mở đặc tả</t>
        </is>
      </c>
    </row>
    <row r="75" ht="70" customHeight="1">
      <c r="A75" s="0" t="inlineStr">
        <is>
          <t xml:space="preserve">API-074</t>
        </is>
      </c>
      <c r="B75" s="0" t="inlineStr">
        <is>
          <t xml:space="preserve">Hồ sơ &amp; kết nối ở ghép</t>
        </is>
      </c>
      <c r="C75" s="0" t="inlineStr">
        <is>
          <t xml:space="preserve">roommate-invite</t>
        </is>
      </c>
      <c r="D75" s="0" t="inlineStr">
        <is>
          <t xml:space="preserve">POST</t>
        </is>
      </c>
      <c r="E75" s="0" t="inlineStr">
        <is>
          <t xml:space="preserve">/api/v1/roommate-requests/{requestId}/cancel</t>
        </is>
      </c>
      <c r="F75" s="0" t="inlineStr">
        <is>
          <t xml:space="preserve">Người gửi hủy lời mời chờ</t>
        </is>
      </c>
      <c r="G75" s="0" t="inlineStr">
        <is>
          <t xml:space="preserve">TENANT: chỉ chính người thuê và tài nguyên được phép</t>
        </is>
      </c>
      <c r="H75" s="0" t="inlineStr">
        <is>
          <t xml:space="preserve">P1</t>
        </is>
      </c>
      <c r="I75" s="0" t="inlineStr">
        <is>
          <t xml:space="preserve">Middleware auth/session/role + object scope
D09: idempotency store nếu chưa có khóa tự nhiên</t>
        </is>
      </c>
      <c r="J75" s="0" t="inlineStr">
        <is>
          <t xml:space="preserve">SERVICE: cần triển khai giao dịch backend</t>
        </is>
      </c>
      <c r="K75" s="0" t="inlineStr">
        <is>
          <t xml:space="preserve">reason: string (bắt buộc) — Không chỉ khoảng trắng; tối đa 1.000 ký tự.</t>
        </is>
      </c>
      <c r="L75" s="0" t="inlineStr">
        <is>
          <t xml:space="preserve">RoommateRequest {id,status:CANCELLED}</t>
        </is>
      </c>
      <c r="M75" s="0" t="inlineStr">
        <is>
          <t xml:space="preserve">Chỉ sender và PENDING; giữ dữ liệu, không đổi ACCEPTED.</t>
        </is>
      </c>
      <c r="N75" s="0" t="inlineStr">
        <is>
          <t xml:space="preserve">400 BAD_REQUEST
401 UNAUTHENTICATED
403 FORBIDDEN
404 RESOURCE_NOT_FOUND
409 STATE_CONFLICT
409 IDEMPOTENCY_KEY_REUSED
422 VALIDATION_ERROR
409 OPEN_PAIR_EXISTS
422 PROFILE_REQUIRED
409 CONNECTION_ENDED</t>
        </is>
      </c>
      <c r="O75" s="0" t="inlineStr">
        <is>
          <t xml:space="preserve"/>
        </is>
      </c>
      <c r="P75" s="0" t="inlineStr">
        <is>
          <t xml:space="preserve">Chưa làm</t>
        </is>
      </c>
      <c r="Q75" s="0" t="inlineStr">
        <is>
          <t xml:space="preserve">Chưa</t>
        </is>
      </c>
      <c r="R75" s="0" t="inlineStr">
        <is>
          <t xml:space="preserve">Chưa</t>
        </is>
      </c>
      <c r="S75" s="0" t="inlineStr">
        <is>
          <t xml:space="preserve">Chưa</t>
        </is>
      </c>
      <c r="T75" s="0" t="inlineStr">
        <is>
          <t xml:space="preserve">Chưa</t>
        </is>
      </c>
      <c r="U75" s="0" t="inlineStr">
        <is>
          <t xml:space="preserve">Chưa</t>
        </is>
      </c>
      <c r="V75" s="0" t="inlineStr">
        <is>
          <t xml:space="preserve">Chưa</t>
        </is>
      </c>
      <c r="W75" s="0" t="inlineStr">
        <is>
          <t xml:space="preserve">Chưa</t>
        </is>
      </c>
      <c r="X75" s="0" t="inlineStr">
        <is>
          <t xml:space="preserve">Chưa</t>
        </is>
      </c>
      <c r="Y75" s="3">
        <f>COUNTIF(Q75:X75,"Xong")/8</f>
        <v>0</v>
      </c>
      <c r="Z75" s="4" t="inlineStr">
        <is>
          <t xml:space="preserve"/>
        </is>
      </c>
      <c r="AA75" s="4" t="inlineStr">
        <is>
          <t xml:space="preserve"/>
        </is>
      </c>
      <c r="AB75" s="4" t="inlineStr">
        <is>
          <t xml:space="preserve"/>
        </is>
      </c>
      <c r="AC75" s="0" t="inlineStr">
        <is>
          <t xml:space="preserve"/>
        </is>
      </c>
      <c r="AD75" s="0" t="inlineStr">
        <is>
          <t xml:space="preserve">Happy path: Người gửi hủy lời mời chờ; kiểm tra RoommateRequest {id,status:CANCELLED}.
Thiếu phiên/phiên revoked/actor LOCKED và actor khác chủ hoặc khác participant phải bị chặn.
Ràng buộc: Không tự mời mình; UNIQUE cặp đã chuẩn hóa chặn hai chiều khi còn PENDING hoặc ACCEPTED chưa kết thúc.
Gửi lặp cùng khóa trả kết quả cũ; cùng khóa khác payload trả 409; hai request tranh cùng tài nguyên không vượt hạn mức.
Kiểm tra lỗi DB/provider không để lại cập nhật dở hoặc trả thành công giả.</t>
        </is>
      </c>
      <c r="AE75" s="0" t="inlineStr">
        <is>
          <t xml:space="preserve"/>
        </is>
      </c>
      <c r="AF75" s="5" t="inlineStr">
        <is>
          <t xml:space="preserve">Mở đặc tả</t>
        </is>
      </c>
    </row>
    <row r="76" ht="70" customHeight="1">
      <c r="A76" s="2" t="inlineStr">
        <is>
          <t xml:space="preserve">API-075</t>
        </is>
      </c>
      <c r="B76" s="2" t="inlineStr">
        <is>
          <t xml:space="preserve">Hồ sơ &amp; kết nối ở ghép</t>
        </is>
      </c>
      <c r="C76" s="2" t="inlineStr">
        <is>
          <t xml:space="preserve">roommate-invite</t>
        </is>
      </c>
      <c r="D76" s="2" t="inlineStr">
        <is>
          <t xml:space="preserve">POST</t>
        </is>
      </c>
      <c r="E76" s="2" t="inlineStr">
        <is>
          <t xml:space="preserve">/api/v1/roommate-requests/{requestId}/end</t>
        </is>
      </c>
      <c r="F76" s="2" t="inlineStr">
        <is>
          <t xml:space="preserve">Kết thúc kết nối đã nhận</t>
        </is>
      </c>
      <c r="G76" s="2" t="inlineStr">
        <is>
          <t xml:space="preserve">TENANT: chỉ chính người thuê và tài nguyên được phép</t>
        </is>
      </c>
      <c r="H76" s="2" t="inlineStr">
        <is>
          <t xml:space="preserve">P1</t>
        </is>
      </c>
      <c r="I76" s="2" t="inlineStr">
        <is>
          <t xml:space="preserve">Middleware auth/session/role + object scope
D09: idempotency store nếu chưa có khóa tự nhiên
D03</t>
        </is>
      </c>
      <c r="J76" s="2" t="inlineStr">
        <is>
          <t xml:space="preserve">SERVICE: cần triển khai giao dịch backend</t>
        </is>
      </c>
      <c r="K76" s="2" t="inlineStr">
        <is>
          <t xml:space="preserve">reason: string (bắt buộc) — Không chỉ khoảng trắng; tối đa 1.000 ký tự.</t>
        </is>
      </c>
      <c r="L76" s="2" t="inlineStr">
        <is>
          <t xml:space="preserve">RoommateRequest {id,status:ACCEPTED,endedAt,endReason}</t>
        </is>
      </c>
      <c r="M76" s="2" t="inlineStr">
        <is>
          <t xml:space="preserve">Một trong hai bên, ACCEPTED chưa ended; khóa kết nối, ghi ended_at; chặn gửi mới. Chính sách đọc chat cũ cần chốt D03.</t>
        </is>
      </c>
      <c r="N76" s="2" t="inlineStr">
        <is>
          <t xml:space="preserve">400 BAD_REQUEST
401 UNAUTHENTICATED
403 FORBIDDEN
404 RESOURCE_NOT_FOUND
409 STATE_CONFLICT
409 IDEMPOTENCY_KEY_REUSED
422 VALIDATION_ERROR
409 OPEN_PAIR_EXISTS
422 PROFILE_REQUIRED
409 CONNECTION_ENDED</t>
        </is>
      </c>
      <c r="O76" s="2" t="inlineStr">
        <is>
          <t xml:space="preserve"/>
        </is>
      </c>
      <c r="P76" s="2" t="inlineStr">
        <is>
          <t xml:space="preserve">Chưa làm</t>
        </is>
      </c>
      <c r="Q76" s="2" t="inlineStr">
        <is>
          <t xml:space="preserve">Chưa</t>
        </is>
      </c>
      <c r="R76" s="2" t="inlineStr">
        <is>
          <t xml:space="preserve">Chưa</t>
        </is>
      </c>
      <c r="S76" s="2" t="inlineStr">
        <is>
          <t xml:space="preserve">Chưa</t>
        </is>
      </c>
      <c r="T76" s="2" t="inlineStr">
        <is>
          <t xml:space="preserve">Chưa</t>
        </is>
      </c>
      <c r="U76" s="2" t="inlineStr">
        <is>
          <t xml:space="preserve">Chưa</t>
        </is>
      </c>
      <c r="V76" s="2" t="inlineStr">
        <is>
          <t xml:space="preserve">Chưa</t>
        </is>
      </c>
      <c r="W76" s="2" t="inlineStr">
        <is>
          <t xml:space="preserve">Chưa</t>
        </is>
      </c>
      <c r="X76" s="2" t="inlineStr">
        <is>
          <t xml:space="preserve">Chưa</t>
        </is>
      </c>
      <c r="Y76" s="3">
        <f>COUNTIF(Q76:X76,"Xong")/8</f>
        <v>0</v>
      </c>
      <c r="Z76" s="4" t="inlineStr">
        <is>
          <t xml:space="preserve"/>
        </is>
      </c>
      <c r="AA76" s="4" t="inlineStr">
        <is>
          <t xml:space="preserve"/>
        </is>
      </c>
      <c r="AB76" s="4" t="inlineStr">
        <is>
          <t xml:space="preserve"/>
        </is>
      </c>
      <c r="AC76" s="2" t="inlineStr">
        <is>
          <t xml:space="preserve"/>
        </is>
      </c>
      <c r="AD76" s="2" t="inlineStr">
        <is>
          <t xml:space="preserve">Happy path: Kết thúc kết nối đã nhận; kiểm tra RoommateRequest {id,status:ACCEPTED,endedAt,endReason}.
Thiếu phiên/phiên revoked/actor LOCKED và actor khác chủ hoặc khác participant phải bị chặn.
Ràng buộc: Không tự mời mình; UNIQUE cặp đã chuẩn hóa chặn hai chiều khi còn PENDING hoặc ACCEPTED chưa kết thúc.
Gửi lặp cùng khóa trả kết quả cũ; cùng khóa khác payload trả 409; hai request tranh cùng tài nguyên không vượt hạn mức.
Kiểm tra lỗi DB/provider không để lại cập nhật dở hoặc trả thành công giả.</t>
        </is>
      </c>
      <c r="AE76" s="2" t="inlineStr">
        <is>
          <t xml:space="preserve"/>
        </is>
      </c>
      <c r="AF76" s="5" t="inlineStr">
        <is>
          <t xml:space="preserve">Mở đặc tả</t>
        </is>
      </c>
    </row>
    <row r="77" ht="70" customHeight="1">
      <c r="A77" s="0" t="inlineStr">
        <is>
          <t xml:space="preserve">API-076</t>
        </is>
      </c>
      <c r="B77" s="0" t="inlineStr">
        <is>
          <t xml:space="preserve">Tin nhắn &amp; thông báo</t>
        </is>
      </c>
      <c r="C77" s="0" t="inlineStr">
        <is>
          <t xml:space="preserve">room-chat</t>
        </is>
      </c>
      <c r="D77" s="0" t="inlineStr">
        <is>
          <t xml:space="preserve">POST</t>
        </is>
      </c>
      <c r="E77" s="0" t="inlineStr">
        <is>
          <t xml:space="preserve">/api/v1/conversations/room-inquiries</t>
        </is>
      </c>
      <c r="F77" s="0" t="inlineStr">
        <is>
          <t xml:space="preserve">Mở/lấy hội thoại hỏi đúng bài</t>
        </is>
      </c>
      <c r="G77" s="0" t="inlineStr">
        <is>
          <t xml:space="preserve">TENANT: chỉ chính người thuê và tài nguyên được phép</t>
        </is>
      </c>
      <c r="H77" s="0" t="inlineStr">
        <is>
          <t xml:space="preserve">P1</t>
        </is>
      </c>
      <c r="I77" s="0" t="inlineStr">
        <is>
          <t xml:space="preserve">Middleware auth/session/role + object scope
D09: idempotency store nếu chưa có khóa tự nhiên
D08</t>
        </is>
      </c>
      <c r="J77" s="0" t="inlineStr">
        <is>
          <t xml:space="preserve">SERVICE: cần triển khai giao dịch backend</t>
        </is>
      </c>
      <c r="K77" s="0" t="inlineStr">
        <is>
          <t xml:space="preserve">postId: id (bắt buộc) — Tin công khai có quyền hiện tại.</t>
        </is>
      </c>
      <c r="L77" s="0" t="inlineStr">
        <is>
          <t xml:space="preserve">Conversation {id,type:ROOM_INQUIRY,postId,roomId,participants}</t>
        </is>
      </c>
      <c r="M77" s="0" t="inlineStr">
        <is>
          <t xml:space="preserve">Backend tra room/landlord từ post, không tin client chọn chủ. SQL không có unique cho cặp hỏi phòng: cần khóa/unique migration hoặc kho idempotency khi get-or-create đồng thời.</t>
        </is>
      </c>
      <c r="N77" s="0" t="inlineStr">
        <is>
          <t xml:space="preserve">400 BAD_REQUEST
401 UNAUTHENTICATED
403 FORBIDDEN
404 RESOURCE_NOT_FOUND
409 STATE_CONFLICT
409 IDEMPOTENCY_KEY_REUSED
422 VALIDATION_ERROR
403 NOT_A_PARTICIPANT
422 MESSAGE_OR_CONTEXT_INVALID</t>
        </is>
      </c>
      <c r="O77" s="0" t="inlineStr">
        <is>
          <t xml:space="preserve"/>
        </is>
      </c>
      <c r="P77" s="0" t="inlineStr">
        <is>
          <t xml:space="preserve">Chưa làm</t>
        </is>
      </c>
      <c r="Q77" s="0" t="inlineStr">
        <is>
          <t xml:space="preserve">Chưa</t>
        </is>
      </c>
      <c r="R77" s="0" t="inlineStr">
        <is>
          <t xml:space="preserve">Chưa</t>
        </is>
      </c>
      <c r="S77" s="0" t="inlineStr">
        <is>
          <t xml:space="preserve">Chưa</t>
        </is>
      </c>
      <c r="T77" s="0" t="inlineStr">
        <is>
          <t xml:space="preserve">Chưa</t>
        </is>
      </c>
      <c r="U77" s="0" t="inlineStr">
        <is>
          <t xml:space="preserve">Chưa</t>
        </is>
      </c>
      <c r="V77" s="0" t="inlineStr">
        <is>
          <t xml:space="preserve">Chưa</t>
        </is>
      </c>
      <c r="W77" s="0" t="inlineStr">
        <is>
          <t xml:space="preserve">Chưa</t>
        </is>
      </c>
      <c r="X77" s="0" t="inlineStr">
        <is>
          <t xml:space="preserve">Chưa</t>
        </is>
      </c>
      <c r="Y77" s="3">
        <f>COUNTIF(Q77:X77,"Xong")/8</f>
        <v>0</v>
      </c>
      <c r="Z77" s="4" t="inlineStr">
        <is>
          <t xml:space="preserve"/>
        </is>
      </c>
      <c r="AA77" s="4" t="inlineStr">
        <is>
          <t xml:space="preserve"/>
        </is>
      </c>
      <c r="AB77" s="4" t="inlineStr">
        <is>
          <t xml:space="preserve"/>
        </is>
      </c>
      <c r="AC77" s="0" t="inlineStr">
        <is>
          <t xml:space="preserve"/>
        </is>
      </c>
      <c r="AD77" s="0" t="inlineStr">
        <is>
          <t xml:space="preserve">Happy path: Mở/lấy hội thoại hỏi đúng bài; kiểm tra Conversation {id,type:ROOM_INQUIRY,postId,roomId,participants}.
Thiếu phiên/phiên revoked/actor LOCKED và actor khác chủ hoặc khác participant phải bị chặn.
Ràng buộc: UNIQUE (sender_id,client_message_key) chống gửi trùng. Hội thoại ROOM_INQUIRY cần room_id và post_id đúng ngữ cảnh.
Gửi lặp cùng khóa trả kết quả cũ; cùng khóa khác payload trả 409; hai request tranh cùng tài nguyên không vượt hạn mức.
Kiểm tra lỗi DB/provider không để lại cập nhật dở hoặc trả thành công giả.</t>
        </is>
      </c>
      <c r="AE77" s="0" t="inlineStr">
        <is>
          <t xml:space="preserve"/>
        </is>
      </c>
      <c r="AF77" s="5" t="inlineStr">
        <is>
          <t xml:space="preserve">Mở đặc tả</t>
        </is>
      </c>
    </row>
    <row r="78" ht="70" customHeight="1">
      <c r="A78" s="2" t="inlineStr">
        <is>
          <t xml:space="preserve">API-077</t>
        </is>
      </c>
      <c r="B78" s="2" t="inlineStr">
        <is>
          <t xml:space="preserve">Tin nhắn &amp; thông báo</t>
        </is>
      </c>
      <c r="C78" s="2" t="inlineStr">
        <is>
          <t xml:space="preserve">room-chat</t>
        </is>
      </c>
      <c r="D78" s="2" t="inlineStr">
        <is>
          <t xml:space="preserve">GET</t>
        </is>
      </c>
      <c r="E78" s="2" t="inlineStr">
        <is>
          <t xml:space="preserve">/api/v1/conversations</t>
        </is>
      </c>
      <c r="F78" s="2" t="inlineStr">
        <is>
          <t xml:space="preserve">Hội thoại của tài khoản</t>
        </is>
      </c>
      <c r="G78" s="2" t="inlineStr">
        <is>
          <t xml:space="preserve">USER: tài khoản ACTIVE; chỉ dữ liệu của mình</t>
        </is>
      </c>
      <c r="H78" s="2" t="inlineStr">
        <is>
          <t xml:space="preserve">P1</t>
        </is>
      </c>
      <c r="I78" s="2" t="inlineStr">
        <is>
          <t xml:space="preserve">Middleware auth/session/role + object scope</t>
        </is>
      </c>
      <c r="J78" s="2" t="inlineStr">
        <is>
          <t xml:space="preserve">READ: truy vấn có scope quyền</t>
        </is>
      </c>
      <c r="K78" s="2" t="inlineStr">
        <is>
          <t xml:space="preserve">Không có JSON body</t>
        </is>
      </c>
      <c r="L78" s="2" t="inlineStr">
        <is>
          <t xml:space="preserve">Conversation[] hoặc nhóm theo peer với contexts[]</t>
        </is>
      </c>
      <c r="M78" s="2" t="inlineStr">
        <is>
          <t xml:space="preserve">Chỉ participant chưa left/deleted; nhóm cùng cặp ở read model, vẫn giữ conversationId từng post/room khi gửi/hẹn. Không ghi một conversation nhiều room vào SQL v5.</t>
        </is>
      </c>
      <c r="N78" s="2" t="inlineStr">
        <is>
          <t xml:space="preserve">400 BAD_REQUEST
401 UNAUTHENTICATED
403 FORBIDDEN
404 RESOURCE_NOT_FOUND
422 VALIDATION_ERROR</t>
        </is>
      </c>
      <c r="O78" s="2" t="inlineStr">
        <is>
          <t xml:space="preserve"/>
        </is>
      </c>
      <c r="P78" s="2" t="inlineStr">
        <is>
          <t xml:space="preserve">Chưa làm</t>
        </is>
      </c>
      <c r="Q78" s="2" t="inlineStr">
        <is>
          <t xml:space="preserve">Chưa</t>
        </is>
      </c>
      <c r="R78" s="2" t="inlineStr">
        <is>
          <t xml:space="preserve">Chưa</t>
        </is>
      </c>
      <c r="S78" s="2" t="inlineStr">
        <is>
          <t xml:space="preserve">Chưa</t>
        </is>
      </c>
      <c r="T78" s="2" t="inlineStr">
        <is>
          <t xml:space="preserve">Chưa</t>
        </is>
      </c>
      <c r="U78" s="2" t="inlineStr">
        <is>
          <t xml:space="preserve">Chưa</t>
        </is>
      </c>
      <c r="V78" s="2" t="inlineStr">
        <is>
          <t xml:space="preserve">Chưa</t>
        </is>
      </c>
      <c r="W78" s="2" t="inlineStr">
        <is>
          <t xml:space="preserve">Chưa</t>
        </is>
      </c>
      <c r="X78" s="2" t="inlineStr">
        <is>
          <t xml:space="preserve">Chưa</t>
        </is>
      </c>
      <c r="Y78" s="3">
        <f>COUNTIF(Q78:X78,"Xong")/8</f>
        <v>0</v>
      </c>
      <c r="Z78" s="4" t="inlineStr">
        <is>
          <t xml:space="preserve"/>
        </is>
      </c>
      <c r="AA78" s="4" t="inlineStr">
        <is>
          <t xml:space="preserve"/>
        </is>
      </c>
      <c r="AB78" s="4" t="inlineStr">
        <is>
          <t xml:space="preserve"/>
        </is>
      </c>
      <c r="AC78" s="2" t="inlineStr">
        <is>
          <t xml:space="preserve"/>
        </is>
      </c>
      <c r="AD78" s="2" t="inlineStr">
        <is>
          <t xml:space="preserve">Happy path: Hội thoại của tài khoản; kiểm tra Conversation[] hoặc nhóm theo peer với contexts[].
Thiếu phiên/phiên revoked/actor LOCKED và actor khác chủ hoặc khác participant phải bị chặn.
Ràng buộc: UNIQUE (sender_id,client_message_key) chống gửi trùng. Hội thoại ROOM_INQUIRY cần room_id và post_id đúng ngữ cảnh.
Phân trang/lọc đúng scope; dữ liệu riêng tư bị loại trên server, không chỉ ẩn UI.
Kiểm tra lỗi DB/provider không để lại cập nhật dở hoặc trả thành công giả.</t>
        </is>
      </c>
      <c r="AE78" s="2" t="inlineStr">
        <is>
          <t xml:space="preserve"/>
        </is>
      </c>
      <c r="AF78" s="5" t="inlineStr">
        <is>
          <t xml:space="preserve">Mở đặc tả</t>
        </is>
      </c>
    </row>
    <row r="79" ht="70" customHeight="1">
      <c r="A79" s="0" t="inlineStr">
        <is>
          <t xml:space="preserve">API-078</t>
        </is>
      </c>
      <c r="B79" s="0" t="inlineStr">
        <is>
          <t xml:space="preserve">Tin nhắn &amp; thông báo</t>
        </is>
      </c>
      <c r="C79" s="0" t="inlineStr">
        <is>
          <t xml:space="preserve">room-chat</t>
        </is>
      </c>
      <c r="D79" s="0" t="inlineStr">
        <is>
          <t xml:space="preserve">GET</t>
        </is>
      </c>
      <c r="E79" s="0" t="inlineStr">
        <is>
          <t xml:space="preserve">/api/v1/conversations/{conversationId}</t>
        </is>
      </c>
      <c r="F79" s="0" t="inlineStr">
        <is>
          <t xml:space="preserve">Chi tiết hội thoại và thành viên</t>
        </is>
      </c>
      <c r="G79" s="0" t="inlineStr">
        <is>
          <t xml:space="preserve">USER: tài khoản ACTIVE; chỉ dữ liệu của mình</t>
        </is>
      </c>
      <c r="H79" s="0" t="inlineStr">
        <is>
          <t xml:space="preserve">P1</t>
        </is>
      </c>
      <c r="I79" s="0" t="inlineStr">
        <is>
          <t xml:space="preserve">Middleware auth/session/role + object scope</t>
        </is>
      </c>
      <c r="J79" s="0" t="inlineStr">
        <is>
          <t xml:space="preserve">READ: truy vấn có scope quyền</t>
        </is>
      </c>
      <c r="K79" s="0" t="inlineStr">
        <is>
          <t xml:space="preserve">Không có JSON body</t>
        </is>
      </c>
      <c r="L79" s="0" t="inlineStr">
        <is>
          <t xml:space="preserve">Conversation,participants,context,relationshipLabel</t>
        </is>
      </c>
      <c r="M79" s="0" t="inlineStr">
        <is>
          <t xml:space="preserve">Kiểm tra membership; ROOMMATE còn kết nối khi gửi; nhãn quan hệ tính theo context, không đổi role users.</t>
        </is>
      </c>
      <c r="N79" s="0" t="inlineStr">
        <is>
          <t xml:space="preserve">400 BAD_REQUEST
401 UNAUTHENTICATED
403 FORBIDDEN
404 RESOURCE_NOT_FOUND</t>
        </is>
      </c>
      <c r="O79" s="0" t="inlineStr">
        <is>
          <t xml:space="preserve"/>
        </is>
      </c>
      <c r="P79" s="0" t="inlineStr">
        <is>
          <t xml:space="preserve">Chưa làm</t>
        </is>
      </c>
      <c r="Q79" s="0" t="inlineStr">
        <is>
          <t xml:space="preserve">Chưa</t>
        </is>
      </c>
      <c r="R79" s="0" t="inlineStr">
        <is>
          <t xml:space="preserve">Chưa</t>
        </is>
      </c>
      <c r="S79" s="0" t="inlineStr">
        <is>
          <t xml:space="preserve">Chưa</t>
        </is>
      </c>
      <c r="T79" s="0" t="inlineStr">
        <is>
          <t xml:space="preserve">Chưa</t>
        </is>
      </c>
      <c r="U79" s="0" t="inlineStr">
        <is>
          <t xml:space="preserve">Chưa</t>
        </is>
      </c>
      <c r="V79" s="0" t="inlineStr">
        <is>
          <t xml:space="preserve">Chưa</t>
        </is>
      </c>
      <c r="W79" s="0" t="inlineStr">
        <is>
          <t xml:space="preserve">Chưa</t>
        </is>
      </c>
      <c r="X79" s="0" t="inlineStr">
        <is>
          <t xml:space="preserve">Chưa</t>
        </is>
      </c>
      <c r="Y79" s="3">
        <f>COUNTIF(Q79:X79,"Xong")/8</f>
        <v>0</v>
      </c>
      <c r="Z79" s="4" t="inlineStr">
        <is>
          <t xml:space="preserve"/>
        </is>
      </c>
      <c r="AA79" s="4" t="inlineStr">
        <is>
          <t xml:space="preserve"/>
        </is>
      </c>
      <c r="AB79" s="4" t="inlineStr">
        <is>
          <t xml:space="preserve"/>
        </is>
      </c>
      <c r="AC79" s="0" t="inlineStr">
        <is>
          <t xml:space="preserve"/>
        </is>
      </c>
      <c r="AD79" s="0" t="inlineStr">
        <is>
          <t xml:space="preserve">Happy path: Chi tiết hội thoại và thành viên; kiểm tra Conversation,participants,context,relationshipLabel.
Thiếu phiên/phiên revoked/actor LOCKED và actor khác chủ hoặc khác participant phải bị chặn.
Ràng buộc: UNIQUE (sender_id,client_message_key) chống gửi trùng. Hội thoại ROOM_INQUIRY cần room_id và post_id đúng ngữ cảnh.
Phân trang/lọc đúng scope; dữ liệu riêng tư bị loại trên server, không chỉ ẩn UI.
Kiểm tra lỗi DB/provider không để lại cập nhật dở hoặc trả thành công giả.</t>
        </is>
      </c>
      <c r="AE79" s="0" t="inlineStr">
        <is>
          <t xml:space="preserve"/>
        </is>
      </c>
      <c r="AF79" s="5" t="inlineStr">
        <is>
          <t xml:space="preserve">Mở đặc tả</t>
        </is>
      </c>
    </row>
    <row r="80" ht="70" customHeight="1">
      <c r="A80" s="2" t="inlineStr">
        <is>
          <t xml:space="preserve">API-079</t>
        </is>
      </c>
      <c r="B80" s="2" t="inlineStr">
        <is>
          <t xml:space="preserve">Tin nhắn &amp; thông báo</t>
        </is>
      </c>
      <c r="C80" s="2" t="inlineStr">
        <is>
          <t xml:space="preserve">room-chat</t>
        </is>
      </c>
      <c r="D80" s="2" t="inlineStr">
        <is>
          <t xml:space="preserve">GET</t>
        </is>
      </c>
      <c r="E80" s="2" t="inlineStr">
        <is>
          <t xml:space="preserve">/api/v1/conversations/{conversationId}/messages</t>
        </is>
      </c>
      <c r="F80" s="2" t="inlineStr">
        <is>
          <t xml:space="preserve">Lịch sử tin và thẻ chia sẻ</t>
        </is>
      </c>
      <c r="G80" s="2" t="inlineStr">
        <is>
          <t xml:space="preserve">USER: tài khoản ACTIVE; chỉ dữ liệu của mình</t>
        </is>
      </c>
      <c r="H80" s="2" t="inlineStr">
        <is>
          <t xml:space="preserve">P1</t>
        </is>
      </c>
      <c r="I80" s="2" t="inlineStr">
        <is>
          <t xml:space="preserve">Middleware auth/session/role + object scope</t>
        </is>
      </c>
      <c r="J80" s="2" t="inlineStr">
        <is>
          <t xml:space="preserve">READ: truy vấn có scope quyền</t>
        </is>
      </c>
      <c r="K80" s="2" t="inlineStr">
        <is>
          <t xml:space="preserve">Không có JSON body</t>
        </is>
      </c>
      <c r="L80" s="2" t="inlineStr">
        <is>
          <t xml:space="preserve">Message[] {id,senderId,type,content,sentAt,sharedPost|null}</t>
        </is>
      </c>
      <c r="M80" s="2" t="inlineStr">
        <is>
          <t xml:space="preserve">Phân trang cursor theo sent_at,id; không lộ thẻ tin đã mất quyền, trả unavailable. Đọc quyền connection theo D03.</t>
        </is>
      </c>
      <c r="N80" s="2" t="inlineStr">
        <is>
          <t xml:space="preserve">400 BAD_REQUEST
401 UNAUTHENTICATED
403 FORBIDDEN
404 RESOURCE_NOT_FOUND
422 VALIDATION_ERROR</t>
        </is>
      </c>
      <c r="O80" s="2" t="inlineStr">
        <is>
          <t xml:space="preserve"/>
        </is>
      </c>
      <c r="P80" s="2" t="inlineStr">
        <is>
          <t xml:space="preserve">Chưa làm</t>
        </is>
      </c>
      <c r="Q80" s="2" t="inlineStr">
        <is>
          <t xml:space="preserve">Chưa</t>
        </is>
      </c>
      <c r="R80" s="2" t="inlineStr">
        <is>
          <t xml:space="preserve">Chưa</t>
        </is>
      </c>
      <c r="S80" s="2" t="inlineStr">
        <is>
          <t xml:space="preserve">Chưa</t>
        </is>
      </c>
      <c r="T80" s="2" t="inlineStr">
        <is>
          <t xml:space="preserve">Chưa</t>
        </is>
      </c>
      <c r="U80" s="2" t="inlineStr">
        <is>
          <t xml:space="preserve">Chưa</t>
        </is>
      </c>
      <c r="V80" s="2" t="inlineStr">
        <is>
          <t xml:space="preserve">Chưa</t>
        </is>
      </c>
      <c r="W80" s="2" t="inlineStr">
        <is>
          <t xml:space="preserve">Chưa</t>
        </is>
      </c>
      <c r="X80" s="2" t="inlineStr">
        <is>
          <t xml:space="preserve">Chưa</t>
        </is>
      </c>
      <c r="Y80" s="3">
        <f>COUNTIF(Q80:X80,"Xong")/8</f>
        <v>0</v>
      </c>
      <c r="Z80" s="4" t="inlineStr">
        <is>
          <t xml:space="preserve"/>
        </is>
      </c>
      <c r="AA80" s="4" t="inlineStr">
        <is>
          <t xml:space="preserve"/>
        </is>
      </c>
      <c r="AB80" s="4" t="inlineStr">
        <is>
          <t xml:space="preserve"/>
        </is>
      </c>
      <c r="AC80" s="2" t="inlineStr">
        <is>
          <t xml:space="preserve"/>
        </is>
      </c>
      <c r="AD80" s="2" t="inlineStr">
        <is>
          <t xml:space="preserve">Happy path: Lịch sử tin và thẻ chia sẻ; kiểm tra Message[] {id,senderId,type,content,sentAt,sharedPost|null}.
Thiếu phiên/phiên revoked/actor LOCKED và actor khác chủ hoặc khác participant phải bị chặn.
Ràng buộc: UNIQUE (sender_id,client_message_key) chống gửi trùng. Hội thoại ROOM_INQUIRY cần room_id và post_id đúng ngữ cảnh.
Phân trang/lọc đúng scope; dữ liệu riêng tư bị loại trên server, không chỉ ẩn UI.
Kiểm tra lỗi DB/provider không để lại cập nhật dở hoặc trả thành công giả.</t>
        </is>
      </c>
      <c r="AE80" s="2" t="inlineStr">
        <is>
          <t xml:space="preserve"/>
        </is>
      </c>
      <c r="AF80" s="5" t="inlineStr">
        <is>
          <t xml:space="preserve">Mở đặc tả</t>
        </is>
      </c>
    </row>
    <row r="81" ht="70" customHeight="1">
      <c r="A81" s="0" t="inlineStr">
        <is>
          <t xml:space="preserve">API-080</t>
        </is>
      </c>
      <c r="B81" s="0" t="inlineStr">
        <is>
          <t xml:space="preserve">Tin nhắn &amp; thông báo</t>
        </is>
      </c>
      <c r="C81" s="0" t="inlineStr">
        <is>
          <t xml:space="preserve">room-chat</t>
        </is>
      </c>
      <c r="D81" s="0" t="inlineStr">
        <is>
          <t xml:space="preserve">POST</t>
        </is>
      </c>
      <c r="E81" s="0" t="inlineStr">
        <is>
          <t xml:space="preserve">/api/v1/conversations/{conversationId}/messages</t>
        </is>
      </c>
      <c r="F81" s="0" t="inlineStr">
        <is>
          <t xml:space="preserve">Gửi tin nhắn chữ/ảnh</t>
        </is>
      </c>
      <c r="G81" s="0" t="inlineStr">
        <is>
          <t xml:space="preserve">USER: tài khoản ACTIVE; chỉ dữ liệu của mình</t>
        </is>
      </c>
      <c r="H81" s="0" t="inlineStr">
        <is>
          <t xml:space="preserve">P1</t>
        </is>
      </c>
      <c r="I81" s="0" t="inlineStr">
        <is>
          <t xml:space="preserve">Middleware auth/session/role + object scope
D09: idempotency store nếu chưa có khóa tự nhiên</t>
        </is>
      </c>
      <c r="J81" s="0" t="inlineStr">
        <is>
          <t xml:space="preserve">SERVICE: cần triển khai giao dịch backend</t>
        </is>
      </c>
      <c r="K81" s="0" t="inlineStr">
        <is>
          <t xml:space="preserve">clientMessageKey: uuid (bắt buộc) — Duy nhất theo sender, dùng lại khi retry.
type: enum (bắt buộc) — TEXT / IMAGE; SYSTEM chỉ server, POST_SHARE dùng route riêng.
content: string (tùy chọn) — TEXT bắt buộc trim không rỗng, tối đa 2.000 ký tự.
fileIds: id[] (tùy chọn) — IMAGE bắt buộc file CHAT_IMAGE ACTIVE PRIVATE thuộc mình.</t>
        </is>
      </c>
      <c r="L81" s="0" t="inlineStr">
        <is>
          <t xml:space="preserve">Message và eventId</t>
        </is>
      </c>
      <c r="M81" s="0" t="inlineStr">
        <is>
          <t xml:space="preserve">Khóa membership/kết nối; UNIQUE sender+clientMessageKey; ghi message, file context, last_message và notification cùng transaction. Realtime phát sau commit.</t>
        </is>
      </c>
      <c r="N81" s="0" t="inlineStr">
        <is>
          <t xml:space="preserve">400 BAD_REQUEST
401 UNAUTHENTICATED
403 FORBIDDEN
404 RESOURCE_NOT_FOUND
409 STATE_CONFLICT
409 IDEMPOTENCY_KEY_REUSED
422 VALIDATION_ERROR
403 NOT_A_PARTICIPANT
422 MESSAGE_OR_CONTEXT_INVALID</t>
        </is>
      </c>
      <c r="O81" s="0" t="inlineStr">
        <is>
          <t xml:space="preserve"/>
        </is>
      </c>
      <c r="P81" s="0" t="inlineStr">
        <is>
          <t xml:space="preserve">Chưa làm</t>
        </is>
      </c>
      <c r="Q81" s="0" t="inlineStr">
        <is>
          <t xml:space="preserve">Chưa</t>
        </is>
      </c>
      <c r="R81" s="0" t="inlineStr">
        <is>
          <t xml:space="preserve">Chưa</t>
        </is>
      </c>
      <c r="S81" s="0" t="inlineStr">
        <is>
          <t xml:space="preserve">Chưa</t>
        </is>
      </c>
      <c r="T81" s="0" t="inlineStr">
        <is>
          <t xml:space="preserve">Chưa</t>
        </is>
      </c>
      <c r="U81" s="0" t="inlineStr">
        <is>
          <t xml:space="preserve">Chưa</t>
        </is>
      </c>
      <c r="V81" s="0" t="inlineStr">
        <is>
          <t xml:space="preserve">Chưa</t>
        </is>
      </c>
      <c r="W81" s="0" t="inlineStr">
        <is>
          <t xml:space="preserve">Chưa</t>
        </is>
      </c>
      <c r="X81" s="0" t="inlineStr">
        <is>
          <t xml:space="preserve">Chưa</t>
        </is>
      </c>
      <c r="Y81" s="3">
        <f>COUNTIF(Q81:X81,"Xong")/8</f>
        <v>0</v>
      </c>
      <c r="Z81" s="4" t="inlineStr">
        <is>
          <t xml:space="preserve"/>
        </is>
      </c>
      <c r="AA81" s="4" t="inlineStr">
        <is>
          <t xml:space="preserve"/>
        </is>
      </c>
      <c r="AB81" s="4" t="inlineStr">
        <is>
          <t xml:space="preserve"/>
        </is>
      </c>
      <c r="AC81" s="0" t="inlineStr">
        <is>
          <t xml:space="preserve"/>
        </is>
      </c>
      <c r="AD81" s="0" t="inlineStr">
        <is>
          <t xml:space="preserve">Happy path: Gửi tin nhắn chữ/ảnh; kiểm tra Message và eventId.
Thiếu phiên/phiên revoked/actor LOCKED và actor khác chủ hoặc khác participant phải bị chặn.
Ràng buộc: UNIQUE (sender_id,client_message_key) chống gửi trùng. Hội thoại ROOM_INQUIRY cần room_id và post_id đúng ngữ cảnh.
Gửi lặp cùng khóa trả kết quả cũ; cùng khóa khác payload trả 409; hai request tranh cùng tài nguyên không vượt hạn mức.
Kiểm tra lỗi DB/provider không để lại cập nhật dở hoặc trả thành công giả.</t>
        </is>
      </c>
      <c r="AE81" s="0" t="inlineStr">
        <is>
          <t xml:space="preserve"/>
        </is>
      </c>
      <c r="AF81" s="5" t="inlineStr">
        <is>
          <t xml:space="preserve">Mở đặc tả</t>
        </is>
      </c>
    </row>
    <row r="82" ht="70" customHeight="1">
      <c r="A82" s="2" t="inlineStr">
        <is>
          <t xml:space="preserve">API-081</t>
        </is>
      </c>
      <c r="B82" s="2" t="inlineStr">
        <is>
          <t xml:space="preserve">Tin nhắn &amp; thông báo</t>
        </is>
      </c>
      <c r="C82" s="2" t="inlineStr">
        <is>
          <t xml:space="preserve">room-chat</t>
        </is>
      </c>
      <c r="D82" s="2" t="inlineStr">
        <is>
          <t xml:space="preserve">PUT</t>
        </is>
      </c>
      <c r="E82" s="2" t="inlineStr">
        <is>
          <t xml:space="preserve">/api/v1/conversations/{conversationId}/read-state</t>
        </is>
      </c>
      <c r="F82" s="2" t="inlineStr">
        <is>
          <t xml:space="preserve">Đánh dấu đã đọc đến tin xác định</t>
        </is>
      </c>
      <c r="G82" s="2" t="inlineStr">
        <is>
          <t xml:space="preserve">USER: tài khoản ACTIVE; chỉ dữ liệu của mình</t>
        </is>
      </c>
      <c r="H82" s="2" t="inlineStr">
        <is>
          <t xml:space="preserve">P1</t>
        </is>
      </c>
      <c r="I82" s="2" t="inlineStr">
        <is>
          <t xml:space="preserve">Middleware auth/session/role + object scope
D09: idempotency store nếu chưa có khóa tự nhiên</t>
        </is>
      </c>
      <c r="J82" s="2" t="inlineStr">
        <is>
          <t xml:space="preserve">SERVICE: cần triển khai giao dịch backend</t>
        </is>
      </c>
      <c r="K82" s="2" t="inlineStr">
        <is>
          <t xml:space="preserve">lastReadMessageId: id (bắt buộc) — Tin thuộc đúng conversation.</t>
        </is>
      </c>
      <c r="L82" s="2" t="inlineStr">
        <is>
          <t xml:space="preserve">{conversationId,lastReadAt,unreadCount}</t>
        </is>
      </c>
      <c r="M82" s="2" t="inlineStr">
        <is>
          <t xml:space="preserve">Server tra sent_at của message, cập nhật last_read_at tăng đơn điệu; không tin thời gian tùy ý từ client. Chỉ thông báo của actor.</t>
        </is>
      </c>
      <c r="N82" s="2" t="inlineStr">
        <is>
          <t xml:space="preserve">400 BAD_REQUEST
401 UNAUTHENTICATED
403 FORBIDDEN
404 RESOURCE_NOT_FOUND
409 STATE_CONFLICT
409 IDEMPOTENCY_KEY_REUSED
422 VALIDATION_ERROR
403 NOT_A_PARTICIPANT
422 MESSAGE_OR_CONTEXT_INVALID</t>
        </is>
      </c>
      <c r="O82" s="2" t="inlineStr">
        <is>
          <t xml:space="preserve"/>
        </is>
      </c>
      <c r="P82" s="2" t="inlineStr">
        <is>
          <t xml:space="preserve">Chưa làm</t>
        </is>
      </c>
      <c r="Q82" s="2" t="inlineStr">
        <is>
          <t xml:space="preserve">Chưa</t>
        </is>
      </c>
      <c r="R82" s="2" t="inlineStr">
        <is>
          <t xml:space="preserve">Chưa</t>
        </is>
      </c>
      <c r="S82" s="2" t="inlineStr">
        <is>
          <t xml:space="preserve">Chưa</t>
        </is>
      </c>
      <c r="T82" s="2" t="inlineStr">
        <is>
          <t xml:space="preserve">Chưa</t>
        </is>
      </c>
      <c r="U82" s="2" t="inlineStr">
        <is>
          <t xml:space="preserve">Chưa</t>
        </is>
      </c>
      <c r="V82" s="2" t="inlineStr">
        <is>
          <t xml:space="preserve">Chưa</t>
        </is>
      </c>
      <c r="W82" s="2" t="inlineStr">
        <is>
          <t xml:space="preserve">Chưa</t>
        </is>
      </c>
      <c r="X82" s="2" t="inlineStr">
        <is>
          <t xml:space="preserve">Chưa</t>
        </is>
      </c>
      <c r="Y82" s="3">
        <f>COUNTIF(Q82:X82,"Xong")/8</f>
        <v>0</v>
      </c>
      <c r="Z82" s="4" t="inlineStr">
        <is>
          <t xml:space="preserve"/>
        </is>
      </c>
      <c r="AA82" s="4" t="inlineStr">
        <is>
          <t xml:space="preserve"/>
        </is>
      </c>
      <c r="AB82" s="4" t="inlineStr">
        <is>
          <t xml:space="preserve"/>
        </is>
      </c>
      <c r="AC82" s="2" t="inlineStr">
        <is>
          <t xml:space="preserve"/>
        </is>
      </c>
      <c r="AD82" s="2" t="inlineStr">
        <is>
          <t xml:space="preserve">Happy path: Đánh dấu đã đọc đến tin xác định; kiểm tra {conversationId,lastReadAt,unreadCount}.
Thiếu phiên/phiên revoked/actor LOCKED và actor khác chủ hoặc khác participant phải bị chặn.
Ràng buộc: UNIQUE (sender_id,client_message_key) chống gửi trùng. Hội thoại ROOM_INQUIRY cần room_id và post_id đúng ngữ cảnh.
Gửi lặp cùng khóa trả kết quả cũ; cùng khóa khác payload trả 409; hai request tranh cùng tài nguyên không vượt hạn mức.
Kiểm tra lỗi DB/provider không để lại cập nhật dở hoặc trả thành công giả.</t>
        </is>
      </c>
      <c r="AE82" s="2" t="inlineStr">
        <is>
          <t xml:space="preserve"/>
        </is>
      </c>
      <c r="AF82" s="5" t="inlineStr">
        <is>
          <t xml:space="preserve">Mở đặc tả</t>
        </is>
      </c>
    </row>
    <row r="83" ht="70" customHeight="1">
      <c r="A83" s="0" t="inlineStr">
        <is>
          <t xml:space="preserve">API-082</t>
        </is>
      </c>
      <c r="B83" s="0" t="inlineStr">
        <is>
          <t xml:space="preserve">Tin nhắn &amp; thông báo</t>
        </is>
      </c>
      <c r="C83" s="0" t="inlineStr">
        <is>
          <t xml:space="preserve">room-chat</t>
        </is>
      </c>
      <c r="D83" s="0" t="inlineStr">
        <is>
          <t xml:space="preserve">PATCH</t>
        </is>
      </c>
      <c r="E83" s="0" t="inlineStr">
        <is>
          <t xml:space="preserve">/api/v1/conversations/{conversationId}/preferences</t>
        </is>
      </c>
      <c r="F83" s="0" t="inlineStr">
        <is>
          <t xml:space="preserve">Ẩn/lưu trữ/tắt thông báo phía mình</t>
        </is>
      </c>
      <c r="G83" s="0" t="inlineStr">
        <is>
          <t xml:space="preserve">USER: tài khoản ACTIVE; chỉ dữ liệu của mình</t>
        </is>
      </c>
      <c r="H83" s="0" t="inlineStr">
        <is>
          <t xml:space="preserve">P1</t>
        </is>
      </c>
      <c r="I83" s="0" t="inlineStr">
        <is>
          <t xml:space="preserve">Middleware auth/session/role + object scope
D09: idempotency store nếu chưa có khóa tự nhiên</t>
        </is>
      </c>
      <c r="J83" s="0" t="inlineStr">
        <is>
          <t xml:space="preserve">SERVICE: cần triển khai giao dịch backend</t>
        </is>
      </c>
      <c r="K83" s="0" t="inlineStr">
        <is>
          <t xml:space="preserve">muted: boolean (tùy chọn) — Chỉ participant actor.
archived: boolean (tùy chọn) — Không xóa phía bên kia.
deleted: boolean (tùy chọn) — Ẩn phía mình theo chính sách.</t>
        </is>
      </c>
      <c r="L83" s="0" t="inlineStr">
        <is>
          <t xml:space="preserve">ConversationPreferences</t>
        </is>
      </c>
      <c r="M83" s="0" t="inlineStr">
        <is>
          <t xml:space="preserve">Whitelist field trên conversation_participants, không xóa chat_messages hoặc đổi người khác.</t>
        </is>
      </c>
      <c r="N83" s="0" t="inlineStr">
        <is>
          <t xml:space="preserve">400 BAD_REQUEST
401 UNAUTHENTICATED
403 FORBIDDEN
404 RESOURCE_NOT_FOUND
409 STATE_CONFLICT
409 IDEMPOTENCY_KEY_REUSED
422 VALIDATION_ERROR
403 NOT_A_PARTICIPANT
422 MESSAGE_OR_CONTEXT_INVALID</t>
        </is>
      </c>
      <c r="O83" s="0" t="inlineStr">
        <is>
          <t xml:space="preserve"/>
        </is>
      </c>
      <c r="P83" s="0" t="inlineStr">
        <is>
          <t xml:space="preserve">Chưa làm</t>
        </is>
      </c>
      <c r="Q83" s="0" t="inlineStr">
        <is>
          <t xml:space="preserve">Chưa</t>
        </is>
      </c>
      <c r="R83" s="0" t="inlineStr">
        <is>
          <t xml:space="preserve">Chưa</t>
        </is>
      </c>
      <c r="S83" s="0" t="inlineStr">
        <is>
          <t xml:space="preserve">Chưa</t>
        </is>
      </c>
      <c r="T83" s="0" t="inlineStr">
        <is>
          <t xml:space="preserve">Chưa</t>
        </is>
      </c>
      <c r="U83" s="0" t="inlineStr">
        <is>
          <t xml:space="preserve">Chưa</t>
        </is>
      </c>
      <c r="V83" s="0" t="inlineStr">
        <is>
          <t xml:space="preserve">Chưa</t>
        </is>
      </c>
      <c r="W83" s="0" t="inlineStr">
        <is>
          <t xml:space="preserve">Chưa</t>
        </is>
      </c>
      <c r="X83" s="0" t="inlineStr">
        <is>
          <t xml:space="preserve">Chưa</t>
        </is>
      </c>
      <c r="Y83" s="3">
        <f>COUNTIF(Q83:X83,"Xong")/8</f>
        <v>0</v>
      </c>
      <c r="Z83" s="4" t="inlineStr">
        <is>
          <t xml:space="preserve"/>
        </is>
      </c>
      <c r="AA83" s="4" t="inlineStr">
        <is>
          <t xml:space="preserve"/>
        </is>
      </c>
      <c r="AB83" s="4" t="inlineStr">
        <is>
          <t xml:space="preserve"/>
        </is>
      </c>
      <c r="AC83" s="0" t="inlineStr">
        <is>
          <t xml:space="preserve"/>
        </is>
      </c>
      <c r="AD83" s="0" t="inlineStr">
        <is>
          <t xml:space="preserve">Happy path: Ẩn/lưu trữ/tắt thông báo phía mình; kiểm tra ConversationPreferences.
Thiếu phiên/phiên revoked/actor LOCKED và actor khác chủ hoặc khác participant phải bị chặn.
Ràng buộc: UNIQUE (sender_id,client_message_key) chống gửi trùng. Hội thoại ROOM_INQUIRY cần room_id và post_id đúng ngữ cảnh.
Gửi lặp cùng khóa trả kết quả cũ; cùng khóa khác payload trả 409; hai request tranh cùng tài nguyên không vượt hạn mức.
Kiểm tra lỗi DB/provider không để lại cập nhật dở hoặc trả thành công giả.</t>
        </is>
      </c>
      <c r="AE83" s="0" t="inlineStr">
        <is>
          <t xml:space="preserve"/>
        </is>
      </c>
      <c r="AF83" s="5" t="inlineStr">
        <is>
          <t xml:space="preserve">Mở đặc tả</t>
        </is>
      </c>
    </row>
    <row r="84" ht="70" customHeight="1">
      <c r="A84" s="2" t="inlineStr">
        <is>
          <t xml:space="preserve">API-083</t>
        </is>
      </c>
      <c r="B84" s="2" t="inlineStr">
        <is>
          <t xml:space="preserve">Tin nhắn &amp; thông báo</t>
        </is>
      </c>
      <c r="C84" s="2" t="inlineStr">
        <is>
          <t xml:space="preserve">room-chat, propose-viewing, schedule-viewing</t>
        </is>
      </c>
      <c r="D84" s="2" t="inlineStr">
        <is>
          <t xml:space="preserve">GET</t>
        </is>
      </c>
      <c r="E84" s="2" t="inlineStr">
        <is>
          <t xml:space="preserve">/api/v1/conversations/{conversationId}/viewing-timeline</t>
        </is>
      </c>
      <c r="F84" s="2" t="inlineStr">
        <is>
          <t xml:space="preserve">Thẻ lịch và đề nghị trong chat</t>
        </is>
      </c>
      <c r="G84" s="2" t="inlineStr">
        <is>
          <t xml:space="preserve">USER: tài khoản ACTIVE; chỉ dữ liệu của mình</t>
        </is>
      </c>
      <c r="H84" s="2" t="inlineStr">
        <is>
          <t xml:space="preserve">P1</t>
        </is>
      </c>
      <c r="I84" s="2" t="inlineStr">
        <is>
          <t xml:space="preserve">Middleware auth/session/role + object scope</t>
        </is>
      </c>
      <c r="J84" s="2" t="inlineStr">
        <is>
          <t xml:space="preserve">READ: truy vấn có scope quyền</t>
        </is>
      </c>
      <c r="K84" s="2" t="inlineStr">
        <is>
          <t xml:space="preserve">Không có JSON body</t>
        </is>
      </c>
      <c r="L84" s="2" t="inlineStr">
        <is>
          <t xml:space="preserve">{viewings:Viewing[],proposals:ViewingProposal[]}</t>
        </is>
      </c>
      <c r="M84" s="2" t="inlineStr">
        <is>
          <t xml:space="preserve">Chỉ ROOM_INQUIRY/member; read từ bảng lịch/proposal đúng conversation. Không tạo tin SYSTEM thay bản ghi trạng thái.</t>
        </is>
      </c>
      <c r="N84" s="2" t="inlineStr">
        <is>
          <t xml:space="preserve">400 BAD_REQUEST
401 UNAUTHENTICATED
403 FORBIDDEN
404 RESOURCE_NOT_FOUND</t>
        </is>
      </c>
      <c r="O84" s="2" t="inlineStr">
        <is>
          <t xml:space="preserve"/>
        </is>
      </c>
      <c r="P84" s="2" t="inlineStr">
        <is>
          <t xml:space="preserve">Chưa làm</t>
        </is>
      </c>
      <c r="Q84" s="2" t="inlineStr">
        <is>
          <t xml:space="preserve">Chưa</t>
        </is>
      </c>
      <c r="R84" s="2" t="inlineStr">
        <is>
          <t xml:space="preserve">Chưa</t>
        </is>
      </c>
      <c r="S84" s="2" t="inlineStr">
        <is>
          <t xml:space="preserve">Chưa</t>
        </is>
      </c>
      <c r="T84" s="2" t="inlineStr">
        <is>
          <t xml:space="preserve">Chưa</t>
        </is>
      </c>
      <c r="U84" s="2" t="inlineStr">
        <is>
          <t xml:space="preserve">Chưa</t>
        </is>
      </c>
      <c r="V84" s="2" t="inlineStr">
        <is>
          <t xml:space="preserve">Chưa</t>
        </is>
      </c>
      <c r="W84" s="2" t="inlineStr">
        <is>
          <t xml:space="preserve">Chưa</t>
        </is>
      </c>
      <c r="X84" s="2" t="inlineStr">
        <is>
          <t xml:space="preserve">Chưa</t>
        </is>
      </c>
      <c r="Y84" s="3">
        <f>COUNTIF(Q84:X84,"Xong")/8</f>
        <v>0</v>
      </c>
      <c r="Z84" s="4" t="inlineStr">
        <is>
          <t xml:space="preserve"/>
        </is>
      </c>
      <c r="AA84" s="4" t="inlineStr">
        <is>
          <t xml:space="preserve"/>
        </is>
      </c>
      <c r="AB84" s="4" t="inlineStr">
        <is>
          <t xml:space="preserve"/>
        </is>
      </c>
      <c r="AC84" s="2" t="inlineStr">
        <is>
          <t xml:space="preserve"/>
        </is>
      </c>
      <c r="AD84" s="2" t="inlineStr">
        <is>
          <t xml:space="preserve">Happy path: Thẻ lịch và đề nghị trong chat; kiểm tra {viewings:Viewing[],proposals:ViewingProposal[]}.
Thiếu phiên/phiên revoked/actor LOCKED và actor khác chủ hoặc khác participant phải bị chặn.
Ràng buộc: UNIQUE (sender_id,client_message_key) chống gửi trùng. Hội thoại ROOM_INQUIRY cần room_id và post_id đúng ngữ cảnh.
Phân trang/lọc đúng scope; dữ liệu riêng tư bị loại trên server, không chỉ ẩn UI.
Kiểm tra lỗi DB/provider không để lại cập nhật dở hoặc trả thành công giả.</t>
        </is>
      </c>
      <c r="AE84" s="2" t="inlineStr">
        <is>
          <t xml:space="preserve"/>
        </is>
      </c>
      <c r="AF84" s="5" t="inlineStr">
        <is>
          <t xml:space="preserve">Mở đặc tả</t>
        </is>
      </c>
    </row>
    <row r="85" ht="70" customHeight="1">
      <c r="A85" s="0" t="inlineStr">
        <is>
          <t xml:space="preserve">API-084</t>
        </is>
      </c>
      <c r="B85" s="0" t="inlineStr">
        <is>
          <t xml:space="preserve">Tin nhắn &amp; thông báo</t>
        </is>
      </c>
      <c r="C85" s="0" t="inlineStr">
        <is>
          <t xml:space="preserve">roommate-chat</t>
        </is>
      </c>
      <c r="D85" s="0" t="inlineStr">
        <is>
          <t xml:space="preserve">POST</t>
        </is>
      </c>
      <c r="E85" s="0" t="inlineStr">
        <is>
          <t xml:space="preserve">/api/v1/roommate-requests/{requestId}/conversation</t>
        </is>
      </c>
      <c r="F85" s="0" t="inlineStr">
        <is>
          <t xml:space="preserve">Mở lại đúng chat bạn ghép</t>
        </is>
      </c>
      <c r="G85" s="0" t="inlineStr">
        <is>
          <t xml:space="preserve">TENANT: chỉ chính người thuê và tài nguyên được phép</t>
        </is>
      </c>
      <c r="H85" s="0" t="inlineStr">
        <is>
          <t xml:space="preserve">P1</t>
        </is>
      </c>
      <c r="I85" s="0" t="inlineStr">
        <is>
          <t xml:space="preserve">Middleware auth/session/role + object scope
D09: idempotency store nếu chưa có khóa tự nhiên</t>
        </is>
      </c>
      <c r="J85" s="0" t="inlineStr">
        <is>
          <t xml:space="preserve">SERVICE: cần triển khai giao dịch backend</t>
        </is>
      </c>
      <c r="K85" s="0" t="inlineStr">
        <is>
          <t xml:space="preserve">Không có JSON body</t>
        </is>
      </c>
      <c r="L85" s="0" t="inlineStr">
        <is>
          <t xml:space="preserve">Conversation {id,type:ROOMMATE}</t>
        </is>
      </c>
      <c r="M85" s="0" t="inlineStr">
        <is>
          <t xml:space="preserve">Actor là một trong hai người ACCEPTED chưa ended; unique roommate_request_id, get-or-create hai participant. Không yêu cầu phòng còn chỗ; không đưa lịch chủ trọ vào đây.</t>
        </is>
      </c>
      <c r="N85" s="0" t="inlineStr">
        <is>
          <t xml:space="preserve">400 BAD_REQUEST
401 UNAUTHENTICATED
403 FORBIDDEN
404 RESOURCE_NOT_FOUND
409 STATE_CONFLICT
409 IDEMPOTENCY_KEY_REUSED
422 VALIDATION_ERROR
409 CONNECTION_ENDED
403 NOT_A_PARTICIPANT</t>
        </is>
      </c>
      <c r="O85" s="0" t="inlineStr">
        <is>
          <t xml:space="preserve"/>
        </is>
      </c>
      <c r="P85" s="0" t="inlineStr">
        <is>
          <t xml:space="preserve">Chưa làm</t>
        </is>
      </c>
      <c r="Q85" s="0" t="inlineStr">
        <is>
          <t xml:space="preserve">Chưa</t>
        </is>
      </c>
      <c r="R85" s="0" t="inlineStr">
        <is>
          <t xml:space="preserve">Chưa</t>
        </is>
      </c>
      <c r="S85" s="0" t="inlineStr">
        <is>
          <t xml:space="preserve">Chưa</t>
        </is>
      </c>
      <c r="T85" s="0" t="inlineStr">
        <is>
          <t xml:space="preserve">Chưa</t>
        </is>
      </c>
      <c r="U85" s="0" t="inlineStr">
        <is>
          <t xml:space="preserve">Chưa</t>
        </is>
      </c>
      <c r="V85" s="0" t="inlineStr">
        <is>
          <t xml:space="preserve">Chưa</t>
        </is>
      </c>
      <c r="W85" s="0" t="inlineStr">
        <is>
          <t xml:space="preserve">Chưa</t>
        </is>
      </c>
      <c r="X85" s="0" t="inlineStr">
        <is>
          <t xml:space="preserve">Chưa</t>
        </is>
      </c>
      <c r="Y85" s="3">
        <f>COUNTIF(Q85:X85,"Xong")/8</f>
        <v>0</v>
      </c>
      <c r="Z85" s="4" t="inlineStr">
        <is>
          <t xml:space="preserve"/>
        </is>
      </c>
      <c r="AA85" s="4" t="inlineStr">
        <is>
          <t xml:space="preserve"/>
        </is>
      </c>
      <c r="AB85" s="4" t="inlineStr">
        <is>
          <t xml:space="preserve"/>
        </is>
      </c>
      <c r="AC85" s="0" t="inlineStr">
        <is>
          <t xml:space="preserve"/>
        </is>
      </c>
      <c r="AD85" s="0" t="inlineStr">
        <is>
          <t xml:space="preserve">Happy path: Mở lại đúng chat bạn ghép; kiểm tra Conversation {id,type:ROOMMATE}.
Thiếu phiên/phiên revoked/actor LOCKED và actor khác chủ hoặc khác participant phải bị chặn.
Ràng buộc: conversations.type=ROOMMATE phải có roommate_request_id, room_id và post_id NULL; một conversation cho một lời mời.
Gửi lặp cùng khóa trả kết quả cũ; cùng khóa khác payload trả 409; hai request tranh cùng tài nguyên không vượt hạn mức.
Kiểm tra lỗi DB/provider không để lại cập nhật dở hoặc trả thành công giả.</t>
        </is>
      </c>
      <c r="AE85" s="0" t="inlineStr">
        <is>
          <t xml:space="preserve"/>
        </is>
      </c>
      <c r="AF85" s="5" t="inlineStr">
        <is>
          <t xml:space="preserve">Mở đặc tả</t>
        </is>
      </c>
    </row>
    <row r="86" ht="70" customHeight="1">
      <c r="A86" s="2" t="inlineStr">
        <is>
          <t xml:space="preserve">API-085</t>
        </is>
      </c>
      <c r="B86" s="2" t="inlineStr">
        <is>
          <t xml:space="preserve">Tin nhắn &amp; thông báo</t>
        </is>
      </c>
      <c r="C86" s="2" t="inlineStr">
        <is>
          <t xml:space="preserve">share-post</t>
        </is>
      </c>
      <c r="D86" s="2" t="inlineStr">
        <is>
          <t xml:space="preserve">POST</t>
        </is>
      </c>
      <c r="E86" s="2" t="inlineStr">
        <is>
          <t xml:space="preserve">/api/v1/conversations/{conversationId}/post-shares</t>
        </is>
      </c>
      <c r="F86" s="2" t="inlineStr">
        <is>
          <t xml:space="preserve">Chia sẻ đúng bài cho bạn ghép</t>
        </is>
      </c>
      <c r="G86" s="2" t="inlineStr">
        <is>
          <t xml:space="preserve">TENANT: chỉ chính người thuê và tài nguyên được phép</t>
        </is>
      </c>
      <c r="H86" s="2" t="inlineStr">
        <is>
          <t xml:space="preserve">P1</t>
        </is>
      </c>
      <c r="I86" s="2" t="inlineStr">
        <is>
          <t xml:space="preserve">Middleware auth/session/role + object scope
D09: idempotency store nếu chưa có khóa tự nhiên</t>
        </is>
      </c>
      <c r="J86" s="2" t="inlineStr">
        <is>
          <t xml:space="preserve">SERVICE: cần triển khai giao dịch backend</t>
        </is>
      </c>
      <c r="K86" s="2" t="inlineStr">
        <is>
          <t xml:space="preserve">clientMessageKey: uuid (bắt buộc) — Chống lặp theo sender.
postId: id (bắt buộc) — Bài công khai từ v_public_house_posts.
content: string (tùy chọn) — Ghi chú ≤2.000 ký tự.</t>
        </is>
      </c>
      <c r="L86" s="2" t="inlineStr">
        <is>
          <t xml:space="preserve">Message {type:POST_SHARE,sharedPostId,sharedPost}</t>
        </is>
      </c>
      <c r="M86" s="2" t="inlineStr">
        <is>
          <t xml:space="preserve">Chỉ ROOMMATE ACCEPTED chưa ended; kiểm tra lại bài/kết nối khi gửi. Không nhúng snapshot lộ tin ẩn; không thêm chủ trọ hoặc tạo thuê chung.</t>
        </is>
      </c>
      <c r="N86" s="2" t="inlineStr">
        <is>
          <t xml:space="preserve">400 BAD_REQUEST
401 UNAUTHENTICATED
403 FORBIDDEN
404 RESOURCE_NOT_FOUND
409 STATE_CONFLICT
409 IDEMPOTENCY_KEY_REUSED
422 VALIDATION_ERROR
409 CONNECTION_ENDED
404 POST_UNAVAILABLE</t>
        </is>
      </c>
      <c r="O86" s="2" t="inlineStr">
        <is>
          <t xml:space="preserve"/>
        </is>
      </c>
      <c r="P86" s="2" t="inlineStr">
        <is>
          <t xml:space="preserve">Chưa làm</t>
        </is>
      </c>
      <c r="Q86" s="2" t="inlineStr">
        <is>
          <t xml:space="preserve">Chưa</t>
        </is>
      </c>
      <c r="R86" s="2" t="inlineStr">
        <is>
          <t xml:space="preserve">Chưa</t>
        </is>
      </c>
      <c r="S86" s="2" t="inlineStr">
        <is>
          <t xml:space="preserve">Chưa</t>
        </is>
      </c>
      <c r="T86" s="2" t="inlineStr">
        <is>
          <t xml:space="preserve">Chưa</t>
        </is>
      </c>
      <c r="U86" s="2" t="inlineStr">
        <is>
          <t xml:space="preserve">Chưa</t>
        </is>
      </c>
      <c r="V86" s="2" t="inlineStr">
        <is>
          <t xml:space="preserve">Chưa</t>
        </is>
      </c>
      <c r="W86" s="2" t="inlineStr">
        <is>
          <t xml:space="preserve">Chưa</t>
        </is>
      </c>
      <c r="X86" s="2" t="inlineStr">
        <is>
          <t xml:space="preserve">Chưa</t>
        </is>
      </c>
      <c r="Y86" s="3">
        <f>COUNTIF(Q86:X86,"Xong")/8</f>
        <v>0</v>
      </c>
      <c r="Z86" s="4" t="inlineStr">
        <is>
          <t xml:space="preserve"/>
        </is>
      </c>
      <c r="AA86" s="4" t="inlineStr">
        <is>
          <t xml:space="preserve"/>
        </is>
      </c>
      <c r="AB86" s="4" t="inlineStr">
        <is>
          <t xml:space="preserve"/>
        </is>
      </c>
      <c r="AC86" s="2" t="inlineStr">
        <is>
          <t xml:space="preserve"/>
        </is>
      </c>
      <c r="AD86" s="2" t="inlineStr">
        <is>
          <t xml:space="preserve">Happy path: Chia sẻ đúng bài cho bạn ghép; kiểm tra Message {type:POST_SHARE,sharedPostId,sharedPost}.
Thiếu phiên/phiên revoked/actor LOCKED và actor khác chủ hoặc khác participant phải bị chặn.
Ràng buộc: message_type=POST_SHARE bắt buộc shared_post_id; loại khác không được mang liên kết này.
Gửi lặp cùng khóa trả kết quả cũ; cùng khóa khác payload trả 409; hai request tranh cùng tài nguyên không vượt hạn mức.
Kiểm tra lỗi DB/provider không để lại cập nhật dở hoặc trả thành công giả.</t>
        </is>
      </c>
      <c r="AE86" s="2" t="inlineStr">
        <is>
          <t xml:space="preserve"/>
        </is>
      </c>
      <c r="AF86" s="5" t="inlineStr">
        <is>
          <t xml:space="preserve">Mở đặc tả</t>
        </is>
      </c>
    </row>
    <row r="87" ht="70" customHeight="1">
      <c r="A87" s="0" t="inlineStr">
        <is>
          <t xml:space="preserve">API-086</t>
        </is>
      </c>
      <c r="B87" s="0" t="inlineStr">
        <is>
          <t xml:space="preserve">Tin nhắn &amp; thông báo</t>
        </is>
      </c>
      <c r="C87" s="0" t="inlineStr">
        <is>
          <t xml:space="preserve">notifications</t>
        </is>
      </c>
      <c r="D87" s="0" t="inlineStr">
        <is>
          <t xml:space="preserve">GET</t>
        </is>
      </c>
      <c r="E87" s="0" t="inlineStr">
        <is>
          <t xml:space="preserve">/api/v1/me/notifications</t>
        </is>
      </c>
      <c r="F87" s="0" t="inlineStr">
        <is>
          <t xml:space="preserve">Feed thông báo của mình</t>
        </is>
      </c>
      <c r="G87" s="0" t="inlineStr">
        <is>
          <t xml:space="preserve">USER: tài khoản ACTIVE; chỉ dữ liệu của mình</t>
        </is>
      </c>
      <c r="H87" s="0" t="inlineStr">
        <is>
          <t xml:space="preserve">P1</t>
        </is>
      </c>
      <c r="I87" s="0" t="inlineStr">
        <is>
          <t xml:space="preserve">Middleware auth/session/role + object scope</t>
        </is>
      </c>
      <c r="J87" s="0" t="inlineStr">
        <is>
          <t xml:space="preserve">READ: truy vấn có scope quyền</t>
        </is>
      </c>
      <c r="K87" s="0" t="inlineStr">
        <is>
          <t xml:space="preserve">Không có JSON body</t>
        </is>
      </c>
      <c r="L87" s="0" t="inlineStr">
        <is>
          <t xml:space="preserve">Notification[] {id,type,title,content,isRead,resource,createdAt}</t>
        </is>
      </c>
      <c r="M87" s="0" t="inlineStr">
        <is>
          <t xml:space="preserve">Chỉ user_id=actor; dữ liệu preview tối thiểu, quyền mở đối tượng kiểm tra lại.</t>
        </is>
      </c>
      <c r="N87" s="0" t="inlineStr">
        <is>
          <t xml:space="preserve">400 BAD_REQUEST
401 UNAUTHENTICATED
403 FORBIDDEN
404 RESOURCE_NOT_FOUND
422 VALIDATION_ERROR</t>
        </is>
      </c>
      <c r="O87" s="0" t="inlineStr">
        <is>
          <t xml:space="preserve"/>
        </is>
      </c>
      <c r="P87" s="0" t="inlineStr">
        <is>
          <t xml:space="preserve">Chưa làm</t>
        </is>
      </c>
      <c r="Q87" s="0" t="inlineStr">
        <is>
          <t xml:space="preserve">Chưa</t>
        </is>
      </c>
      <c r="R87" s="0" t="inlineStr">
        <is>
          <t xml:space="preserve">Chưa</t>
        </is>
      </c>
      <c r="S87" s="0" t="inlineStr">
        <is>
          <t xml:space="preserve">Chưa</t>
        </is>
      </c>
      <c r="T87" s="0" t="inlineStr">
        <is>
          <t xml:space="preserve">Chưa</t>
        </is>
      </c>
      <c r="U87" s="0" t="inlineStr">
        <is>
          <t xml:space="preserve">Chưa</t>
        </is>
      </c>
      <c r="V87" s="0" t="inlineStr">
        <is>
          <t xml:space="preserve">Chưa</t>
        </is>
      </c>
      <c r="W87" s="0" t="inlineStr">
        <is>
          <t xml:space="preserve">Chưa</t>
        </is>
      </c>
      <c r="X87" s="0" t="inlineStr">
        <is>
          <t xml:space="preserve">Chưa</t>
        </is>
      </c>
      <c r="Y87" s="3">
        <f>COUNTIF(Q87:X87,"Xong")/8</f>
        <v>0</v>
      </c>
      <c r="Z87" s="4" t="inlineStr">
        <is>
          <t xml:space="preserve"/>
        </is>
      </c>
      <c r="AA87" s="4" t="inlineStr">
        <is>
          <t xml:space="preserve"/>
        </is>
      </c>
      <c r="AB87" s="4" t="inlineStr">
        <is>
          <t xml:space="preserve"/>
        </is>
      </c>
      <c r="AC87" s="0" t="inlineStr">
        <is>
          <t xml:space="preserve"/>
        </is>
      </c>
      <c r="AD87" s="0" t="inlineStr">
        <is>
          <t xml:space="preserve">Happy path: Feed thông báo của mình; kiểm tra Notification[] {id,type,title,content,isRead,resource,createdAt}.
Thiếu phiên/phiên revoked/actor LOCKED và actor khác chủ hoặc khác participant phải bị chặn.
Ràng buộc: UNIQUE (user_id,event_key) chống thông báo trùng; resource_type và resource_id cùng có hoặc cùng NULL.
Phân trang/lọc đúng scope; dữ liệu riêng tư bị loại trên server, không chỉ ẩn UI.
Kiểm tra lỗi DB/provider không để lại cập nhật dở hoặc trả thành công giả.</t>
        </is>
      </c>
      <c r="AE87" s="0" t="inlineStr">
        <is>
          <t xml:space="preserve"/>
        </is>
      </c>
      <c r="AF87" s="5" t="inlineStr">
        <is>
          <t xml:space="preserve">Mở đặc tả</t>
        </is>
      </c>
    </row>
    <row r="88" ht="70" customHeight="1">
      <c r="A88" s="2" t="inlineStr">
        <is>
          <t xml:space="preserve">API-087</t>
        </is>
      </c>
      <c r="B88" s="2" t="inlineStr">
        <is>
          <t xml:space="preserve">Tin nhắn &amp; thông báo</t>
        </is>
      </c>
      <c r="C88" s="2" t="inlineStr">
        <is>
          <t xml:space="preserve">notifications</t>
        </is>
      </c>
      <c r="D88" s="2" t="inlineStr">
        <is>
          <t xml:space="preserve">GET</t>
        </is>
      </c>
      <c r="E88" s="2" t="inlineStr">
        <is>
          <t xml:space="preserve">/api/v1/me/notification-counts</t>
        </is>
      </c>
      <c r="F88" s="2" t="inlineStr">
        <is>
          <t xml:space="preserve">Bộ đếm chưa đọc</t>
        </is>
      </c>
      <c r="G88" s="2" t="inlineStr">
        <is>
          <t xml:space="preserve">USER: tài khoản ACTIVE; chỉ dữ liệu của mình</t>
        </is>
      </c>
      <c r="H88" s="2" t="inlineStr">
        <is>
          <t xml:space="preserve">P1</t>
        </is>
      </c>
      <c r="I88" s="2" t="inlineStr">
        <is>
          <t xml:space="preserve">Middleware auth/session/role + object scope</t>
        </is>
      </c>
      <c r="J88" s="2" t="inlineStr">
        <is>
          <t xml:space="preserve">READ: truy vấn có scope quyền</t>
        </is>
      </c>
      <c r="K88" s="2" t="inlineStr">
        <is>
          <t xml:space="preserve">Không có JSON body</t>
        </is>
      </c>
      <c r="L88" s="2" t="inlineStr">
        <is>
          <t xml:space="preserve">{notificationsUnread,messagesUnread}</t>
        </is>
      </c>
      <c r="M88" s="2" t="inlineStr">
        <is>
          <t xml:space="preserve">Đếm server theo cùng quy tắc read-state; label 99+ do UI; tắt popup không đánh dấu đã đọc.</t>
        </is>
      </c>
      <c r="N88" s="2" t="inlineStr">
        <is>
          <t xml:space="preserve">400 BAD_REQUEST
401 UNAUTHENTICATED
403 FORBIDDEN
404 RESOURCE_NOT_FOUND</t>
        </is>
      </c>
      <c r="O88" s="2" t="inlineStr">
        <is>
          <t xml:space="preserve"/>
        </is>
      </c>
      <c r="P88" s="2" t="inlineStr">
        <is>
          <t xml:space="preserve">Chưa làm</t>
        </is>
      </c>
      <c r="Q88" s="2" t="inlineStr">
        <is>
          <t xml:space="preserve">Chưa</t>
        </is>
      </c>
      <c r="R88" s="2" t="inlineStr">
        <is>
          <t xml:space="preserve">Chưa</t>
        </is>
      </c>
      <c r="S88" s="2" t="inlineStr">
        <is>
          <t xml:space="preserve">Chưa</t>
        </is>
      </c>
      <c r="T88" s="2" t="inlineStr">
        <is>
          <t xml:space="preserve">Chưa</t>
        </is>
      </c>
      <c r="U88" s="2" t="inlineStr">
        <is>
          <t xml:space="preserve">Chưa</t>
        </is>
      </c>
      <c r="V88" s="2" t="inlineStr">
        <is>
          <t xml:space="preserve">Chưa</t>
        </is>
      </c>
      <c r="W88" s="2" t="inlineStr">
        <is>
          <t xml:space="preserve">Chưa</t>
        </is>
      </c>
      <c r="X88" s="2" t="inlineStr">
        <is>
          <t xml:space="preserve">Chưa</t>
        </is>
      </c>
      <c r="Y88" s="3">
        <f>COUNTIF(Q88:X88,"Xong")/8</f>
        <v>0</v>
      </c>
      <c r="Z88" s="4" t="inlineStr">
        <is>
          <t xml:space="preserve"/>
        </is>
      </c>
      <c r="AA88" s="4" t="inlineStr">
        <is>
          <t xml:space="preserve"/>
        </is>
      </c>
      <c r="AB88" s="4" t="inlineStr">
        <is>
          <t xml:space="preserve"/>
        </is>
      </c>
      <c r="AC88" s="2" t="inlineStr">
        <is>
          <t xml:space="preserve"/>
        </is>
      </c>
      <c r="AD88" s="2" t="inlineStr">
        <is>
          <t xml:space="preserve">Happy path: Bộ đếm chưa đọc; kiểm tra {notificationsUnread,messagesUnread}.
Thiếu phiên/phiên revoked/actor LOCKED và actor khác chủ hoặc khác participant phải bị chặn.
Ràng buộc: UNIQUE (user_id,event_key) chống thông báo trùng; resource_type và resource_id cùng có hoặc cùng NULL.
Phân trang/lọc đúng scope; dữ liệu riêng tư bị loại trên server, không chỉ ẩn UI.
Kiểm tra lỗi DB/provider không để lại cập nhật dở hoặc trả thành công giả.</t>
        </is>
      </c>
      <c r="AE88" s="2" t="inlineStr">
        <is>
          <t xml:space="preserve"/>
        </is>
      </c>
      <c r="AF88" s="5" t="inlineStr">
        <is>
          <t xml:space="preserve">Mở đặc tả</t>
        </is>
      </c>
    </row>
    <row r="89" ht="70" customHeight="1">
      <c r="A89" s="0" t="inlineStr">
        <is>
          <t xml:space="preserve">API-088</t>
        </is>
      </c>
      <c r="B89" s="0" t="inlineStr">
        <is>
          <t xml:space="preserve">Tin nhắn &amp; thông báo</t>
        </is>
      </c>
      <c r="C89" s="0" t="inlineStr">
        <is>
          <t xml:space="preserve">notifications</t>
        </is>
      </c>
      <c r="D89" s="0" t="inlineStr">
        <is>
          <t xml:space="preserve">PUT</t>
        </is>
      </c>
      <c r="E89" s="0" t="inlineStr">
        <is>
          <t xml:space="preserve">/api/v1/me/notifications/{notificationId}/read-state</t>
        </is>
      </c>
      <c r="F89" s="0" t="inlineStr">
        <is>
          <t xml:space="preserve">Đánh dấu một thông báo đã đọc</t>
        </is>
      </c>
      <c r="G89" s="0" t="inlineStr">
        <is>
          <t xml:space="preserve">USER: tài khoản ACTIVE; chỉ dữ liệu của mình</t>
        </is>
      </c>
      <c r="H89" s="0" t="inlineStr">
        <is>
          <t xml:space="preserve">P1</t>
        </is>
      </c>
      <c r="I89" s="0" t="inlineStr">
        <is>
          <t xml:space="preserve">Middleware auth/session/role + object scope
D09: idempotency store nếu chưa có khóa tự nhiên</t>
        </is>
      </c>
      <c r="J89" s="0" t="inlineStr">
        <is>
          <t xml:space="preserve">SERVICE: cần triển khai giao dịch backend</t>
        </is>
      </c>
      <c r="K89" s="0" t="inlineStr">
        <is>
          <t xml:space="preserve">isRead: boolean (bắt buộc) — Chỉ true trong hợp đồng API này.</t>
        </is>
      </c>
      <c r="L89" s="0" t="inlineStr">
        <is>
          <t xml:space="preserve">Notification {id,isRead:true,readAt}</t>
        </is>
      </c>
      <c r="M89" s="0" t="inlineStr">
        <is>
          <t xml:space="preserve">Chỉ thông báo actor; idempotent; giữ read_at nếu đã đọc.</t>
        </is>
      </c>
      <c r="N89" s="0" t="inlineStr">
        <is>
          <t xml:space="preserve">400 BAD_REQUEST
401 UNAUTHENTICATED
403 FORBIDDEN
404 RESOURCE_NOT_FOUND
409 STATE_CONFLICT
409 IDEMPOTENCY_KEY_REUSED
422 VALIDATION_ERROR
422 READ_MARKER_INVALID</t>
        </is>
      </c>
      <c r="O89" s="0" t="inlineStr">
        <is>
          <t xml:space="preserve"/>
        </is>
      </c>
      <c r="P89" s="0" t="inlineStr">
        <is>
          <t xml:space="preserve">Chưa làm</t>
        </is>
      </c>
      <c r="Q89" s="0" t="inlineStr">
        <is>
          <t xml:space="preserve">Chưa</t>
        </is>
      </c>
      <c r="R89" s="0" t="inlineStr">
        <is>
          <t xml:space="preserve">Chưa</t>
        </is>
      </c>
      <c r="S89" s="0" t="inlineStr">
        <is>
          <t xml:space="preserve">Chưa</t>
        </is>
      </c>
      <c r="T89" s="0" t="inlineStr">
        <is>
          <t xml:space="preserve">Chưa</t>
        </is>
      </c>
      <c r="U89" s="0" t="inlineStr">
        <is>
          <t xml:space="preserve">Chưa</t>
        </is>
      </c>
      <c r="V89" s="0" t="inlineStr">
        <is>
          <t xml:space="preserve">Chưa</t>
        </is>
      </c>
      <c r="W89" s="0" t="inlineStr">
        <is>
          <t xml:space="preserve">Chưa</t>
        </is>
      </c>
      <c r="X89" s="0" t="inlineStr">
        <is>
          <t xml:space="preserve">Chưa</t>
        </is>
      </c>
      <c r="Y89" s="3">
        <f>COUNTIF(Q89:X89,"Xong")/8</f>
        <v>0</v>
      </c>
      <c r="Z89" s="4" t="inlineStr">
        <is>
          <t xml:space="preserve"/>
        </is>
      </c>
      <c r="AA89" s="4" t="inlineStr">
        <is>
          <t xml:space="preserve"/>
        </is>
      </c>
      <c r="AB89" s="4" t="inlineStr">
        <is>
          <t xml:space="preserve"/>
        </is>
      </c>
      <c r="AC89" s="0" t="inlineStr">
        <is>
          <t xml:space="preserve"/>
        </is>
      </c>
      <c r="AD89" s="0" t="inlineStr">
        <is>
          <t xml:space="preserve">Happy path: Đánh dấu một thông báo đã đọc; kiểm tra Notification {id,isRead:true,readAt}.
Thiếu phiên/phiên revoked/actor LOCKED và actor khác chủ hoặc khác participant phải bị chặn.
Ràng buộc: UNIQUE (user_id,event_key) chống thông báo trùng; resource_type và resource_id cùng có hoặc cùng NULL.
Gửi lặp cùng khóa trả kết quả cũ; cùng khóa khác payload trả 409; hai request tranh cùng tài nguyên không vượt hạn mức.
Kiểm tra lỗi DB/provider không để lại cập nhật dở hoặc trả thành công giả.</t>
        </is>
      </c>
      <c r="AE89" s="0" t="inlineStr">
        <is>
          <t xml:space="preserve"/>
        </is>
      </c>
      <c r="AF89" s="5" t="inlineStr">
        <is>
          <t xml:space="preserve">Mở đặc tả</t>
        </is>
      </c>
    </row>
    <row r="90" ht="70" customHeight="1">
      <c r="A90" s="2" t="inlineStr">
        <is>
          <t xml:space="preserve">API-089</t>
        </is>
      </c>
      <c r="B90" s="2" t="inlineStr">
        <is>
          <t xml:space="preserve">Tin nhắn &amp; thông báo</t>
        </is>
      </c>
      <c r="C90" s="2" t="inlineStr">
        <is>
          <t xml:space="preserve">notifications</t>
        </is>
      </c>
      <c r="D90" s="2" t="inlineStr">
        <is>
          <t xml:space="preserve">POST</t>
        </is>
      </c>
      <c r="E90" s="2" t="inlineStr">
        <is>
          <t xml:space="preserve">/api/v1/me/notifications/read-all</t>
        </is>
      </c>
      <c r="F90" s="2" t="inlineStr">
        <is>
          <t xml:space="preserve">Đọc tất cả đến mốc xác định</t>
        </is>
      </c>
      <c r="G90" s="2" t="inlineStr">
        <is>
          <t xml:space="preserve">USER: tài khoản ACTIVE; chỉ dữ liệu của mình</t>
        </is>
      </c>
      <c r="H90" s="2" t="inlineStr">
        <is>
          <t xml:space="preserve">P1</t>
        </is>
      </c>
      <c r="I90" s="2" t="inlineStr">
        <is>
          <t xml:space="preserve">Middleware auth/session/role + object scope
D09: idempotency store nếu chưa có khóa tự nhiên</t>
        </is>
      </c>
      <c r="J90" s="2" t="inlineStr">
        <is>
          <t xml:space="preserve">SERVICE: cần triển khai giao dịch backend</t>
        </is>
      </c>
      <c r="K90" s="2" t="inlineStr">
        <is>
          <t xml:space="preserve">throughCreatedAt: datetime (bắt buộc) — Mốc server trả trong feed; không đánh dấu thông báo mới đến sau đó.</t>
        </is>
      </c>
      <c r="L90" s="2" t="inlineStr">
        <is>
          <t xml:space="preserve">{updatedCount}</t>
        </is>
      </c>
      <c r="M90" s="2" t="inlineStr">
        <is>
          <t xml:space="preserve">Một UPDATE scoped user_id + thời gian; notification đến sau mốc vẫn unread.</t>
        </is>
      </c>
      <c r="N90" s="2" t="inlineStr">
        <is>
          <t xml:space="preserve">400 BAD_REQUEST
401 UNAUTHENTICATED
403 FORBIDDEN
404 RESOURCE_NOT_FOUND
409 STATE_CONFLICT
409 IDEMPOTENCY_KEY_REUSED
422 VALIDATION_ERROR
422 READ_MARKER_INVALID</t>
        </is>
      </c>
      <c r="O90" s="2" t="inlineStr">
        <is>
          <t xml:space="preserve"/>
        </is>
      </c>
      <c r="P90" s="2" t="inlineStr">
        <is>
          <t xml:space="preserve">Chưa làm</t>
        </is>
      </c>
      <c r="Q90" s="2" t="inlineStr">
        <is>
          <t xml:space="preserve">Chưa</t>
        </is>
      </c>
      <c r="R90" s="2" t="inlineStr">
        <is>
          <t xml:space="preserve">Chưa</t>
        </is>
      </c>
      <c r="S90" s="2" t="inlineStr">
        <is>
          <t xml:space="preserve">Chưa</t>
        </is>
      </c>
      <c r="T90" s="2" t="inlineStr">
        <is>
          <t xml:space="preserve">Chưa</t>
        </is>
      </c>
      <c r="U90" s="2" t="inlineStr">
        <is>
          <t xml:space="preserve">Chưa</t>
        </is>
      </c>
      <c r="V90" s="2" t="inlineStr">
        <is>
          <t xml:space="preserve">Chưa</t>
        </is>
      </c>
      <c r="W90" s="2" t="inlineStr">
        <is>
          <t xml:space="preserve">Chưa</t>
        </is>
      </c>
      <c r="X90" s="2" t="inlineStr">
        <is>
          <t xml:space="preserve">Chưa</t>
        </is>
      </c>
      <c r="Y90" s="3">
        <f>COUNTIF(Q90:X90,"Xong")/8</f>
        <v>0</v>
      </c>
      <c r="Z90" s="4" t="inlineStr">
        <is>
          <t xml:space="preserve"/>
        </is>
      </c>
      <c r="AA90" s="4" t="inlineStr">
        <is>
          <t xml:space="preserve"/>
        </is>
      </c>
      <c r="AB90" s="4" t="inlineStr">
        <is>
          <t xml:space="preserve"/>
        </is>
      </c>
      <c r="AC90" s="2" t="inlineStr">
        <is>
          <t xml:space="preserve"/>
        </is>
      </c>
      <c r="AD90" s="2" t="inlineStr">
        <is>
          <t xml:space="preserve">Happy path: Đọc tất cả đến mốc xác định; kiểm tra {updatedCount}.
Thiếu phiên/phiên revoked/actor LOCKED và actor khác chủ hoặc khác participant phải bị chặn.
Ràng buộc: UNIQUE (user_id,event_key) chống thông báo trùng; resource_type và resource_id cùng có hoặc cùng NULL.
Gửi lặp cùng khóa trả kết quả cũ; cùng khóa khác payload trả 409; hai request tranh cùng tài nguyên không vượt hạn mức.
Kiểm tra lỗi DB/provider không để lại cập nhật dở hoặc trả thành công giả.</t>
        </is>
      </c>
      <c r="AE90" s="2" t="inlineStr">
        <is>
          <t xml:space="preserve"/>
        </is>
      </c>
      <c r="AF90" s="5" t="inlineStr">
        <is>
          <t xml:space="preserve">Mở đặc tả</t>
        </is>
      </c>
    </row>
    <row r="91" ht="70" customHeight="1">
      <c r="A91" s="0" t="inlineStr">
        <is>
          <t xml:space="preserve">API-090</t>
        </is>
      </c>
      <c r="B91" s="0" t="inlineStr">
        <is>
          <t xml:space="preserve">Tin nhắn &amp; thông báo</t>
        </is>
      </c>
      <c r="C91" s="0" t="inlineStr">
        <is>
          <t xml:space="preserve">notifications</t>
        </is>
      </c>
      <c r="D91" s="0" t="inlineStr">
        <is>
          <t xml:space="preserve">GET</t>
        </is>
      </c>
      <c r="E91" s="0" t="inlineStr">
        <is>
          <t xml:space="preserve">/api/v1/events</t>
        </is>
      </c>
      <c r="F91" s="0" t="inlineStr">
        <is>
          <t xml:space="preserve">Kênh sự kiện SSE có xác thực</t>
        </is>
      </c>
      <c r="G91" s="0" t="inlineStr">
        <is>
          <t xml:space="preserve">USER: tài khoản ACTIVE; chỉ dữ liệu của mình</t>
        </is>
      </c>
      <c r="H91" s="0" t="inlineStr">
        <is>
          <t xml:space="preserve">P1</t>
        </is>
      </c>
      <c r="I91" s="0" t="inlineStr">
        <is>
          <t xml:space="preserve">Middleware auth/session/role + object scope
D09</t>
        </is>
      </c>
      <c r="J91" s="0" t="inlineStr">
        <is>
          <t xml:space="preserve">TRANSPORT: cần triển khai SSE + delivery sau commit</t>
        </is>
      </c>
      <c r="K91" s="0" t="inlineStr">
        <is>
          <t xml:space="preserve">Không có JSON body</t>
        </is>
      </c>
      <c r="L91" s="0" t="inlineStr">
        <is>
          <t xml:space="preserve">text/event-stream: {id,type,resourceId,occurredAt}; không bọc JSON HTTP thông thường</t>
        </is>
      </c>
      <c r="M91" s="0" t="inlineStr">
        <is>
          <t xml:space="preserve">GET SSE là ngoại lệ content type. Auth phiên qua fetch stream có Bearer; Last-Event-ID để nối lại. Phát sau commit, client dedupe eventId rồi fetch resource theo quyền. Replay bền vững cần outbox/event store bổ sung.</t>
        </is>
      </c>
      <c r="N91" s="0" t="inlineStr">
        <is>
          <t xml:space="preserve">400 BAD_REQUEST
401 UNAUTHENTICATED
403 FORBIDDEN
404 RESOURCE_NOT_FOUND</t>
        </is>
      </c>
      <c r="O91" s="0" t="inlineStr">
        <is>
          <t xml:space="preserve"/>
        </is>
      </c>
      <c r="P91" s="0" t="inlineStr">
        <is>
          <t xml:space="preserve">Chưa làm</t>
        </is>
      </c>
      <c r="Q91" s="0" t="inlineStr">
        <is>
          <t xml:space="preserve">Chưa</t>
        </is>
      </c>
      <c r="R91" s="0" t="inlineStr">
        <is>
          <t xml:space="preserve">Chưa</t>
        </is>
      </c>
      <c r="S91" s="0" t="inlineStr">
        <is>
          <t xml:space="preserve">Chưa</t>
        </is>
      </c>
      <c r="T91" s="0" t="inlineStr">
        <is>
          <t xml:space="preserve">Chưa</t>
        </is>
      </c>
      <c r="U91" s="0" t="inlineStr">
        <is>
          <t xml:space="preserve">Chưa</t>
        </is>
      </c>
      <c r="V91" s="0" t="inlineStr">
        <is>
          <t xml:space="preserve">Chưa</t>
        </is>
      </c>
      <c r="W91" s="0" t="inlineStr">
        <is>
          <t xml:space="preserve">Chưa</t>
        </is>
      </c>
      <c r="X91" s="0" t="inlineStr">
        <is>
          <t xml:space="preserve">Chưa</t>
        </is>
      </c>
      <c r="Y91" s="3">
        <f>COUNTIF(Q91:X91,"Xong")/8</f>
        <v>0</v>
      </c>
      <c r="Z91" s="4" t="inlineStr">
        <is>
          <t xml:space="preserve"/>
        </is>
      </c>
      <c r="AA91" s="4" t="inlineStr">
        <is>
          <t xml:space="preserve"/>
        </is>
      </c>
      <c r="AB91" s="4" t="inlineStr">
        <is>
          <t xml:space="preserve"/>
        </is>
      </c>
      <c r="AC91" s="0" t="inlineStr">
        <is>
          <t xml:space="preserve"/>
        </is>
      </c>
      <c r="AD91" s="0" t="inlineStr">
        <is>
          <t xml:space="preserve">Happy path: Kênh sự kiện SSE có xác thực; kiểm tra text/event-stream: {id,type,resourceId,occurredAt}; không bọc JSON HTTP thông thường.
Thiếu phiên/phiên revoked/actor LOCKED và actor khác chủ hoặc khác participant phải bị chặn.
Ràng buộc: UNIQUE (user_id,event_key) chống thông báo trùng; resource_type và resource_id cùng có hoặc cùng NULL.
Phân trang/lọc đúng scope; dữ liệu riêng tư bị loại trên server, không chỉ ẩn UI.
Kiểm tra lỗi DB/provider không để lại cập nhật dở hoặc trả thành công giả.</t>
        </is>
      </c>
      <c r="AE91" s="0" t="inlineStr">
        <is>
          <t xml:space="preserve"/>
        </is>
      </c>
      <c r="AF91" s="5" t="inlineStr">
        <is>
          <t xml:space="preserve">Mở đặc tả</t>
        </is>
      </c>
    </row>
    <row r="92" ht="70" customHeight="1">
      <c r="A92" s="2" t="inlineStr">
        <is>
          <t xml:space="preserve">API-091</t>
        </is>
      </c>
      <c r="B92" s="2" t="inlineStr">
        <is>
          <t xml:space="preserve">Hẹn xem &amp; quyết định thuê</t>
        </is>
      </c>
      <c r="C92" s="2" t="inlineStr">
        <is>
          <t xml:space="preserve">propose-viewing</t>
        </is>
      </c>
      <c r="D92" s="2" t="inlineStr">
        <is>
          <t xml:space="preserve">GET</t>
        </is>
      </c>
      <c r="E92" s="2" t="inlineStr">
        <is>
          <t xml:space="preserve">/api/v1/viewing-proposals</t>
        </is>
      </c>
      <c r="F92" s="2" t="inlineStr">
        <is>
          <t xml:space="preserve">Danh sách đề nghị đúng các bên</t>
        </is>
      </c>
      <c r="G92" s="2" t="inlineStr">
        <is>
          <t xml:space="preserve">TENANT: chỉ chính người thuê và tài nguyên được phép hoặc LANDLORD: sở hữu nhà/phòng/hợp đồng</t>
        </is>
      </c>
      <c r="H92" s="2" t="inlineStr">
        <is>
          <t xml:space="preserve">P0</t>
        </is>
      </c>
      <c r="I92" s="2" t="inlineStr">
        <is>
          <t xml:space="preserve">Middleware auth/session/role + object scope</t>
        </is>
      </c>
      <c r="J92" s="2" t="inlineStr">
        <is>
          <t xml:space="preserve">READ: truy vấn có scope quyền</t>
        </is>
      </c>
      <c r="K92" s="2" t="inlineStr">
        <is>
          <t xml:space="preserve">Không có JSON body</t>
        </is>
      </c>
      <c r="L92" s="2" t="inlineStr">
        <is>
          <t xml:space="preserve">ViewingProposal[] {id,status,effectiveStatus,startsAt,viewingId}</t>
        </is>
      </c>
      <c r="M92" s="2" t="inlineStr">
        <is>
          <t xml:space="preserve">Tenant chỉ đề nghị của mình, landlord chỉ phòng của mình; effectiveStatus EXPIRED nếu tới giờ dù DB còn PENDING.</t>
        </is>
      </c>
      <c r="N92" s="2" t="inlineStr">
        <is>
          <t xml:space="preserve">400 BAD_REQUEST
401 UNAUTHENTICATED
403 FORBIDDEN
404 RESOURCE_NOT_FOUND
422 VALIDATION_ERROR</t>
        </is>
      </c>
      <c r="O92" s="2" t="inlineStr">
        <is>
          <t xml:space="preserve"/>
        </is>
      </c>
      <c r="P92" s="2" t="inlineStr">
        <is>
          <t xml:space="preserve">Chưa làm</t>
        </is>
      </c>
      <c r="Q92" s="2" t="inlineStr">
        <is>
          <t xml:space="preserve">Chưa</t>
        </is>
      </c>
      <c r="R92" s="2" t="inlineStr">
        <is>
          <t xml:space="preserve">Chưa</t>
        </is>
      </c>
      <c r="S92" s="2" t="inlineStr">
        <is>
          <t xml:space="preserve">Chưa</t>
        </is>
      </c>
      <c r="T92" s="2" t="inlineStr">
        <is>
          <t xml:space="preserve">Chưa</t>
        </is>
      </c>
      <c r="U92" s="2" t="inlineStr">
        <is>
          <t xml:space="preserve">Chưa</t>
        </is>
      </c>
      <c r="V92" s="2" t="inlineStr">
        <is>
          <t xml:space="preserve">Chưa</t>
        </is>
      </c>
      <c r="W92" s="2" t="inlineStr">
        <is>
          <t xml:space="preserve">Chưa</t>
        </is>
      </c>
      <c r="X92" s="2" t="inlineStr">
        <is>
          <t xml:space="preserve">Chưa</t>
        </is>
      </c>
      <c r="Y92" s="3">
        <f>COUNTIF(Q92:X92,"Xong")/8</f>
        <v>0</v>
      </c>
      <c r="Z92" s="4" t="inlineStr">
        <is>
          <t xml:space="preserve"/>
        </is>
      </c>
      <c r="AA92" s="4" t="inlineStr">
        <is>
          <t xml:space="preserve"/>
        </is>
      </c>
      <c r="AB92" s="4" t="inlineStr">
        <is>
          <t xml:space="preserve"/>
        </is>
      </c>
      <c r="AC92" s="2" t="inlineStr">
        <is>
          <t xml:space="preserve"/>
        </is>
      </c>
      <c r="AD92" s="2" t="inlineStr">
        <is>
          <t xml:space="preserve">Happy path: Danh sách đề nghị đúng các bên; kiểm tra ViewingProposal[] {id,status,effectiveStatus,startsAt,viewingId}.
Thiếu phiên/phiên revoked/actor LOCKED và actor khác chủ hoặc khác participant phải bị chặn.
Ràng buộc: Khóa gửi và yêu cầu chờ của người/phòng có ràng buộc duy nhất; duyệt lại trả lịch đã tạo, không tạo thêm.
Phân trang/lọc đúng scope; dữ liệu riêng tư bị loại trên server, không chỉ ẩn UI.
Kiểm tra lỗi DB/provider không để lại cập nhật dở hoặc trả thành công giả.</t>
        </is>
      </c>
      <c r="AE92" s="2" t="inlineStr">
        <is>
          <t xml:space="preserve"/>
        </is>
      </c>
      <c r="AF92" s="5" t="inlineStr">
        <is>
          <t xml:space="preserve">Mở đặc tả</t>
        </is>
      </c>
    </row>
    <row r="93" ht="70" customHeight="1">
      <c r="A93" s="0" t="inlineStr">
        <is>
          <t xml:space="preserve">API-092</t>
        </is>
      </c>
      <c r="B93" s="0" t="inlineStr">
        <is>
          <t xml:space="preserve">Hẹn xem &amp; quyết định thuê</t>
        </is>
      </c>
      <c r="C93" s="0" t="inlineStr">
        <is>
          <t xml:space="preserve">propose-viewing</t>
        </is>
      </c>
      <c r="D93" s="0" t="inlineStr">
        <is>
          <t xml:space="preserve">POST</t>
        </is>
      </c>
      <c r="E93" s="0" t="inlineStr">
        <is>
          <t xml:space="preserve">/api/v1/viewing-proposals</t>
        </is>
      </c>
      <c r="F93" s="0" t="inlineStr">
        <is>
          <t xml:space="preserve">Người thuê gửi đề nghị lịch xem</t>
        </is>
      </c>
      <c r="G93" s="0" t="inlineStr">
        <is>
          <t xml:space="preserve">TENANT: chỉ chính người thuê và tài nguyên được phép</t>
        </is>
      </c>
      <c r="H93" s="0" t="inlineStr">
        <is>
          <t xml:space="preserve">P0</t>
        </is>
      </c>
      <c r="I93" s="0" t="inlineStr">
        <is>
          <t xml:space="preserve">Middleware auth/session/role + object scope
D09: idempotency store nếu chưa có khóa tự nhiên</t>
        </is>
      </c>
      <c r="J93" s="0" t="inlineStr">
        <is>
          <t xml:space="preserve">sp_request_viewing</t>
        </is>
      </c>
      <c r="K93" s="0" t="inlineStr">
        <is>
          <t xml:space="preserve">conversationId: id (bắt buộc) — ROOM_INQUIRY của đúng cặp người, phòng và tin.
roomId: id (bắt buộc) — AVAILABLE, chưa hợp đồng mở, không tải phòng.
startsAt: datetime (bắt buộc) — ISO 8601 có offset; tương lai. Lưu UTC, ngày/giờ nghiệp vụ Asia/Ho_Chi_Minh.
durationMinutes: integer (bắt buộc) — Chỉ 30/60/90/120.
notes: string (tùy chọn) — Tối đa 2.000 ký tự.</t>
        </is>
      </c>
      <c r="L93" s="0" t="inlineStr">
        <is>
          <t xml:space="preserve">ViewingProposal {id,status:PENDING,startsAt}</t>
        </is>
      </c>
      <c r="M93" s="0" t="inlineStr">
        <is>
          <t xml:space="preserve">Idempotency-Key UUID → p_key; tenant lấy actor. Một PENDING/tenant+room; không giữ khoảng giờ. Nếu chưa có conversation thì mở inquiry trước, không gửi roommate chat.</t>
        </is>
      </c>
      <c r="N93" s="0" t="inlineStr">
        <is>
          <t xml:space="preserve">400 BAD_REQUEST
401 UNAUTHENTICATED
403 FORBIDDEN
404 RESOURCE_NOT_FOUND
409 STATE_CONFLICT
409 IDEMPOTENCY_KEY_REUSED
422 VALIDATION_ERROR
409 VIEWING_TIME_OVERLAP
409 PENDING_PROPOSAL_EXISTS
409 PROPOSAL_EXPIRED
422 VIEWING_TIME_INVALID</t>
        </is>
      </c>
      <c r="O93" s="0" t="inlineStr">
        <is>
          <t xml:space="preserve"/>
        </is>
      </c>
      <c r="P93" s="0" t="inlineStr">
        <is>
          <t xml:space="preserve">Chưa làm</t>
        </is>
      </c>
      <c r="Q93" s="0" t="inlineStr">
        <is>
          <t xml:space="preserve">Chưa</t>
        </is>
      </c>
      <c r="R93" s="0" t="inlineStr">
        <is>
          <t xml:space="preserve">Chưa</t>
        </is>
      </c>
      <c r="S93" s="0" t="inlineStr">
        <is>
          <t xml:space="preserve">Chưa</t>
        </is>
      </c>
      <c r="T93" s="0" t="inlineStr">
        <is>
          <t xml:space="preserve">Chưa</t>
        </is>
      </c>
      <c r="U93" s="0" t="inlineStr">
        <is>
          <t xml:space="preserve">Chưa</t>
        </is>
      </c>
      <c r="V93" s="0" t="inlineStr">
        <is>
          <t xml:space="preserve">Chưa</t>
        </is>
      </c>
      <c r="W93" s="0" t="inlineStr">
        <is>
          <t xml:space="preserve">Chưa</t>
        </is>
      </c>
      <c r="X93" s="0" t="inlineStr">
        <is>
          <t xml:space="preserve">Chưa</t>
        </is>
      </c>
      <c r="Y93" s="3">
        <f>COUNTIF(Q93:X93,"Xong")/8</f>
        <v>0</v>
      </c>
      <c r="Z93" s="4" t="inlineStr">
        <is>
          <t xml:space="preserve"/>
        </is>
      </c>
      <c r="AA93" s="4" t="inlineStr">
        <is>
          <t xml:space="preserve"/>
        </is>
      </c>
      <c r="AB93" s="4" t="inlineStr">
        <is>
          <t xml:space="preserve"/>
        </is>
      </c>
      <c r="AC93" s="0" t="inlineStr">
        <is>
          <t xml:space="preserve"/>
        </is>
      </c>
      <c r="AD93" s="0" t="inlineStr">
        <is>
          <t xml:space="preserve">Happy path: Người thuê gửi đề nghị lịch xem; kiểm tra ViewingProposal {id,status:PENDING,startsAt}.
Thiếu phiên/phiên revoked/actor LOCKED và actor khác chủ hoặc khác participant phải bị chặn.
Ràng buộc: Khóa gửi và yêu cầu chờ của người/phòng có ràng buộc duy nhất; duyệt lại trả lịch đã tạo, không tạo thêm.
Gửi lặp cùng khóa trả kết quả cũ; cùng khóa khác payload trả 409; hai request tranh cùng tài nguyên không vượt hạn mức.
Lỗi giữa giao dịch phải rollback; xác minh không bọc CALL trong transaction của ứng dụng.</t>
        </is>
      </c>
      <c r="AE93" s="0" t="inlineStr">
        <is>
          <t xml:space="preserve"/>
        </is>
      </c>
      <c r="AF93" s="5" t="inlineStr">
        <is>
          <t xml:space="preserve">Mở đặc tả</t>
        </is>
      </c>
    </row>
    <row r="94" ht="70" customHeight="1">
      <c r="A94" s="2" t="inlineStr">
        <is>
          <t xml:space="preserve">API-093</t>
        </is>
      </c>
      <c r="B94" s="2" t="inlineStr">
        <is>
          <t xml:space="preserve">Hẹn xem &amp; quyết định thuê</t>
        </is>
      </c>
      <c r="C94" s="2" t="inlineStr">
        <is>
          <t xml:space="preserve">propose-viewing</t>
        </is>
      </c>
      <c r="D94" s="2" t="inlineStr">
        <is>
          <t xml:space="preserve">POST</t>
        </is>
      </c>
      <c r="E94" s="2" t="inlineStr">
        <is>
          <t xml:space="preserve">/api/v1/viewing-proposals/{proposalId}/decision</t>
        </is>
      </c>
      <c r="F94" s="2" t="inlineStr">
        <is>
          <t xml:space="preserve">Chủ trọ chấp nhận/từ chối đề nghị</t>
        </is>
      </c>
      <c r="G94" s="2" t="inlineStr">
        <is>
          <t xml:space="preserve">LANDLORD: sở hữu nhà/phòng/hợp đồng</t>
        </is>
      </c>
      <c r="H94" s="2" t="inlineStr">
        <is>
          <t xml:space="preserve">P0</t>
        </is>
      </c>
      <c r="I94" s="2" t="inlineStr">
        <is>
          <t xml:space="preserve">Middleware auth/session/role + object scope
D09: idempotency store nếu chưa có khóa tự nhiên</t>
        </is>
      </c>
      <c r="J94" s="2" t="inlineStr">
        <is>
          <t xml:space="preserve">sp_review_viewing_proposal</t>
        </is>
      </c>
      <c r="K94" s="2" t="inlineStr">
        <is>
          <t xml:space="preserve">decision: enum (bắt buộc) — ACCEPT / REJECT.
reason: string (tùy chọn) — Bắt buộc REJECT, ≤1.000 ký tự.</t>
        </is>
      </c>
      <c r="L94" s="2" t="inlineStr">
        <is>
          <t xml:space="preserve">{proposal:ViewingProposal,viewing:Viewing|null}</t>
        </is>
      </c>
      <c r="M94" s="2" t="inlineStr">
        <is>
          <t xml:space="preserve">p_action ACCEPT/REJECT. Accept khóa phòng, kiểm tra lại hợp đồng/quyền/ngữ cảnh/trùng giờ; tạo lịch cùng transaction. Duyệt lại trả linked viewing đã có.</t>
        </is>
      </c>
      <c r="N94" s="2" t="inlineStr">
        <is>
          <t xml:space="preserve">400 BAD_REQUEST
401 UNAUTHENTICATED
403 FORBIDDEN
404 RESOURCE_NOT_FOUND
409 STATE_CONFLICT
409 IDEMPOTENCY_KEY_REUSED
422 VALIDATION_ERROR
409 VIEWING_TIME_OVERLAP
409 PENDING_PROPOSAL_EXISTS
409 PROPOSAL_EXPIRED
422 VIEWING_TIME_INVALID</t>
        </is>
      </c>
      <c r="O94" s="2" t="inlineStr">
        <is>
          <t xml:space="preserve"/>
        </is>
      </c>
      <c r="P94" s="2" t="inlineStr">
        <is>
          <t xml:space="preserve">Chưa làm</t>
        </is>
      </c>
      <c r="Q94" s="2" t="inlineStr">
        <is>
          <t xml:space="preserve">Chưa</t>
        </is>
      </c>
      <c r="R94" s="2" t="inlineStr">
        <is>
          <t xml:space="preserve">Chưa</t>
        </is>
      </c>
      <c r="S94" s="2" t="inlineStr">
        <is>
          <t xml:space="preserve">Chưa</t>
        </is>
      </c>
      <c r="T94" s="2" t="inlineStr">
        <is>
          <t xml:space="preserve">Chưa</t>
        </is>
      </c>
      <c r="U94" s="2" t="inlineStr">
        <is>
          <t xml:space="preserve">Chưa</t>
        </is>
      </c>
      <c r="V94" s="2" t="inlineStr">
        <is>
          <t xml:space="preserve">Chưa</t>
        </is>
      </c>
      <c r="W94" s="2" t="inlineStr">
        <is>
          <t xml:space="preserve">Chưa</t>
        </is>
      </c>
      <c r="X94" s="2" t="inlineStr">
        <is>
          <t xml:space="preserve">Chưa</t>
        </is>
      </c>
      <c r="Y94" s="3">
        <f>COUNTIF(Q94:X94,"Xong")/8</f>
        <v>0</v>
      </c>
      <c r="Z94" s="4" t="inlineStr">
        <is>
          <t xml:space="preserve"/>
        </is>
      </c>
      <c r="AA94" s="4" t="inlineStr">
        <is>
          <t xml:space="preserve"/>
        </is>
      </c>
      <c r="AB94" s="4" t="inlineStr">
        <is>
          <t xml:space="preserve"/>
        </is>
      </c>
      <c r="AC94" s="2" t="inlineStr">
        <is>
          <t xml:space="preserve"/>
        </is>
      </c>
      <c r="AD94" s="2" t="inlineStr">
        <is>
          <t xml:space="preserve">Happy path: Chủ trọ chấp nhận/từ chối đề nghị; kiểm tra {proposal:ViewingProposal,viewing:Viewing|null}.
Thiếu phiên/phiên revoked/actor LOCKED và actor khác chủ hoặc khác participant phải bị chặn.
Ràng buộc: Khóa gửi và yêu cầu chờ của người/phòng có ràng buộc duy nhất; duyệt lại trả lịch đã tạo, không tạo thêm.
Gửi lặp cùng khóa trả kết quả cũ; cùng khóa khác payload trả 409; hai request tranh cùng tài nguyên không vượt hạn mức.
Lỗi giữa giao dịch phải rollback; xác minh không bọc CALL trong transaction của ứng dụng.</t>
        </is>
      </c>
      <c r="AE94" s="2" t="inlineStr">
        <is>
          <t xml:space="preserve"/>
        </is>
      </c>
      <c r="AF94" s="5" t="inlineStr">
        <is>
          <t xml:space="preserve">Mở đặc tả</t>
        </is>
      </c>
    </row>
    <row r="95" ht="70" customHeight="1">
      <c r="A95" s="0" t="inlineStr">
        <is>
          <t xml:space="preserve">API-094</t>
        </is>
      </c>
      <c r="B95" s="0" t="inlineStr">
        <is>
          <t xml:space="preserve">Hẹn xem &amp; quyết định thuê</t>
        </is>
      </c>
      <c r="C95" s="0" t="inlineStr">
        <is>
          <t xml:space="preserve">propose-viewing</t>
        </is>
      </c>
      <c r="D95" s="0" t="inlineStr">
        <is>
          <t xml:space="preserve">POST</t>
        </is>
      </c>
      <c r="E95" s="0" t="inlineStr">
        <is>
          <t xml:space="preserve">/api/v1/viewing-proposals/{proposalId}/withdraw</t>
        </is>
      </c>
      <c r="F95" s="0" t="inlineStr">
        <is>
          <t xml:space="preserve">Rút đề nghị của mình</t>
        </is>
      </c>
      <c r="G95" s="0" t="inlineStr">
        <is>
          <t xml:space="preserve">TENANT: chỉ chính người thuê và tài nguyên được phép</t>
        </is>
      </c>
      <c r="H95" s="0" t="inlineStr">
        <is>
          <t xml:space="preserve">P0</t>
        </is>
      </c>
      <c r="I95" s="0" t="inlineStr">
        <is>
          <t xml:space="preserve">Middleware auth/session/role + object scope
D09: idempotency store nếu chưa có khóa tự nhiên</t>
        </is>
      </c>
      <c r="J95" s="0" t="inlineStr">
        <is>
          <t xml:space="preserve">sp_withdraw_viewing_proposal</t>
        </is>
      </c>
      <c r="K95" s="0" t="inlineStr">
        <is>
          <t xml:space="preserve">Không có JSON body</t>
        </is>
      </c>
      <c r="L95" s="0" t="inlineStr">
        <is>
          <t xml:space="preserve">ViewingProposal {id,status:WITHDRAWN}</t>
        </is>
      </c>
      <c r="M95" s="0" t="inlineStr">
        <is>
          <t xml:space="preserve">Chỉ PENDING chưa tới giờ; đã ACCEPTED thì hủy lịch, không sửa lịch sử proposal.</t>
        </is>
      </c>
      <c r="N95" s="0" t="inlineStr">
        <is>
          <t xml:space="preserve">400 BAD_REQUEST
401 UNAUTHENTICATED
403 FORBIDDEN
404 RESOURCE_NOT_FOUND
409 STATE_CONFLICT
409 IDEMPOTENCY_KEY_REUSED
422 VALIDATION_ERROR
409 VIEWING_TIME_OVERLAP
409 PENDING_PROPOSAL_EXISTS
409 PROPOSAL_EXPIRED
422 VIEWING_TIME_INVALID</t>
        </is>
      </c>
      <c r="O95" s="0" t="inlineStr">
        <is>
          <t xml:space="preserve"/>
        </is>
      </c>
      <c r="P95" s="0" t="inlineStr">
        <is>
          <t xml:space="preserve">Chưa làm</t>
        </is>
      </c>
      <c r="Q95" s="0" t="inlineStr">
        <is>
          <t xml:space="preserve">Chưa</t>
        </is>
      </c>
      <c r="R95" s="0" t="inlineStr">
        <is>
          <t xml:space="preserve">Chưa</t>
        </is>
      </c>
      <c r="S95" s="0" t="inlineStr">
        <is>
          <t xml:space="preserve">Chưa</t>
        </is>
      </c>
      <c r="T95" s="0" t="inlineStr">
        <is>
          <t xml:space="preserve">Chưa</t>
        </is>
      </c>
      <c r="U95" s="0" t="inlineStr">
        <is>
          <t xml:space="preserve">Chưa</t>
        </is>
      </c>
      <c r="V95" s="0" t="inlineStr">
        <is>
          <t xml:space="preserve">Chưa</t>
        </is>
      </c>
      <c r="W95" s="0" t="inlineStr">
        <is>
          <t xml:space="preserve">Chưa</t>
        </is>
      </c>
      <c r="X95" s="0" t="inlineStr">
        <is>
          <t xml:space="preserve">Chưa</t>
        </is>
      </c>
      <c r="Y95" s="3">
        <f>COUNTIF(Q95:X95,"Xong")/8</f>
        <v>0</v>
      </c>
      <c r="Z95" s="4" t="inlineStr">
        <is>
          <t xml:space="preserve"/>
        </is>
      </c>
      <c r="AA95" s="4" t="inlineStr">
        <is>
          <t xml:space="preserve"/>
        </is>
      </c>
      <c r="AB95" s="4" t="inlineStr">
        <is>
          <t xml:space="preserve"/>
        </is>
      </c>
      <c r="AC95" s="0" t="inlineStr">
        <is>
          <t xml:space="preserve"/>
        </is>
      </c>
      <c r="AD95" s="0" t="inlineStr">
        <is>
          <t xml:space="preserve">Happy path: Rút đề nghị của mình; kiểm tra ViewingProposal {id,status:WITHDRAWN}.
Thiếu phiên/phiên revoked/actor LOCKED và actor khác chủ hoặc khác participant phải bị chặn.
Ràng buộc: Khóa gửi và yêu cầu chờ của người/phòng có ràng buộc duy nhất; duyệt lại trả lịch đã tạo, không tạo thêm.
Gửi lặp cùng khóa trả kết quả cũ; cùng khóa khác payload trả 409; hai request tranh cùng tài nguyên không vượt hạn mức.
Lỗi giữa giao dịch phải rollback; xác minh không bọc CALL trong transaction của ứng dụng.</t>
        </is>
      </c>
      <c r="AE95" s="0" t="inlineStr">
        <is>
          <t xml:space="preserve"/>
        </is>
      </c>
      <c r="AF95" s="5" t="inlineStr">
        <is>
          <t xml:space="preserve">Mở đặc tả</t>
        </is>
      </c>
    </row>
    <row r="96" ht="70" customHeight="1">
      <c r="A96" s="2" t="inlineStr">
        <is>
          <t xml:space="preserve">API-095</t>
        </is>
      </c>
      <c r="B96" s="2" t="inlineStr">
        <is>
          <t xml:space="preserve">Hẹn xem &amp; quyết định thuê</t>
        </is>
      </c>
      <c r="C96" s="2" t="inlineStr">
        <is>
          <t xml:space="preserve">schedule-viewing</t>
        </is>
      </c>
      <c r="D96" s="2" t="inlineStr">
        <is>
          <t xml:space="preserve">GET</t>
        </is>
      </c>
      <c r="E96" s="2" t="inlineStr">
        <is>
          <t xml:space="preserve">/api/v1/viewings</t>
        </is>
      </c>
      <c r="F96" s="2" t="inlineStr">
        <is>
          <t xml:space="preserve">Danh sách lịch đã chốt</t>
        </is>
      </c>
      <c r="G96" s="2" t="inlineStr">
        <is>
          <t xml:space="preserve">TENANT: chỉ chính người thuê và tài nguyên được phép hoặc LANDLORD: sở hữu nhà/phòng/hợp đồng</t>
        </is>
      </c>
      <c r="H96" s="2" t="inlineStr">
        <is>
          <t xml:space="preserve">P0</t>
        </is>
      </c>
      <c r="I96" s="2" t="inlineStr">
        <is>
          <t xml:space="preserve">Middleware auth/session/role + object scope</t>
        </is>
      </c>
      <c r="J96" s="2" t="inlineStr">
        <is>
          <t xml:space="preserve">READ: truy vấn có scope quyền</t>
        </is>
      </c>
      <c r="K96" s="2" t="inlineStr">
        <is>
          <t xml:space="preserve">Không có JSON body</t>
        </is>
      </c>
      <c r="L96" s="2" t="inlineStr">
        <is>
          <t xml:space="preserve">Viewing[] và decision</t>
        </is>
      </c>
      <c r="M96" s="2" t="inlineStr">
        <is>
          <t xml:space="preserve">Scope người thuê/chủ, lọc ngày theo VN rồi đổi UTC; tổng quan chỉ SCHEDULED chưa kết thúc, sort starts_at.</t>
        </is>
      </c>
      <c r="N96" s="2" t="inlineStr">
        <is>
          <t xml:space="preserve">400 BAD_REQUEST
401 UNAUTHENTICATED
403 FORBIDDEN
404 RESOURCE_NOT_FOUND
422 VALIDATION_ERROR</t>
        </is>
      </c>
      <c r="O96" s="2" t="inlineStr">
        <is>
          <t xml:space="preserve"/>
        </is>
      </c>
      <c r="P96" s="2" t="inlineStr">
        <is>
          <t xml:space="preserve">Chưa làm</t>
        </is>
      </c>
      <c r="Q96" s="2" t="inlineStr">
        <is>
          <t xml:space="preserve">Chưa</t>
        </is>
      </c>
      <c r="R96" s="2" t="inlineStr">
        <is>
          <t xml:space="preserve">Chưa</t>
        </is>
      </c>
      <c r="S96" s="2" t="inlineStr">
        <is>
          <t xml:space="preserve">Chưa</t>
        </is>
      </c>
      <c r="T96" s="2" t="inlineStr">
        <is>
          <t xml:space="preserve">Chưa</t>
        </is>
      </c>
      <c r="U96" s="2" t="inlineStr">
        <is>
          <t xml:space="preserve">Chưa</t>
        </is>
      </c>
      <c r="V96" s="2" t="inlineStr">
        <is>
          <t xml:space="preserve">Chưa</t>
        </is>
      </c>
      <c r="W96" s="2" t="inlineStr">
        <is>
          <t xml:space="preserve">Chưa</t>
        </is>
      </c>
      <c r="X96" s="2" t="inlineStr">
        <is>
          <t xml:space="preserve">Chưa</t>
        </is>
      </c>
      <c r="Y96" s="3">
        <f>COUNTIF(Q96:X96,"Xong")/8</f>
        <v>0</v>
      </c>
      <c r="Z96" s="4" t="inlineStr">
        <is>
          <t xml:space="preserve"/>
        </is>
      </c>
      <c r="AA96" s="4" t="inlineStr">
        <is>
          <t xml:space="preserve"/>
        </is>
      </c>
      <c r="AB96" s="4" t="inlineStr">
        <is>
          <t xml:space="preserve"/>
        </is>
      </c>
      <c r="AC96" s="2" t="inlineStr">
        <is>
          <t xml:space="preserve"/>
        </is>
      </c>
      <c r="AD96" s="2" t="inlineStr">
        <is>
          <t xml:space="preserve">Happy path: Danh sách lịch đã chốt; kiểm tra Viewing[] và decision.
Thiếu phiên/phiên revoked/actor LOCKED và actor khác chủ hoặc khác participant phải bị chặn.
Ràng buộc: Kiểm tra kiểu dữ liệu và quan hệ FK.
Phân trang/lọc đúng scope; dữ liệu riêng tư bị loại trên server, không chỉ ẩn UI.
Kiểm tra lỗi DB/provider không để lại cập nhật dở hoặc trả thành công giả.</t>
        </is>
      </c>
      <c r="AE96" s="2" t="inlineStr">
        <is>
          <t xml:space="preserve"/>
        </is>
      </c>
      <c r="AF96" s="5" t="inlineStr">
        <is>
          <t xml:space="preserve">Mở đặc tả</t>
        </is>
      </c>
    </row>
    <row r="97" ht="70" customHeight="1">
      <c r="A97" s="0" t="inlineStr">
        <is>
          <t xml:space="preserve">API-096</t>
        </is>
      </c>
      <c r="B97" s="0" t="inlineStr">
        <is>
          <t xml:space="preserve">Hẹn xem &amp; quyết định thuê</t>
        </is>
      </c>
      <c r="C97" s="0" t="inlineStr">
        <is>
          <t xml:space="preserve">schedule-viewing</t>
        </is>
      </c>
      <c r="D97" s="0" t="inlineStr">
        <is>
          <t xml:space="preserve">GET</t>
        </is>
      </c>
      <c r="E97" s="0" t="inlineStr">
        <is>
          <t xml:space="preserve">/api/v1/viewings/{viewingId}</t>
        </is>
      </c>
      <c r="F97" s="0" t="inlineStr">
        <is>
          <t xml:space="preserve">Chi tiết lịch xem</t>
        </is>
      </c>
      <c r="G97" s="0" t="inlineStr">
        <is>
          <t xml:space="preserve">TENANT: chỉ chính người thuê và tài nguyên được phép hoặc LANDLORD: sở hữu nhà/phòng/hợp đồng</t>
        </is>
      </c>
      <c r="H97" s="0" t="inlineStr">
        <is>
          <t xml:space="preserve">P0</t>
        </is>
      </c>
      <c r="I97" s="0" t="inlineStr">
        <is>
          <t xml:space="preserve">Middleware auth/session/role + object scope</t>
        </is>
      </c>
      <c r="J97" s="0" t="inlineStr">
        <is>
          <t xml:space="preserve">READ: truy vấn có scope quyền</t>
        </is>
      </c>
      <c r="K97" s="0" t="inlineStr">
        <is>
          <t xml:space="preserve">Không có JSON body</t>
        </is>
      </c>
      <c r="L97" s="0" t="inlineStr">
        <is>
          <t xml:space="preserve">Viewing {id,startsAt,endsAt,status,tenantDecision,cancelReason}</t>
        </is>
      </c>
      <c r="M97" s="0" t="inlineStr">
        <is>
          <t xml:space="preserve">Chỉ hai bên của lịch; trả cùng bản ghi mà chat dùng.</t>
        </is>
      </c>
      <c r="N97" s="0" t="inlineStr">
        <is>
          <t xml:space="preserve">400 BAD_REQUEST
401 UNAUTHENTICATED
403 FORBIDDEN
404 RESOURCE_NOT_FOUND</t>
        </is>
      </c>
      <c r="O97" s="0" t="inlineStr">
        <is>
          <t xml:space="preserve"/>
        </is>
      </c>
      <c r="P97" s="0" t="inlineStr">
        <is>
          <t xml:space="preserve">Chưa làm</t>
        </is>
      </c>
      <c r="Q97" s="0" t="inlineStr">
        <is>
          <t xml:space="preserve">Chưa</t>
        </is>
      </c>
      <c r="R97" s="0" t="inlineStr">
        <is>
          <t xml:space="preserve">Chưa</t>
        </is>
      </c>
      <c r="S97" s="0" t="inlineStr">
        <is>
          <t xml:space="preserve">Chưa</t>
        </is>
      </c>
      <c r="T97" s="0" t="inlineStr">
        <is>
          <t xml:space="preserve">Chưa</t>
        </is>
      </c>
      <c r="U97" s="0" t="inlineStr">
        <is>
          <t xml:space="preserve">Chưa</t>
        </is>
      </c>
      <c r="V97" s="0" t="inlineStr">
        <is>
          <t xml:space="preserve">Chưa</t>
        </is>
      </c>
      <c r="W97" s="0" t="inlineStr">
        <is>
          <t xml:space="preserve">Chưa</t>
        </is>
      </c>
      <c r="X97" s="0" t="inlineStr">
        <is>
          <t xml:space="preserve">Chưa</t>
        </is>
      </c>
      <c r="Y97" s="3">
        <f>COUNTIF(Q97:X97,"Xong")/8</f>
        <v>0</v>
      </c>
      <c r="Z97" s="4" t="inlineStr">
        <is>
          <t xml:space="preserve"/>
        </is>
      </c>
      <c r="AA97" s="4" t="inlineStr">
        <is>
          <t xml:space="preserve"/>
        </is>
      </c>
      <c r="AB97" s="4" t="inlineStr">
        <is>
          <t xml:space="preserve"/>
        </is>
      </c>
      <c r="AC97" s="0" t="inlineStr">
        <is>
          <t xml:space="preserve"/>
        </is>
      </c>
      <c r="AD97" s="0" t="inlineStr">
        <is>
          <t xml:space="preserve">Happy path: Chi tiết lịch xem; kiểm tra Viewing {id,startsAt,endsAt,status,tenantDecision,cancelReason}.
Thiếu phiên/phiên revoked/actor LOCKED và actor khác chủ hoặc khác participant phải bị chặn.
Ràng buộc: Kiểm tra kiểu dữ liệu và quan hệ FK.
Phân trang/lọc đúng scope; dữ liệu riêng tư bị loại trên server, không chỉ ẩn UI.
Kiểm tra lỗi DB/provider không để lại cập nhật dở hoặc trả thành công giả.</t>
        </is>
      </c>
      <c r="AE97" s="0" t="inlineStr">
        <is>
          <t xml:space="preserve"/>
        </is>
      </c>
      <c r="AF97" s="5" t="inlineStr">
        <is>
          <t xml:space="preserve">Mở đặc tả</t>
        </is>
      </c>
    </row>
    <row r="98" ht="70" customHeight="1">
      <c r="A98" s="2" t="inlineStr">
        <is>
          <t xml:space="preserve">API-097</t>
        </is>
      </c>
      <c r="B98" s="2" t="inlineStr">
        <is>
          <t xml:space="preserve">Hẹn xem &amp; quyết định thuê</t>
        </is>
      </c>
      <c r="C98" s="2" t="inlineStr">
        <is>
          <t xml:space="preserve">schedule-viewing</t>
        </is>
      </c>
      <c r="D98" s="2" t="inlineStr">
        <is>
          <t xml:space="preserve">POST</t>
        </is>
      </c>
      <c r="E98" s="2" t="inlineStr">
        <is>
          <t xml:space="preserve">/api/v1/viewings</t>
        </is>
      </c>
      <c r="F98" s="2" t="inlineStr">
        <is>
          <t xml:space="preserve">Chủ trọ tự chốt lịch sau trao đổi</t>
        </is>
      </c>
      <c r="G98" s="2" t="inlineStr">
        <is>
          <t xml:space="preserve">LANDLORD: sở hữu nhà/phòng/hợp đồng</t>
        </is>
      </c>
      <c r="H98" s="2" t="inlineStr">
        <is>
          <t xml:space="preserve">P0</t>
        </is>
      </c>
      <c r="I98" s="2" t="inlineStr">
        <is>
          <t xml:space="preserve">Middleware auth/session/role + object scope
D09: idempotency store nếu chưa có khóa tự nhiên</t>
        </is>
      </c>
      <c r="J98" s="2" t="inlineStr">
        <is>
          <t xml:space="preserve">sp_schedule_viewing</t>
        </is>
      </c>
      <c r="K98" s="2" t="inlineStr">
        <is>
          <t xml:space="preserve">conversationId: id (bắt buộc) — ROOM_INQUIRY của đúng cặp người, phòng và tin.
roomId: id (bắt buộc) — AVAILABLE, chưa hợp đồng mở, không tải phòng.
startsAt: datetime (bắt buộc) — ISO 8601 có offset; tương lai. Lưu UTC, ngày/giờ nghiệp vụ Asia/Ho_Chi_Minh.
durationMinutes: integer (bắt buộc) — Chỉ 30/60/90/120.
notes: string (tùy chọn) — Tối đa 2.000 ký tự.
tenantId: id (bắt buộc) — Đúng tenant trong ROOM_INQUIRY, đã gửi tin về phòng.</t>
        </is>
      </c>
      <c r="L98" s="2" t="inlineStr">
        <is>
          <t xml:space="preserve">Viewing {id,status:SCHEDULED}</t>
        </is>
      </c>
      <c r="M98" s="2" t="inlineStr">
        <is>
          <t xml:space="preserve">Gọi giờ UTC; 30/60/90/120 phút, khóa room, không trùng interval [start,end), liền kề hợp lệ. Không tạo lịch từ ROOMMATE.</t>
        </is>
      </c>
      <c r="N98" s="2" t="inlineStr">
        <is>
          <t xml:space="preserve">400 BAD_REQUEST
401 UNAUTHENTICATED
403 FORBIDDEN
404 RESOURCE_NOT_FOUND
409 STATE_CONFLICT
409 IDEMPOTENCY_KEY_REUSED
422 VALIDATION_ERROR
409 VIEWING_TIME_OVERLAP
422 VIEWING_CONTEXT_INVALID
422 VIEWING_TIME_INVALID</t>
        </is>
      </c>
      <c r="O98" s="2" t="inlineStr">
        <is>
          <t xml:space="preserve"/>
        </is>
      </c>
      <c r="P98" s="2" t="inlineStr">
        <is>
          <t xml:space="preserve">Chưa làm</t>
        </is>
      </c>
      <c r="Q98" s="2" t="inlineStr">
        <is>
          <t xml:space="preserve">Chưa</t>
        </is>
      </c>
      <c r="R98" s="2" t="inlineStr">
        <is>
          <t xml:space="preserve">Chưa</t>
        </is>
      </c>
      <c r="S98" s="2" t="inlineStr">
        <is>
          <t xml:space="preserve">Chưa</t>
        </is>
      </c>
      <c r="T98" s="2" t="inlineStr">
        <is>
          <t xml:space="preserve">Chưa</t>
        </is>
      </c>
      <c r="U98" s="2" t="inlineStr">
        <is>
          <t xml:space="preserve">Chưa</t>
        </is>
      </c>
      <c r="V98" s="2" t="inlineStr">
        <is>
          <t xml:space="preserve">Chưa</t>
        </is>
      </c>
      <c r="W98" s="2" t="inlineStr">
        <is>
          <t xml:space="preserve">Chưa</t>
        </is>
      </c>
      <c r="X98" s="2" t="inlineStr">
        <is>
          <t xml:space="preserve">Chưa</t>
        </is>
      </c>
      <c r="Y98" s="3">
        <f>COUNTIF(Q98:X98,"Xong")/8</f>
        <v>0</v>
      </c>
      <c r="Z98" s="4" t="inlineStr">
        <is>
          <t xml:space="preserve"/>
        </is>
      </c>
      <c r="AA98" s="4" t="inlineStr">
        <is>
          <t xml:space="preserve"/>
        </is>
      </c>
      <c r="AB98" s="4" t="inlineStr">
        <is>
          <t xml:space="preserve"/>
        </is>
      </c>
      <c r="AC98" s="2" t="inlineStr">
        <is>
          <t xml:space="preserve"/>
        </is>
      </c>
      <c r="AD98" s="2" t="inlineStr">
        <is>
          <t xml:space="preserve">Happy path: Chủ trọ tự chốt lịch sau trao đổi; kiểm tra Viewing {id,status:SCHEDULED}.
Thiếu phiên/phiên revoked/actor LOCKED và actor khác chủ hoặc khác participant phải bị chặn.
Ràng buộc: Kiểm tra kiểu dữ liệu và quan hệ FK.
Gửi lặp cùng khóa trả kết quả cũ; cùng khóa khác payload trả 409; hai request tranh cùng tài nguyên không vượt hạn mức.
Lỗi giữa giao dịch phải rollback; xác minh không bọc CALL trong transaction của ứng dụng.</t>
        </is>
      </c>
      <c r="AE98" s="2" t="inlineStr">
        <is>
          <t xml:space="preserve"/>
        </is>
      </c>
      <c r="AF98" s="5" t="inlineStr">
        <is>
          <t xml:space="preserve">Mở đặc tả</t>
        </is>
      </c>
    </row>
    <row r="99" ht="70" customHeight="1">
      <c r="A99" s="0" t="inlineStr">
        <is>
          <t xml:space="preserve">API-098</t>
        </is>
      </c>
      <c r="B99" s="0" t="inlineStr">
        <is>
          <t xml:space="preserve">Hẹn xem &amp; quyết định thuê</t>
        </is>
      </c>
      <c r="C99" s="0" t="inlineStr">
        <is>
          <t xml:space="preserve">viewing-outcome</t>
        </is>
      </c>
      <c r="D99" s="0" t="inlineStr">
        <is>
          <t xml:space="preserve">POST</t>
        </is>
      </c>
      <c r="E99" s="0" t="inlineStr">
        <is>
          <t xml:space="preserve">/api/v1/viewings/{viewingId}/attendance</t>
        </is>
      </c>
      <c r="F99" s="0" t="inlineStr">
        <is>
          <t xml:space="preserve">Chủ trọ ghi nhận đã xem hoặc không đến</t>
        </is>
      </c>
      <c r="G99" s="0" t="inlineStr">
        <is>
          <t xml:space="preserve">LANDLORD: sở hữu nhà/phòng/hợp đồng</t>
        </is>
      </c>
      <c r="H99" s="0" t="inlineStr">
        <is>
          <t xml:space="preserve">P0</t>
        </is>
      </c>
      <c r="I99" s="0" t="inlineStr">
        <is>
          <t xml:space="preserve">Middleware auth/session/role + object scope
D09: idempotency store nếu chưa có khóa tự nhiên</t>
        </is>
      </c>
      <c r="J99" s="0" t="inlineStr">
        <is>
          <t xml:space="preserve">sp_set_viewing_outcome</t>
        </is>
      </c>
      <c r="K99" s="0" t="inlineStr">
        <is>
          <t xml:space="preserve">outcome: enum (bắt buộc) — ATTENDED / NO_SHOW.</t>
        </is>
      </c>
      <c r="L99" s="0" t="inlineStr">
        <is>
          <t xml:space="preserve">Viewing {id,status,attendanceConfirmedAt}</t>
        </is>
      </c>
      <c r="M99" s="0" t="inlineStr">
        <is>
          <t xml:space="preserve">ATTENDED chỉ khi đến giờ bắt đầu; NO_SHOW chỉ khi đã hết giờ. SCHEDULED là trạng thái nguồn.</t>
        </is>
      </c>
      <c r="N99" s="0" t="inlineStr">
        <is>
          <t xml:space="preserve">400 BAD_REQUEST
401 UNAUTHENTICATED
403 FORBIDDEN
404 RESOURCE_NOT_FOUND
409 STATE_CONFLICT
409 IDEMPOTENCY_KEY_REUSED
422 VALIDATION_ERROR
409 VIEWING_STATE_CHANGED
422 OUTCOME_NOT_YET_ALLOWED
409 OPEN_CONTRACT_EXISTS</t>
        </is>
      </c>
      <c r="O99" s="0" t="inlineStr">
        <is>
          <t xml:space="preserve"/>
        </is>
      </c>
      <c r="P99" s="0" t="inlineStr">
        <is>
          <t xml:space="preserve">Chưa làm</t>
        </is>
      </c>
      <c r="Q99" s="0" t="inlineStr">
        <is>
          <t xml:space="preserve">Chưa</t>
        </is>
      </c>
      <c r="R99" s="0" t="inlineStr">
        <is>
          <t xml:space="preserve">Chưa</t>
        </is>
      </c>
      <c r="S99" s="0" t="inlineStr">
        <is>
          <t xml:space="preserve">Chưa</t>
        </is>
      </c>
      <c r="T99" s="0" t="inlineStr">
        <is>
          <t xml:space="preserve">Chưa</t>
        </is>
      </c>
      <c r="U99" s="0" t="inlineStr">
        <is>
          <t xml:space="preserve">Chưa</t>
        </is>
      </c>
      <c r="V99" s="0" t="inlineStr">
        <is>
          <t xml:space="preserve">Chưa</t>
        </is>
      </c>
      <c r="W99" s="0" t="inlineStr">
        <is>
          <t xml:space="preserve">Chưa</t>
        </is>
      </c>
      <c r="X99" s="0" t="inlineStr">
        <is>
          <t xml:space="preserve">Chưa</t>
        </is>
      </c>
      <c r="Y99" s="3">
        <f>COUNTIF(Q99:X99,"Xong")/8</f>
        <v>0</v>
      </c>
      <c r="Z99" s="4" t="inlineStr">
        <is>
          <t xml:space="preserve"/>
        </is>
      </c>
      <c r="AA99" s="4" t="inlineStr">
        <is>
          <t xml:space="preserve"/>
        </is>
      </c>
      <c r="AB99" s="4" t="inlineStr">
        <is>
          <t xml:space="preserve"/>
        </is>
      </c>
      <c r="AC99" s="0" t="inlineStr">
        <is>
          <t xml:space="preserve"/>
        </is>
      </c>
      <c r="AD99" s="0" t="inlineStr">
        <is>
          <t xml:space="preserve">Happy path: Chủ trọ ghi nhận đã xem hoặc không đến; kiểm tra Viewing {id,status,attendanceConfirmedAt}.
Thiếu phiên/phiên revoked/actor LOCKED và actor khác chủ hoặc khác participant phải bị chặn.
Ràng buộc: Kiểm tra kiểu dữ liệu và quan hệ FK.
Gửi lặp cùng khóa trả kết quả cũ; cùng khóa khác payload trả 409; hai request tranh cùng tài nguyên không vượt hạn mức.
Lỗi giữa giao dịch phải rollback; xác minh không bọc CALL trong transaction của ứng dụng.</t>
        </is>
      </c>
      <c r="AE99" s="0" t="inlineStr">
        <is>
          <t xml:space="preserve"/>
        </is>
      </c>
      <c r="AF99" s="5" t="inlineStr">
        <is>
          <t xml:space="preserve">Mở đặc tả</t>
        </is>
      </c>
    </row>
    <row r="100" ht="70" customHeight="1">
      <c r="A100" s="2" t="inlineStr">
        <is>
          <t xml:space="preserve">API-099</t>
        </is>
      </c>
      <c r="B100" s="2" t="inlineStr">
        <is>
          <t xml:space="preserve">Hẹn xem &amp; quyết định thuê</t>
        </is>
      </c>
      <c r="C100" s="2" t="inlineStr">
        <is>
          <t xml:space="preserve">viewing-outcome</t>
        </is>
      </c>
      <c r="D100" s="2" t="inlineStr">
        <is>
          <t xml:space="preserve">POST</t>
        </is>
      </c>
      <c r="E100" s="2" t="inlineStr">
        <is>
          <t xml:space="preserve">/api/v1/viewings/{viewingId}/cancel</t>
        </is>
      </c>
      <c r="F100" s="2" t="inlineStr">
        <is>
          <t xml:space="preserve">Hai bên hủy lịch đang hẹn</t>
        </is>
      </c>
      <c r="G100" s="2" t="inlineStr">
        <is>
          <t xml:space="preserve">TENANT: chỉ chính người thuê và tài nguyên được phép hoặc LANDLORD: sở hữu nhà/phòng/hợp đồng</t>
        </is>
      </c>
      <c r="H100" s="2" t="inlineStr">
        <is>
          <t xml:space="preserve">P0</t>
        </is>
      </c>
      <c r="I100" s="2" t="inlineStr">
        <is>
          <t xml:space="preserve">Middleware auth/session/role + object scope
D09: idempotency store nếu chưa có khóa tự nhiên</t>
        </is>
      </c>
      <c r="J100" s="2" t="inlineStr">
        <is>
          <t xml:space="preserve">sp_set_viewing_outcome</t>
        </is>
      </c>
      <c r="K100" s="2" t="inlineStr">
        <is>
          <t xml:space="preserve">reason: string (bắt buộc) — Không chỉ khoảng trắng; tối đa 1.000 ký tự.</t>
        </is>
      </c>
      <c r="L100" s="2" t="inlineStr">
        <is>
          <t xml:space="preserve">Viewing {id,status:CANCELLED,cancelledAt}</t>
        </is>
      </c>
      <c r="M100" s="2" t="inlineStr">
        <is>
          <t xml:space="preserve">p_action CANCEL; chỉ SCHEDULED; lưu reason/actor/time và giải phóng khoảng giờ, giữ thẻ lịch.</t>
        </is>
      </c>
      <c r="N100" s="2" t="inlineStr">
        <is>
          <t xml:space="preserve">400 BAD_REQUEST
401 UNAUTHENTICATED
403 FORBIDDEN
404 RESOURCE_NOT_FOUND
409 STATE_CONFLICT
409 IDEMPOTENCY_KEY_REUSED
422 VALIDATION_ERROR
409 VIEWING_STATE_CHANGED
422 OUTCOME_NOT_YET_ALLOWED
409 OPEN_CONTRACT_EXISTS</t>
        </is>
      </c>
      <c r="O100" s="2" t="inlineStr">
        <is>
          <t xml:space="preserve"/>
        </is>
      </c>
      <c r="P100" s="2" t="inlineStr">
        <is>
          <t xml:space="preserve">Chưa làm</t>
        </is>
      </c>
      <c r="Q100" s="2" t="inlineStr">
        <is>
          <t xml:space="preserve">Chưa</t>
        </is>
      </c>
      <c r="R100" s="2" t="inlineStr">
        <is>
          <t xml:space="preserve">Chưa</t>
        </is>
      </c>
      <c r="S100" s="2" t="inlineStr">
        <is>
          <t xml:space="preserve">Chưa</t>
        </is>
      </c>
      <c r="T100" s="2" t="inlineStr">
        <is>
          <t xml:space="preserve">Chưa</t>
        </is>
      </c>
      <c r="U100" s="2" t="inlineStr">
        <is>
          <t xml:space="preserve">Chưa</t>
        </is>
      </c>
      <c r="V100" s="2" t="inlineStr">
        <is>
          <t xml:space="preserve">Chưa</t>
        </is>
      </c>
      <c r="W100" s="2" t="inlineStr">
        <is>
          <t xml:space="preserve">Chưa</t>
        </is>
      </c>
      <c r="X100" s="2" t="inlineStr">
        <is>
          <t xml:space="preserve">Chưa</t>
        </is>
      </c>
      <c r="Y100" s="3">
        <f>COUNTIF(Q100:X100,"Xong")/8</f>
        <v>0</v>
      </c>
      <c r="Z100" s="4" t="inlineStr">
        <is>
          <t xml:space="preserve"/>
        </is>
      </c>
      <c r="AA100" s="4" t="inlineStr">
        <is>
          <t xml:space="preserve"/>
        </is>
      </c>
      <c r="AB100" s="4" t="inlineStr">
        <is>
          <t xml:space="preserve"/>
        </is>
      </c>
      <c r="AC100" s="2" t="inlineStr">
        <is>
          <t xml:space="preserve"/>
        </is>
      </c>
      <c r="AD100" s="2" t="inlineStr">
        <is>
          <t xml:space="preserve">Happy path: Hai bên hủy lịch đang hẹn; kiểm tra Viewing {id,status:CANCELLED,cancelledAt}.
Thiếu phiên/phiên revoked/actor LOCKED và actor khác chủ hoặc khác participant phải bị chặn.
Ràng buộc: Kiểm tra kiểu dữ liệu và quan hệ FK.
Gửi lặp cùng khóa trả kết quả cũ; cùng khóa khác payload trả 409; hai request tranh cùng tài nguyên không vượt hạn mức.
Lỗi giữa giao dịch phải rollback; xác minh không bọc CALL trong transaction của ứng dụng.</t>
        </is>
      </c>
      <c r="AE100" s="2" t="inlineStr">
        <is>
          <t xml:space="preserve"/>
        </is>
      </c>
      <c r="AF100" s="5" t="inlineStr">
        <is>
          <t xml:space="preserve">Mở đặc tả</t>
        </is>
      </c>
    </row>
    <row r="101" ht="70" customHeight="1">
      <c r="A101" s="0" t="inlineStr">
        <is>
          <t xml:space="preserve">API-100</t>
        </is>
      </c>
      <c r="B101" s="0" t="inlineStr">
        <is>
          <t xml:space="preserve">Hẹn xem &amp; quyết định thuê</t>
        </is>
      </c>
      <c r="C101" s="0" t="inlineStr">
        <is>
          <t xml:space="preserve">viewing-outcome</t>
        </is>
      </c>
      <c r="D101" s="0" t="inlineStr">
        <is>
          <t xml:space="preserve">POST</t>
        </is>
      </c>
      <c r="E101" s="0" t="inlineStr">
        <is>
          <t xml:space="preserve">/api/v1/viewings/{viewingId}/rental-decision</t>
        </is>
      </c>
      <c r="F101" s="0" t="inlineStr">
        <is>
          <t xml:space="preserve">Người thuê quyết định sau khi xem</t>
        </is>
      </c>
      <c r="G101" s="0" t="inlineStr">
        <is>
          <t xml:space="preserve">TENANT: chỉ chính người thuê và tài nguyên được phép</t>
        </is>
      </c>
      <c r="H101" s="0" t="inlineStr">
        <is>
          <t xml:space="preserve">P0</t>
        </is>
      </c>
      <c r="I101" s="0" t="inlineStr">
        <is>
          <t xml:space="preserve">Middleware auth/session/role + object scope
D09: idempotency store nếu chưa có khóa tự nhiên</t>
        </is>
      </c>
      <c r="J101" s="0" t="inlineStr">
        <is>
          <t xml:space="preserve">sp_set_viewing_outcome</t>
        </is>
      </c>
      <c r="K101" s="0" t="inlineStr">
        <is>
          <t xml:space="preserve">decision: enum (bắt buộc) — AGREE / DECLINE / WITHDRAW.</t>
        </is>
      </c>
      <c r="L101" s="0" t="inlineStr">
        <is>
          <t xml:space="preserve">Viewing {id,tenantDecision,tenantDecidedAt}</t>
        </is>
      </c>
      <c r="M101" s="0" t="inlineStr">
        <is>
          <t xml:space="preserve">COMPLETED: WAITING→AGREED/DECLINED; AGREED→WITHDRAWN nếu không hợp đồng mở. Không giữ phòng/hủy lịch người khác khi AGREE.</t>
        </is>
      </c>
      <c r="N101" s="0" t="inlineStr">
        <is>
          <t xml:space="preserve">400 BAD_REQUEST
401 UNAUTHENTICATED
403 FORBIDDEN
404 RESOURCE_NOT_FOUND
409 STATE_CONFLICT
409 IDEMPOTENCY_KEY_REUSED
422 VALIDATION_ERROR
409 VIEWING_STATE_CHANGED
422 OUTCOME_NOT_YET_ALLOWED
409 OPEN_CONTRACT_EXISTS</t>
        </is>
      </c>
      <c r="O101" s="0" t="inlineStr">
        <is>
          <t xml:space="preserve"/>
        </is>
      </c>
      <c r="P101" s="0" t="inlineStr">
        <is>
          <t xml:space="preserve">Chưa làm</t>
        </is>
      </c>
      <c r="Q101" s="0" t="inlineStr">
        <is>
          <t xml:space="preserve">Chưa</t>
        </is>
      </c>
      <c r="R101" s="0" t="inlineStr">
        <is>
          <t xml:space="preserve">Chưa</t>
        </is>
      </c>
      <c r="S101" s="0" t="inlineStr">
        <is>
          <t xml:space="preserve">Chưa</t>
        </is>
      </c>
      <c r="T101" s="0" t="inlineStr">
        <is>
          <t xml:space="preserve">Chưa</t>
        </is>
      </c>
      <c r="U101" s="0" t="inlineStr">
        <is>
          <t xml:space="preserve">Chưa</t>
        </is>
      </c>
      <c r="V101" s="0" t="inlineStr">
        <is>
          <t xml:space="preserve">Chưa</t>
        </is>
      </c>
      <c r="W101" s="0" t="inlineStr">
        <is>
          <t xml:space="preserve">Chưa</t>
        </is>
      </c>
      <c r="X101" s="0" t="inlineStr">
        <is>
          <t xml:space="preserve">Chưa</t>
        </is>
      </c>
      <c r="Y101" s="3">
        <f>COUNTIF(Q101:X101,"Xong")/8</f>
        <v>0</v>
      </c>
      <c r="Z101" s="4" t="inlineStr">
        <is>
          <t xml:space="preserve"/>
        </is>
      </c>
      <c r="AA101" s="4" t="inlineStr">
        <is>
          <t xml:space="preserve"/>
        </is>
      </c>
      <c r="AB101" s="4" t="inlineStr">
        <is>
          <t xml:space="preserve"/>
        </is>
      </c>
      <c r="AC101" s="0" t="inlineStr">
        <is>
          <t xml:space="preserve"/>
        </is>
      </c>
      <c r="AD101" s="0" t="inlineStr">
        <is>
          <t xml:space="preserve">Happy path: Người thuê quyết định sau khi xem; kiểm tra Viewing {id,tenantDecision,tenantDecidedAt}.
Thiếu phiên/phiên revoked/actor LOCKED và actor khác chủ hoặc khác participant phải bị chặn.
Ràng buộc: Kiểm tra kiểu dữ liệu và quan hệ FK.
Gửi lặp cùng khóa trả kết quả cũ; cùng khóa khác payload trả 409; hai request tranh cùng tài nguyên không vượt hạn mức.
Lỗi giữa giao dịch phải rollback; xác minh không bọc CALL trong transaction của ứng dụng.</t>
        </is>
      </c>
      <c r="AE101" s="0" t="inlineStr">
        <is>
          <t xml:space="preserve"/>
        </is>
      </c>
      <c r="AF101" s="5" t="inlineStr">
        <is>
          <t xml:space="preserve">Mở đặc tả</t>
        </is>
      </c>
    </row>
    <row r="102" ht="70" customHeight="1">
      <c r="A102" s="2" t="inlineStr">
        <is>
          <t xml:space="preserve">API-101</t>
        </is>
      </c>
      <c r="B102" s="2" t="inlineStr">
        <is>
          <t xml:space="preserve">Hợp đồng &amp; vào ở</t>
        </is>
      </c>
      <c r="C102" s="2" t="inlineStr">
        <is>
          <t xml:space="preserve">create-contract</t>
        </is>
      </c>
      <c r="D102" s="2" t="inlineStr">
        <is>
          <t xml:space="preserve">GET</t>
        </is>
      </c>
      <c r="E102" s="2" t="inlineStr">
        <is>
          <t xml:space="preserve">/api/v1/contracts</t>
        </is>
      </c>
      <c r="F102" s="2" t="inlineStr">
        <is>
          <t xml:space="preserve">Danh sách hợp đồng được quyền xem</t>
        </is>
      </c>
      <c r="G102" s="2" t="inlineStr">
        <is>
          <t xml:space="preserve">TENANT: chỉ chính người thuê và tài nguyên được phép hoặc LANDLORD: sở hữu nhà/phòng/hợp đồng</t>
        </is>
      </c>
      <c r="H102" s="2" t="inlineStr">
        <is>
          <t xml:space="preserve">P0</t>
        </is>
      </c>
      <c r="I102" s="2" t="inlineStr">
        <is>
          <t xml:space="preserve">Middleware auth/session/role + object scope</t>
        </is>
      </c>
      <c r="J102" s="2" t="inlineStr">
        <is>
          <t xml:space="preserve">READ: truy vấn có scope quyền</t>
        </is>
      </c>
      <c r="K102" s="2" t="inlineStr">
        <is>
          <t xml:space="preserve">Không có JSON body</t>
        </is>
      </c>
      <c r="L102" s="2" t="inlineStr">
        <is>
          <t xml:space="preserve">Contract[] {id,number,status,room,dates,currentRepresentative}</t>
        </is>
      </c>
      <c r="M102" s="2" t="inlineStr">
        <is>
          <t xml:space="preserve">Owner theo landlord; tenant theo lịch gốc/member/history được phép, giữ quyền xem lịch sử phù hợp; không chỉ lọc đại diện hiện tại.</t>
        </is>
      </c>
      <c r="N102" s="2" t="inlineStr">
        <is>
          <t xml:space="preserve">400 BAD_REQUEST
401 UNAUTHENTICATED
403 FORBIDDEN
404 RESOURCE_NOT_FOUND
422 VALIDATION_ERROR</t>
        </is>
      </c>
      <c r="O102" s="2" t="inlineStr">
        <is>
          <t xml:space="preserve"/>
        </is>
      </c>
      <c r="P102" s="2" t="inlineStr">
        <is>
          <t xml:space="preserve">Chưa làm</t>
        </is>
      </c>
      <c r="Q102" s="2" t="inlineStr">
        <is>
          <t xml:space="preserve">Chưa</t>
        </is>
      </c>
      <c r="R102" s="2" t="inlineStr">
        <is>
          <t xml:space="preserve">Chưa</t>
        </is>
      </c>
      <c r="S102" s="2" t="inlineStr">
        <is>
          <t xml:space="preserve">Chưa</t>
        </is>
      </c>
      <c r="T102" s="2" t="inlineStr">
        <is>
          <t xml:space="preserve">Chưa</t>
        </is>
      </c>
      <c r="U102" s="2" t="inlineStr">
        <is>
          <t xml:space="preserve">Chưa</t>
        </is>
      </c>
      <c r="V102" s="2" t="inlineStr">
        <is>
          <t xml:space="preserve">Chưa</t>
        </is>
      </c>
      <c r="W102" s="2" t="inlineStr">
        <is>
          <t xml:space="preserve">Chưa</t>
        </is>
      </c>
      <c r="X102" s="2" t="inlineStr">
        <is>
          <t xml:space="preserve">Chưa</t>
        </is>
      </c>
      <c r="Y102" s="3">
        <f>COUNTIF(Q102:X102,"Xong")/8</f>
        <v>0</v>
      </c>
      <c r="Z102" s="4" t="inlineStr">
        <is>
          <t xml:space="preserve"/>
        </is>
      </c>
      <c r="AA102" s="4" t="inlineStr">
        <is>
          <t xml:space="preserve"/>
        </is>
      </c>
      <c r="AB102" s="4" t="inlineStr">
        <is>
          <t xml:space="preserve"/>
        </is>
      </c>
      <c r="AC102" s="2" t="inlineStr">
        <is>
          <t xml:space="preserve"/>
        </is>
      </c>
      <c r="AD102" s="2" t="inlineStr">
        <is>
          <t xml:space="preserve">Happy path: Danh sách hợp đồng được quyền xem; kiểm tra Contract[] {id,number,status,room,dates,currentRepresentative}.
Thiếu phiên/phiên revoked/actor LOCKED và actor khác chủ hoặc khác participant phải bị chặn.
Ràng buộc: Mỗi phòng và mỗi lịch chỉ có một hợp đồng mở ở DRAFT/PENDING_CONFIRMATION/CONFIRMED/ACTIVE. Số hợp đồng duy nhất.
Phân trang/lọc đúng scope; dữ liệu riêng tư bị loại trên server, không chỉ ẩn UI.
Kiểm tra lỗi DB/provider không để lại cập nhật dở hoặc trả thành công giả.</t>
        </is>
      </c>
      <c r="AE102" s="2" t="inlineStr">
        <is>
          <t xml:space="preserve"/>
        </is>
      </c>
      <c r="AF102" s="5" t="inlineStr">
        <is>
          <t xml:space="preserve">Mở đặc tả</t>
        </is>
      </c>
    </row>
    <row r="103" ht="70" customHeight="1">
      <c r="A103" s="0" t="inlineStr">
        <is>
          <t xml:space="preserve">API-102</t>
        </is>
      </c>
      <c r="B103" s="0" t="inlineStr">
        <is>
          <t xml:space="preserve">Hợp đồng &amp; vào ở</t>
        </is>
      </c>
      <c r="C103" s="0" t="inlineStr">
        <is>
          <t xml:space="preserve">create-contract</t>
        </is>
      </c>
      <c r="D103" s="0" t="inlineStr">
        <is>
          <t xml:space="preserve">GET</t>
        </is>
      </c>
      <c r="E103" s="0" t="inlineStr">
        <is>
          <t xml:space="preserve">/api/v1/contracts/{contractId}</t>
        </is>
      </c>
      <c r="F103" s="0" t="inlineStr">
        <is>
          <t xml:space="preserve">Chi tiết hợp đồng và quyền thao tác</t>
        </is>
      </c>
      <c r="G103" s="0" t="inlineStr">
        <is>
          <t xml:space="preserve">TENANT: chỉ chính người thuê và tài nguyên được phép hoặc LANDLORD: sở hữu nhà/phòng/hợp đồng</t>
        </is>
      </c>
      <c r="H103" s="0" t="inlineStr">
        <is>
          <t xml:space="preserve">P0</t>
        </is>
      </c>
      <c r="I103" s="0" t="inlineStr">
        <is>
          <t xml:space="preserve">Middleware auth/session/role + object scope</t>
        </is>
      </c>
      <c r="J103" s="0" t="inlineStr">
        <is>
          <t xml:space="preserve">READ: truy vấn có scope quyền</t>
        </is>
      </c>
      <c r="K103" s="0" t="inlineStr">
        <is>
          <t xml:space="preserve">Không có JSON body</t>
        </is>
      </c>
      <c r="L103" s="0" t="inlineStr">
        <is>
          <t xml:space="preserve">Contract,currentRevision,members,allowedActions</t>
        </is>
      </c>
      <c r="M103" s="0" t="inlineStr">
        <is>
          <t xml:space="preserve">Member cũ được xem phần lịch sử có quyền; số giấy tờ thành viên khác được che. allowedActions chỉ hướng dẫn UI, server vẫn kiểm tra mỗi lệnh.</t>
        </is>
      </c>
      <c r="N103" s="0" t="inlineStr">
        <is>
          <t xml:space="preserve">400 BAD_REQUEST
401 UNAUTHENTICATED
403 FORBIDDEN
404 RESOURCE_NOT_FOUND</t>
        </is>
      </c>
      <c r="O103" s="0" t="inlineStr">
        <is>
          <t xml:space="preserve"/>
        </is>
      </c>
      <c r="P103" s="0" t="inlineStr">
        <is>
          <t xml:space="preserve">Chưa làm</t>
        </is>
      </c>
      <c r="Q103" s="0" t="inlineStr">
        <is>
          <t xml:space="preserve">Chưa</t>
        </is>
      </c>
      <c r="R103" s="0" t="inlineStr">
        <is>
          <t xml:space="preserve">Chưa</t>
        </is>
      </c>
      <c r="S103" s="0" t="inlineStr">
        <is>
          <t xml:space="preserve">Chưa</t>
        </is>
      </c>
      <c r="T103" s="0" t="inlineStr">
        <is>
          <t xml:space="preserve">Chưa</t>
        </is>
      </c>
      <c r="U103" s="0" t="inlineStr">
        <is>
          <t xml:space="preserve">Chưa</t>
        </is>
      </c>
      <c r="V103" s="0" t="inlineStr">
        <is>
          <t xml:space="preserve">Chưa</t>
        </is>
      </c>
      <c r="W103" s="0" t="inlineStr">
        <is>
          <t xml:space="preserve">Chưa</t>
        </is>
      </c>
      <c r="X103" s="0" t="inlineStr">
        <is>
          <t xml:space="preserve">Chưa</t>
        </is>
      </c>
      <c r="Y103" s="3">
        <f>COUNTIF(Q103:X103,"Xong")/8</f>
        <v>0</v>
      </c>
      <c r="Z103" s="4" t="inlineStr">
        <is>
          <t xml:space="preserve"/>
        </is>
      </c>
      <c r="AA103" s="4" t="inlineStr">
        <is>
          <t xml:space="preserve"/>
        </is>
      </c>
      <c r="AB103" s="4" t="inlineStr">
        <is>
          <t xml:space="preserve"/>
        </is>
      </c>
      <c r="AC103" s="0" t="inlineStr">
        <is>
          <t xml:space="preserve"/>
        </is>
      </c>
      <c r="AD103" s="0" t="inlineStr">
        <is>
          <t xml:space="preserve">Happy path: Chi tiết hợp đồng và quyền thao tác; kiểm tra Contract,currentRevision,members,allowedActions.
Thiếu phiên/phiên revoked/actor LOCKED và actor khác chủ hoặc khác participant phải bị chặn.
Ràng buộc: Mỗi phòng và mỗi lịch chỉ có một hợp đồng mở ở DRAFT/PENDING_CONFIRMATION/CONFIRMED/ACTIVE. Số hợp đồng duy nhất.
Phân trang/lọc đúng scope; dữ liệu riêng tư bị loại trên server, không chỉ ẩn UI.
Kiểm tra lỗi DB/provider không để lại cập nhật dở hoặc trả thành công giả.</t>
        </is>
      </c>
      <c r="AE103" s="0" t="inlineStr">
        <is>
          <t xml:space="preserve"/>
        </is>
      </c>
      <c r="AF103" s="5" t="inlineStr">
        <is>
          <t xml:space="preserve">Mở đặc tả</t>
        </is>
      </c>
    </row>
    <row r="104" ht="70" customHeight="1">
      <c r="A104" s="2" t="inlineStr">
        <is>
          <t xml:space="preserve">API-103</t>
        </is>
      </c>
      <c r="B104" s="2" t="inlineStr">
        <is>
          <t xml:space="preserve">Hợp đồng &amp; vào ở</t>
        </is>
      </c>
      <c r="C104" s="2" t="inlineStr">
        <is>
          <t xml:space="preserve">create-contract, reserve-cleanup</t>
        </is>
      </c>
      <c r="D104" s="2" t="inlineStr">
        <is>
          <t xml:space="preserve">POST</t>
        </is>
      </c>
      <c r="E104" s="2" t="inlineStr">
        <is>
          <t xml:space="preserve">/api/v1/contracts</t>
        </is>
      </c>
      <c r="F104" s="2" t="inlineStr">
        <is>
          <t xml:space="preserve">Gửi hợp đồng thuê mới và giữ phòng</t>
        </is>
      </c>
      <c r="G104" s="2" t="inlineStr">
        <is>
          <t xml:space="preserve">LANDLORD: sở hữu nhà/phòng/hợp đồng</t>
        </is>
      </c>
      <c r="H104" s="2" t="inlineStr">
        <is>
          <t xml:space="preserve">P0</t>
        </is>
      </c>
      <c r="I104" s="2" t="inlineStr">
        <is>
          <t xml:space="preserve">Middleware auth/session/role + object scope
D09: idempotency store nếu chưa có khóa tự nhiên</t>
        </is>
      </c>
      <c r="J104" s="2" t="inlineStr">
        <is>
          <t xml:space="preserve">sp_create_rental_contract</t>
        </is>
      </c>
      <c r="K104" s="2" t="inlineStr">
        <is>
          <t xml:space="preserve">viewingId: id (bắt buộc) — COMPLETED + AGREED; chưa có hợp đồng mở.
contractNumber: string (bắt buộc) — Duy nhất; 1–100 ký tự.
startDate: date (bắt buộc) — Ngày bắt đầu theo Việt Nam.
endDate: date (bắt buộc) — ≥ startDate.
rentAmount: money (bắt buộc) — Không âm.
depositAmount: money (bắt buộc) — Không âm.
content: string (bắt buộc) — Điều khoản đã chuẩn bị; không trống.
templateId: id (tùy chọn) — Mẫu còn active; không thay thế snapshot nội dung.
extraMembers: PlannedMember[] (bắt buộc) — Không gồm đại diện từ viewing; tổng đại diện + mảng ≤ capacity.</t>
        </is>
      </c>
      <c r="L104" s="2" t="inlineStr">
        <is>
          <t xml:space="preserve">Contract {id,status:PENDING_CONFIRMATION,revisionId,members}; roomStatus:RESERVED</t>
        </is>
      </c>
      <c r="M104" s="2" t="inlineStr">
        <is>
          <t xml:space="preserve">p_extra_members ánh xạ full_name,tenant_id,identity_number,date_of_birth. Lịch COMPLETED+AGREED, nhà hiệu lực, room chưa open contract/load; tạo phiên bản, PLANNED, lịch sử đại diện, đóng lịch/đề nghị + notification cùng procedure. Không bọc CALL trong transaction app.</t>
        </is>
      </c>
      <c r="N104" s="2" t="inlineStr">
        <is>
          <t xml:space="preserve">400 BAD_REQUEST
401 UNAUTHENTICATED
403 FORBIDDEN
404 RESOURCE_NOT_FOUND
409 STATE_CONFLICT
409 IDEMPOTENCY_KEY_REUSED
422 VALIDATION_ERROR
409 OPEN_CONTRACT_EXISTS
422 VIEWING_NOT_ELIGIBLE
422 HOUSE_RIGHT_NOT_EFFECTIVE
422 ROOM_CAPACITY_EXCEEDED</t>
        </is>
      </c>
      <c r="O104" s="2" t="inlineStr">
        <is>
          <t xml:space="preserve"/>
        </is>
      </c>
      <c r="P104" s="2" t="inlineStr">
        <is>
          <t xml:space="preserve">Chưa làm</t>
        </is>
      </c>
      <c r="Q104" s="2" t="inlineStr">
        <is>
          <t xml:space="preserve">Chưa</t>
        </is>
      </c>
      <c r="R104" s="2" t="inlineStr">
        <is>
          <t xml:space="preserve">Chưa</t>
        </is>
      </c>
      <c r="S104" s="2" t="inlineStr">
        <is>
          <t xml:space="preserve">Chưa</t>
        </is>
      </c>
      <c r="T104" s="2" t="inlineStr">
        <is>
          <t xml:space="preserve">Chưa</t>
        </is>
      </c>
      <c r="U104" s="2" t="inlineStr">
        <is>
          <t xml:space="preserve">Chưa</t>
        </is>
      </c>
      <c r="V104" s="2" t="inlineStr">
        <is>
          <t xml:space="preserve">Chưa</t>
        </is>
      </c>
      <c r="W104" s="2" t="inlineStr">
        <is>
          <t xml:space="preserve">Chưa</t>
        </is>
      </c>
      <c r="X104" s="2" t="inlineStr">
        <is>
          <t xml:space="preserve">Chưa</t>
        </is>
      </c>
      <c r="Y104" s="3">
        <f>COUNTIF(Q104:X104,"Xong")/8</f>
        <v>0</v>
      </c>
      <c r="Z104" s="4" t="inlineStr">
        <is>
          <t xml:space="preserve"/>
        </is>
      </c>
      <c r="AA104" s="4" t="inlineStr">
        <is>
          <t xml:space="preserve"/>
        </is>
      </c>
      <c r="AB104" s="4" t="inlineStr">
        <is>
          <t xml:space="preserve"/>
        </is>
      </c>
      <c r="AC104" s="2" t="inlineStr">
        <is>
          <t xml:space="preserve"/>
        </is>
      </c>
      <c r="AD104" s="2" t="inlineStr">
        <is>
          <t xml:space="preserve">Happy path: Gửi hợp đồng thuê mới và giữ phòng; kiểm tra Contract {id,status:PENDING_CONFIRMATION,revisionId,members}; roomStatus:RESERVED.
Thiếu phiên/phiên revoked/actor LOCKED và actor khác chủ hoặc khác participant phải bị chặn.
Ràng buộc: Mỗi phòng và mỗi lịch chỉ có một hợp đồng mở ở DRAFT/PENDING_CONFIRMATION/CONFIRMED/ACTIVE. Số hợp đồng duy nhất.
Gửi lặp cùng khóa trả kết quả cũ; cùng khóa khác payload trả 409; hai request tranh cùng tài nguyên không vượt hạn mức.
Lỗi giữa giao dịch phải rollback; xác minh không bọc CALL trong transaction của ứng dụng.</t>
        </is>
      </c>
      <c r="AE104" s="2" t="inlineStr">
        <is>
          <t xml:space="preserve"/>
        </is>
      </c>
      <c r="AF104" s="5" t="inlineStr">
        <is>
          <t xml:space="preserve">Mở đặc tả</t>
        </is>
      </c>
    </row>
    <row r="105" ht="70" customHeight="1">
      <c r="A105" s="0" t="inlineStr">
        <is>
          <t xml:space="preserve">API-104</t>
        </is>
      </c>
      <c r="B105" s="0" t="inlineStr">
        <is>
          <t xml:space="preserve">Hợp đồng &amp; vào ở</t>
        </is>
      </c>
      <c r="C105" s="0" t="inlineStr">
        <is>
          <t xml:space="preserve">reserve-cleanup</t>
        </is>
      </c>
      <c r="D105" s="0" t="inlineStr">
        <is>
          <t xml:space="preserve">GET</t>
        </is>
      </c>
      <c r="E105" s="0" t="inlineStr">
        <is>
          <t xml:space="preserve">/api/v1/viewings/{viewingId}/contract-impact</t>
        </is>
      </c>
      <c r="F105" s="0" t="inlineStr">
        <is>
          <t xml:space="preserve">Dự kiến lịch/đề nghị bị đóng khi gửi hợp đồng</t>
        </is>
      </c>
      <c r="G105" s="0" t="inlineStr">
        <is>
          <t xml:space="preserve">LANDLORD: sở hữu nhà/phòng/hợp đồng</t>
        </is>
      </c>
      <c r="H105" s="0" t="inlineStr">
        <is>
          <t xml:space="preserve">P0</t>
        </is>
      </c>
      <c r="I105" s="0" t="inlineStr">
        <is>
          <t xml:space="preserve">Middleware auth/session/role + object scope</t>
        </is>
      </c>
      <c r="J105" s="0" t="inlineStr">
        <is>
          <t xml:space="preserve">READ: truy vấn có scope quyền</t>
        </is>
      </c>
      <c r="K105" s="0" t="inlineStr">
        <is>
          <t xml:space="preserve">Không có JSON body</t>
        </is>
      </c>
      <c r="L105" s="0" t="inlineStr">
        <is>
          <t xml:space="preserve">{futureViewingsCount,pendingProposalsCount,expiredProposalsCount,asOf}</t>
        </is>
      </c>
      <c r="M105" s="0" t="inlineStr">
        <is>
          <t xml:space="preserve">Read-only preview theo room_id trên mọi bài; không giữ chỗ. POST /contracts vẫn tính lại trong khóa phòng; preview không phải cam kết.</t>
        </is>
      </c>
      <c r="N105" s="0" t="inlineStr">
        <is>
          <t xml:space="preserve">400 BAD_REQUEST
401 UNAUTHENTICATED
403 FORBIDDEN
404 RESOURCE_NOT_FOUND</t>
        </is>
      </c>
      <c r="O105" s="0" t="inlineStr">
        <is>
          <t xml:space="preserve"/>
        </is>
      </c>
      <c r="P105" s="0" t="inlineStr">
        <is>
          <t xml:space="preserve">Chưa làm</t>
        </is>
      </c>
      <c r="Q105" s="0" t="inlineStr">
        <is>
          <t xml:space="preserve">Chưa</t>
        </is>
      </c>
      <c r="R105" s="0" t="inlineStr">
        <is>
          <t xml:space="preserve">Chưa</t>
        </is>
      </c>
      <c r="S105" s="0" t="inlineStr">
        <is>
          <t xml:space="preserve">Chưa</t>
        </is>
      </c>
      <c r="T105" s="0" t="inlineStr">
        <is>
          <t xml:space="preserve">Chưa</t>
        </is>
      </c>
      <c r="U105" s="0" t="inlineStr">
        <is>
          <t xml:space="preserve">Chưa</t>
        </is>
      </c>
      <c r="V105" s="0" t="inlineStr">
        <is>
          <t xml:space="preserve">Chưa</t>
        </is>
      </c>
      <c r="W105" s="0" t="inlineStr">
        <is>
          <t xml:space="preserve">Chưa</t>
        </is>
      </c>
      <c r="X105" s="0" t="inlineStr">
        <is>
          <t xml:space="preserve">Chưa</t>
        </is>
      </c>
      <c r="Y105" s="3">
        <f>COUNTIF(Q105:X105,"Xong")/8</f>
        <v>0</v>
      </c>
      <c r="Z105" s="4" t="inlineStr">
        <is>
          <t xml:space="preserve"/>
        </is>
      </c>
      <c r="AA105" s="4" t="inlineStr">
        <is>
          <t xml:space="preserve"/>
        </is>
      </c>
      <c r="AB105" s="4" t="inlineStr">
        <is>
          <t xml:space="preserve"/>
        </is>
      </c>
      <c r="AC105" s="0" t="inlineStr">
        <is>
          <t xml:space="preserve"/>
        </is>
      </c>
      <c r="AD105" s="0" t="inlineStr">
        <is>
          <t xml:space="preserve">Happy path: Dự kiến lịch/đề nghị bị đóng khi gửi hợp đồng; kiểm tra {futureViewingsCount,pendingProposalsCount,expiredProposalsCount,asOf}.
Thiếu phiên/phiên revoked/actor LOCKED và actor khác chủ hoặc khác participant phải bị chặn.
Ràng buộc: Kiểm tra kiểu dữ liệu và quan hệ FK.
Phân trang/lọc đúng scope; dữ liệu riêng tư bị loại trên server, không chỉ ẩn UI.
Kiểm tra lỗi DB/provider không để lại cập nhật dở hoặc trả thành công giả.</t>
        </is>
      </c>
      <c r="AE105" s="0" t="inlineStr">
        <is>
          <t xml:space="preserve"/>
        </is>
      </c>
      <c r="AF105" s="5" t="inlineStr">
        <is>
          <t xml:space="preserve">Mở đặc tả</t>
        </is>
      </c>
    </row>
    <row r="106" ht="70" customHeight="1">
      <c r="A106" s="2" t="inlineStr">
        <is>
          <t xml:space="preserve">API-105</t>
        </is>
      </c>
      <c r="B106" s="2" t="inlineStr">
        <is>
          <t xml:space="preserve">Hợp đồng &amp; vào ở</t>
        </is>
      </c>
      <c r="C106" s="2" t="inlineStr">
        <is>
          <t xml:space="preserve">contract-revision</t>
        </is>
      </c>
      <c r="D106" s="2" t="inlineStr">
        <is>
          <t xml:space="preserve">GET</t>
        </is>
      </c>
      <c r="E106" s="2" t="inlineStr">
        <is>
          <t xml:space="preserve">/api/v1/contracts/{contractId}/revisions</t>
        </is>
      </c>
      <c r="F106" s="2" t="inlineStr">
        <is>
          <t xml:space="preserve">Lịch sử phiên bản hợp đồng</t>
        </is>
      </c>
      <c r="G106" s="2" t="inlineStr">
        <is>
          <t xml:space="preserve">TENANT: chỉ chính người thuê và tài nguyên được phép hoặc LANDLORD: sở hữu nhà/phòng/hợp đồng</t>
        </is>
      </c>
      <c r="H106" s="2" t="inlineStr">
        <is>
          <t xml:space="preserve">P0</t>
        </is>
      </c>
      <c r="I106" s="2" t="inlineStr">
        <is>
          <t xml:space="preserve">Middleware auth/session/role + object scope</t>
        </is>
      </c>
      <c r="J106" s="2" t="inlineStr">
        <is>
          <t xml:space="preserve">READ: truy vấn có scope quyền</t>
        </is>
      </c>
      <c r="K106" s="2" t="inlineStr">
        <is>
          <t xml:space="preserve">Không có JSON body</t>
        </is>
      </c>
      <c r="L106" s="2" t="inlineStr">
        <is>
          <t xml:space="preserve">ContractRevision[] gồm trạng thái,content,membersSnapshot,confirmedBy/At</t>
        </is>
      </c>
      <c r="M106" s="2" t="inlineStr">
        <is>
          <t xml:space="preserve">Không ghi đè nội dung đã xác nhận; kiểm tra quyền đọc từng hợp đồng.</t>
        </is>
      </c>
      <c r="N106" s="2" t="inlineStr">
        <is>
          <t xml:space="preserve">400 BAD_REQUEST
401 UNAUTHENTICATED
403 FORBIDDEN
404 RESOURCE_NOT_FOUND
422 VALIDATION_ERROR</t>
        </is>
      </c>
      <c r="O106" s="2" t="inlineStr">
        <is>
          <t xml:space="preserve"/>
        </is>
      </c>
      <c r="P106" s="2" t="inlineStr">
        <is>
          <t xml:space="preserve">Chưa làm</t>
        </is>
      </c>
      <c r="Q106" s="2" t="inlineStr">
        <is>
          <t xml:space="preserve">Chưa</t>
        </is>
      </c>
      <c r="R106" s="2" t="inlineStr">
        <is>
          <t xml:space="preserve">Chưa</t>
        </is>
      </c>
      <c r="S106" s="2" t="inlineStr">
        <is>
          <t xml:space="preserve">Chưa</t>
        </is>
      </c>
      <c r="T106" s="2" t="inlineStr">
        <is>
          <t xml:space="preserve">Chưa</t>
        </is>
      </c>
      <c r="U106" s="2" t="inlineStr">
        <is>
          <t xml:space="preserve">Chưa</t>
        </is>
      </c>
      <c r="V106" s="2" t="inlineStr">
        <is>
          <t xml:space="preserve">Chưa</t>
        </is>
      </c>
      <c r="W106" s="2" t="inlineStr">
        <is>
          <t xml:space="preserve">Chưa</t>
        </is>
      </c>
      <c r="X106" s="2" t="inlineStr">
        <is>
          <t xml:space="preserve">Chưa</t>
        </is>
      </c>
      <c r="Y106" s="3">
        <f>COUNTIF(Q106:X106,"Xong")/8</f>
        <v>0</v>
      </c>
      <c r="Z106" s="4" t="inlineStr">
        <is>
          <t xml:space="preserve"/>
        </is>
      </c>
      <c r="AA106" s="4" t="inlineStr">
        <is>
          <t xml:space="preserve"/>
        </is>
      </c>
      <c r="AB106" s="4" t="inlineStr">
        <is>
          <t xml:space="preserve"/>
        </is>
      </c>
      <c r="AC106" s="2" t="inlineStr">
        <is>
          <t xml:space="preserve"/>
        </is>
      </c>
      <c r="AD106" s="2" t="inlineStr">
        <is>
          <t xml:space="preserve">Happy path: Lịch sử phiên bản hợp đồng; kiểm tra ContractRevision[] gồm trạng thái,content,membersSnapshot,confirmedBy/At.
Thiếu phiên/phiên revoked/actor LOCKED và actor khác chủ hoặc khác participant phải bị chặn.
Ràng buộc: Số phiên bản duy nhất theo hợp đồng; bản xác nhận ghi nhận đúng đại diện và dữ liệu tại thời điểm đó.
Phân trang/lọc đúng scope; dữ liệu riêng tư bị loại trên server, không chỉ ẩn UI.
Kiểm tra lỗi DB/provider không để lại cập nhật dở hoặc trả thành công giả.</t>
        </is>
      </c>
      <c r="AE106" s="2" t="inlineStr">
        <is>
          <t xml:space="preserve"/>
        </is>
      </c>
      <c r="AF106" s="5" t="inlineStr">
        <is>
          <t xml:space="preserve">Mở đặc tả</t>
        </is>
      </c>
    </row>
    <row r="107" ht="70" customHeight="1">
      <c r="A107" s="0" t="inlineStr">
        <is>
          <t xml:space="preserve">API-106</t>
        </is>
      </c>
      <c r="B107" s="0" t="inlineStr">
        <is>
          <t xml:space="preserve">Hợp đồng &amp; vào ở</t>
        </is>
      </c>
      <c r="C107" s="0" t="inlineStr">
        <is>
          <t xml:space="preserve">contract-revision</t>
        </is>
      </c>
      <c r="D107" s="0" t="inlineStr">
        <is>
          <t xml:space="preserve">POST</t>
        </is>
      </c>
      <c r="E107" s="0" t="inlineStr">
        <is>
          <t xml:space="preserve">/api/v1/contracts/{contractId}/revision-requests</t>
        </is>
      </c>
      <c r="F107" s="0" t="inlineStr">
        <is>
          <t xml:space="preserve">Đại diện yêu cầu sửa bản đang chờ</t>
        </is>
      </c>
      <c r="G107" s="0" t="inlineStr">
        <is>
          <t xml:space="preserve">TENANT: chỉ chính người thuê và tài nguyên được phép</t>
        </is>
      </c>
      <c r="H107" s="0" t="inlineStr">
        <is>
          <t xml:space="preserve">P0</t>
        </is>
      </c>
      <c r="I107" s="0" t="inlineStr">
        <is>
          <t xml:space="preserve">Middleware auth/session/role + object scope
D09: idempotency store nếu chưa có khóa tự nhiên</t>
        </is>
      </c>
      <c r="J107" s="0" t="inlineStr">
        <is>
          <t xml:space="preserve">SERVICE: cần triển khai giao dịch backend</t>
        </is>
      </c>
      <c r="K107" s="0" t="inlineStr">
        <is>
          <t xml:space="preserve">reason: string (bắt buộc) — Không chỉ khoảng trắng; tối đa 1.000 ký tự.</t>
        </is>
      </c>
      <c r="L107" s="0" t="inlineStr">
        <is>
          <t xml:space="preserve">{cancelledRevisionId,draftRevisionId,status:DRAFT}</t>
        </is>
      </c>
      <c r="M107" s="0" t="inlineStr">
        <is>
          <t xml:space="preserve">Chỉ đại diện hiện tại và contract chờ xác nhận; khóa contract + current_revision, hủy bản chờ, tạo DRAFT tiếp theo; không coi là termination.</t>
        </is>
      </c>
      <c r="N107" s="0" t="inlineStr">
        <is>
          <t xml:space="preserve">400 BAD_REQUEST
401 UNAUTHENTICATED
403 FORBIDDEN
404 RESOURCE_NOT_FOUND
409 STATE_CONFLICT
409 IDEMPOTENCY_KEY_REUSED
422 VALIDATION_ERROR
409 REVISION_CHANGED
409 CONTRACT_STATE_CHANGED
422 HOUSE_RIGHT_NOT_EFFECTIVE</t>
        </is>
      </c>
      <c r="O107" s="0" t="inlineStr">
        <is>
          <t xml:space="preserve"/>
        </is>
      </c>
      <c r="P107" s="0" t="inlineStr">
        <is>
          <t xml:space="preserve">Chưa làm</t>
        </is>
      </c>
      <c r="Q107" s="0" t="inlineStr">
        <is>
          <t xml:space="preserve">Chưa</t>
        </is>
      </c>
      <c r="R107" s="0" t="inlineStr">
        <is>
          <t xml:space="preserve">Chưa</t>
        </is>
      </c>
      <c r="S107" s="0" t="inlineStr">
        <is>
          <t xml:space="preserve">Chưa</t>
        </is>
      </c>
      <c r="T107" s="0" t="inlineStr">
        <is>
          <t xml:space="preserve">Chưa</t>
        </is>
      </c>
      <c r="U107" s="0" t="inlineStr">
        <is>
          <t xml:space="preserve">Chưa</t>
        </is>
      </c>
      <c r="V107" s="0" t="inlineStr">
        <is>
          <t xml:space="preserve">Chưa</t>
        </is>
      </c>
      <c r="W107" s="0" t="inlineStr">
        <is>
          <t xml:space="preserve">Chưa</t>
        </is>
      </c>
      <c r="X107" s="0" t="inlineStr">
        <is>
          <t xml:space="preserve">Chưa</t>
        </is>
      </c>
      <c r="Y107" s="3">
        <f>COUNTIF(Q107:X107,"Xong")/8</f>
        <v>0</v>
      </c>
      <c r="Z107" s="4" t="inlineStr">
        <is>
          <t xml:space="preserve"/>
        </is>
      </c>
      <c r="AA107" s="4" t="inlineStr">
        <is>
          <t xml:space="preserve"/>
        </is>
      </c>
      <c r="AB107" s="4" t="inlineStr">
        <is>
          <t xml:space="preserve"/>
        </is>
      </c>
      <c r="AC107" s="0" t="inlineStr">
        <is>
          <t xml:space="preserve"/>
        </is>
      </c>
      <c r="AD107" s="0" t="inlineStr">
        <is>
          <t xml:space="preserve">Happy path: Đại diện yêu cầu sửa bản đang chờ; kiểm tra {cancelledRevisionId,draftRevisionId,status:DRAFT}.
Thiếu phiên/phiên revoked/actor LOCKED và actor khác chủ hoặc khác participant phải bị chặn.
Ràng buộc: Số phiên bản duy nhất theo hợp đồng; bản xác nhận ghi nhận đúng đại diện và dữ liệu tại thời điểm đó.
Gửi lặp cùng khóa trả kết quả cũ; cùng khóa khác payload trả 409; hai request tranh cùng tài nguyên không vượt hạn mức.
Kiểm tra lỗi DB/provider không để lại cập nhật dở hoặc trả thành công giả.</t>
        </is>
      </c>
      <c r="AE107" s="0" t="inlineStr">
        <is>
          <t xml:space="preserve"/>
        </is>
      </c>
      <c r="AF107" s="5" t="inlineStr">
        <is>
          <t xml:space="preserve">Mở đặc tả</t>
        </is>
      </c>
    </row>
    <row r="108" ht="70" customHeight="1">
      <c r="A108" s="2" t="inlineStr">
        <is>
          <t xml:space="preserve">API-107</t>
        </is>
      </c>
      <c r="B108" s="2" t="inlineStr">
        <is>
          <t xml:space="preserve">Hợp đồng &amp; vào ở</t>
        </is>
      </c>
      <c r="C108" s="2" t="inlineStr">
        <is>
          <t xml:space="preserve">contract-revision</t>
        </is>
      </c>
      <c r="D108" s="2" t="inlineStr">
        <is>
          <t xml:space="preserve">PATCH</t>
        </is>
      </c>
      <c r="E108" s="2" t="inlineStr">
        <is>
          <t xml:space="preserve">/api/v1/contracts/{contractId}/revisions/{revisionId}</t>
        </is>
      </c>
      <c r="F108" s="2" t="inlineStr">
        <is>
          <t xml:space="preserve">Chủ trọ chỉnh bản nháp hợp đồng</t>
        </is>
      </c>
      <c r="G108" s="2" t="inlineStr">
        <is>
          <t xml:space="preserve">LANDLORD: sở hữu nhà/phòng/hợp đồng</t>
        </is>
      </c>
      <c r="H108" s="2" t="inlineStr">
        <is>
          <t xml:space="preserve">P0</t>
        </is>
      </c>
      <c r="I108" s="2" t="inlineStr">
        <is>
          <t xml:space="preserve">Middleware auth/session/role + object scope
D09: idempotency store nếu chưa có khóa tự nhiên</t>
        </is>
      </c>
      <c r="J108" s="2" t="inlineStr">
        <is>
          <t xml:space="preserve">SERVICE: cần triển khai giao dịch backend</t>
        </is>
      </c>
      <c r="K108" s="2" t="inlineStr">
        <is>
          <t xml:space="preserve">baseRevisionId: id (tùy chọn) — Phiên bản hiện tại đã đọc.
endDate: date (tùy chọn) — Không trước ngày bắt đầu.
rentAmount: money (tùy chọn) — Không âm.
depositAmount: money (tùy chọn) — Không âm.
content: string (tùy chọn) — Điều khoản phiên bản mới.
templateId: id (tùy chọn) — Mẫu active nếu có.</t>
        </is>
      </c>
      <c r="L108" s="2" t="inlineStr">
        <is>
          <t xml:space="preserve">ContractRevision {id,version,status:DRAFT}</t>
        </is>
      </c>
      <c r="M108" s="2" t="inlineStr">
        <is>
          <t xml:space="preserve">Chỉ DRAFT thuộc đúng contract, baseRevision hiện tại; số version duy nhất. Không sửa trực tiếp bản đã gửi/xác nhận.</t>
        </is>
      </c>
      <c r="N108" s="2" t="inlineStr">
        <is>
          <t xml:space="preserve">400 BAD_REQUEST
401 UNAUTHENTICATED
403 FORBIDDEN
404 RESOURCE_NOT_FOUND
409 STATE_CONFLICT
409 IDEMPOTENCY_KEY_REUSED
422 VALIDATION_ERROR
409 REVISION_CHANGED
409 CONTRACT_STATE_CHANGED
422 HOUSE_RIGHT_NOT_EFFECTIVE</t>
        </is>
      </c>
      <c r="O108" s="2" t="inlineStr">
        <is>
          <t xml:space="preserve"/>
        </is>
      </c>
      <c r="P108" s="2" t="inlineStr">
        <is>
          <t xml:space="preserve">Chưa làm</t>
        </is>
      </c>
      <c r="Q108" s="2" t="inlineStr">
        <is>
          <t xml:space="preserve">Chưa</t>
        </is>
      </c>
      <c r="R108" s="2" t="inlineStr">
        <is>
          <t xml:space="preserve">Chưa</t>
        </is>
      </c>
      <c r="S108" s="2" t="inlineStr">
        <is>
          <t xml:space="preserve">Chưa</t>
        </is>
      </c>
      <c r="T108" s="2" t="inlineStr">
        <is>
          <t xml:space="preserve">Chưa</t>
        </is>
      </c>
      <c r="U108" s="2" t="inlineStr">
        <is>
          <t xml:space="preserve">Chưa</t>
        </is>
      </c>
      <c r="V108" s="2" t="inlineStr">
        <is>
          <t xml:space="preserve">Chưa</t>
        </is>
      </c>
      <c r="W108" s="2" t="inlineStr">
        <is>
          <t xml:space="preserve">Chưa</t>
        </is>
      </c>
      <c r="X108" s="2" t="inlineStr">
        <is>
          <t xml:space="preserve">Chưa</t>
        </is>
      </c>
      <c r="Y108" s="3">
        <f>COUNTIF(Q108:X108,"Xong")/8</f>
        <v>0</v>
      </c>
      <c r="Z108" s="4" t="inlineStr">
        <is>
          <t xml:space="preserve"/>
        </is>
      </c>
      <c r="AA108" s="4" t="inlineStr">
        <is>
          <t xml:space="preserve"/>
        </is>
      </c>
      <c r="AB108" s="4" t="inlineStr">
        <is>
          <t xml:space="preserve"/>
        </is>
      </c>
      <c r="AC108" s="2" t="inlineStr">
        <is>
          <t xml:space="preserve"/>
        </is>
      </c>
      <c r="AD108" s="2" t="inlineStr">
        <is>
          <t xml:space="preserve">Happy path: Chủ trọ chỉnh bản nháp hợp đồng; kiểm tra ContractRevision {id,version,status:DRAFT}.
Thiếu phiên/phiên revoked/actor LOCKED và actor khác chủ hoặc khác participant phải bị chặn.
Ràng buộc: Số phiên bản duy nhất theo hợp đồng; bản xác nhận ghi nhận đúng đại diện và dữ liệu tại thời điểm đó.
Gửi lặp cùng khóa trả kết quả cũ; cùng khóa khác payload trả 409; hai request tranh cùng tài nguyên không vượt hạn mức.
Kiểm tra lỗi DB/provider không để lại cập nhật dở hoặc trả thành công giả.</t>
        </is>
      </c>
      <c r="AE108" s="2" t="inlineStr">
        <is>
          <t xml:space="preserve"/>
        </is>
      </c>
      <c r="AF108" s="5" t="inlineStr">
        <is>
          <t xml:space="preserve">Mở đặc tả</t>
        </is>
      </c>
    </row>
    <row r="109" ht="70" customHeight="1">
      <c r="A109" s="0" t="inlineStr">
        <is>
          <t xml:space="preserve">API-108</t>
        </is>
      </c>
      <c r="B109" s="0" t="inlineStr">
        <is>
          <t xml:space="preserve">Hợp đồng &amp; vào ở</t>
        </is>
      </c>
      <c r="C109" s="0" t="inlineStr">
        <is>
          <t xml:space="preserve">contract-revision</t>
        </is>
      </c>
      <c r="D109" s="0" t="inlineStr">
        <is>
          <t xml:space="preserve">POST</t>
        </is>
      </c>
      <c r="E109" s="0" t="inlineStr">
        <is>
          <t xml:space="preserve">/api/v1/contracts/{contractId}/revisions/{revisionId}/submit</t>
        </is>
      </c>
      <c r="F109" s="0" t="inlineStr">
        <is>
          <t xml:space="preserve">Gửi lại phiên bản nháp</t>
        </is>
      </c>
      <c r="G109" s="0" t="inlineStr">
        <is>
          <t xml:space="preserve">LANDLORD: sở hữu nhà/phòng/hợp đồng</t>
        </is>
      </c>
      <c r="H109" s="0" t="inlineStr">
        <is>
          <t xml:space="preserve">P0</t>
        </is>
      </c>
      <c r="I109" s="0" t="inlineStr">
        <is>
          <t xml:space="preserve">Middleware auth/session/role + object scope
D09: idempotency store nếu chưa có khóa tự nhiên</t>
        </is>
      </c>
      <c r="J109" s="0" t="inlineStr">
        <is>
          <t xml:space="preserve">SERVICE: cần triển khai giao dịch backend</t>
        </is>
      </c>
      <c r="K109" s="0" t="inlineStr">
        <is>
          <t xml:space="preserve">Không có JSON body</t>
        </is>
      </c>
      <c r="L109" s="0" t="inlineStr">
        <is>
          <t xml:space="preserve">ContractRevision PENDING_CONFIRMATION và currentRevisionId</t>
        </is>
      </c>
      <c r="M109" s="0" t="inlineStr">
        <is>
          <t xml:space="preserve">Kiểm tra quyền nhà/actor, snapshot thành viên/ngày/giá; chuyển bản hiện tại DRAFT→PENDING_CONFIRMATION và hợp đồng chờ, ghi thông báo trong transaction.</t>
        </is>
      </c>
      <c r="N109" s="0" t="inlineStr">
        <is>
          <t xml:space="preserve">400 BAD_REQUEST
401 UNAUTHENTICATED
403 FORBIDDEN
404 RESOURCE_NOT_FOUND
409 STATE_CONFLICT
409 IDEMPOTENCY_KEY_REUSED
422 VALIDATION_ERROR
409 REVISION_CHANGED
409 CONTRACT_STATE_CHANGED
422 HOUSE_RIGHT_NOT_EFFECTIVE</t>
        </is>
      </c>
      <c r="O109" s="0" t="inlineStr">
        <is>
          <t xml:space="preserve"/>
        </is>
      </c>
      <c r="P109" s="0" t="inlineStr">
        <is>
          <t xml:space="preserve">Chưa làm</t>
        </is>
      </c>
      <c r="Q109" s="0" t="inlineStr">
        <is>
          <t xml:space="preserve">Chưa</t>
        </is>
      </c>
      <c r="R109" s="0" t="inlineStr">
        <is>
          <t xml:space="preserve">Chưa</t>
        </is>
      </c>
      <c r="S109" s="0" t="inlineStr">
        <is>
          <t xml:space="preserve">Chưa</t>
        </is>
      </c>
      <c r="T109" s="0" t="inlineStr">
        <is>
          <t xml:space="preserve">Chưa</t>
        </is>
      </c>
      <c r="U109" s="0" t="inlineStr">
        <is>
          <t xml:space="preserve">Chưa</t>
        </is>
      </c>
      <c r="V109" s="0" t="inlineStr">
        <is>
          <t xml:space="preserve">Chưa</t>
        </is>
      </c>
      <c r="W109" s="0" t="inlineStr">
        <is>
          <t xml:space="preserve">Chưa</t>
        </is>
      </c>
      <c r="X109" s="0" t="inlineStr">
        <is>
          <t xml:space="preserve">Chưa</t>
        </is>
      </c>
      <c r="Y109" s="3">
        <f>COUNTIF(Q109:X109,"Xong")/8</f>
        <v>0</v>
      </c>
      <c r="Z109" s="4" t="inlineStr">
        <is>
          <t xml:space="preserve"/>
        </is>
      </c>
      <c r="AA109" s="4" t="inlineStr">
        <is>
          <t xml:space="preserve"/>
        </is>
      </c>
      <c r="AB109" s="4" t="inlineStr">
        <is>
          <t xml:space="preserve"/>
        </is>
      </c>
      <c r="AC109" s="0" t="inlineStr">
        <is>
          <t xml:space="preserve"/>
        </is>
      </c>
      <c r="AD109" s="0" t="inlineStr">
        <is>
          <t xml:space="preserve">Happy path: Gửi lại phiên bản nháp; kiểm tra ContractRevision PENDING_CONFIRMATION và currentRevisionId.
Thiếu phiên/phiên revoked/actor LOCKED và actor khác chủ hoặc khác participant phải bị chặn.
Ràng buộc: Số phiên bản duy nhất theo hợp đồng; bản xác nhận ghi nhận đúng đại diện và dữ liệu tại thời điểm đó.
Gửi lặp cùng khóa trả kết quả cũ; cùng khóa khác payload trả 409; hai request tranh cùng tài nguyên không vượt hạn mức.
Kiểm tra lỗi DB/provider không để lại cập nhật dở hoặc trả thành công giả.</t>
        </is>
      </c>
      <c r="AE109" s="0" t="inlineStr">
        <is>
          <t xml:space="preserve"/>
        </is>
      </c>
      <c r="AF109" s="5" t="inlineStr">
        <is>
          <t xml:space="preserve">Mở đặc tả</t>
        </is>
      </c>
    </row>
    <row r="110" ht="70" customHeight="1">
      <c r="A110" s="2" t="inlineStr">
        <is>
          <t xml:space="preserve">API-109</t>
        </is>
      </c>
      <c r="B110" s="2" t="inlineStr">
        <is>
          <t xml:space="preserve">Hợp đồng &amp; vào ở</t>
        </is>
      </c>
      <c r="C110" s="2" t="inlineStr">
        <is>
          <t xml:space="preserve">contract-revision</t>
        </is>
      </c>
      <c r="D110" s="2" t="inlineStr">
        <is>
          <t xml:space="preserve">POST</t>
        </is>
      </c>
      <c r="E110" s="2" t="inlineStr">
        <is>
          <t xml:space="preserve">/api/v1/contracts/{contractId}/confirm</t>
        </is>
      </c>
      <c r="F110" s="2" t="inlineStr">
        <is>
          <t xml:space="preserve">Đại diện xác nhận phiên bản hiện hành</t>
        </is>
      </c>
      <c r="G110" s="2" t="inlineStr">
        <is>
          <t xml:space="preserve">TENANT: chỉ chính người thuê và tài nguyên được phép</t>
        </is>
      </c>
      <c r="H110" s="2" t="inlineStr">
        <is>
          <t xml:space="preserve">P0</t>
        </is>
      </c>
      <c r="I110" s="2" t="inlineStr">
        <is>
          <t xml:space="preserve">Middleware auth/session/role + object scope
D09: idempotency store nếu chưa có khóa tự nhiên
D10</t>
        </is>
      </c>
      <c r="J110" s="2" t="inlineStr">
        <is>
          <t xml:space="preserve">sp_confirm_contract</t>
        </is>
      </c>
      <c r="K110" s="2" t="inlineStr">
        <is>
          <t xml:space="preserve">revisionId: id (bắt buộc) — Phải là current_revision_id đang chờ.</t>
        </is>
      </c>
      <c r="L110" s="2" t="inlineStr">
        <is>
          <t xml:space="preserve">Contract {id,status:CONFIRMED,currentRevisionId}</t>
        </is>
      </c>
      <c r="M110" s="2" t="inlineStr">
        <is>
          <t xml:space="preserve">Procedure chỉ nhận contract + tenant, không nhận revisionId: backend cần mở rộng thủ tục để so khớp expectedRevisionId dưới cùng khóa, tránh xác nhận nhầm bản mới. Thành viên vẫn PLANNED.</t>
        </is>
      </c>
      <c r="N110" s="2" t="inlineStr">
        <is>
          <t xml:space="preserve">400 BAD_REQUEST
401 UNAUTHENTICATED
403 FORBIDDEN
404 RESOURCE_NOT_FOUND
409 STATE_CONFLICT
409 IDEMPOTENCY_KEY_REUSED
422 VALIDATION_ERROR
409 REVISION_CHANGED
409 CONTRACT_STATE_CHANGED
422 HOUSE_RIGHT_NOT_EFFECTIVE</t>
        </is>
      </c>
      <c r="O110" s="2" t="inlineStr">
        <is>
          <t xml:space="preserve"/>
        </is>
      </c>
      <c r="P110" s="2" t="inlineStr">
        <is>
          <t xml:space="preserve">Chưa làm</t>
        </is>
      </c>
      <c r="Q110" s="2" t="inlineStr">
        <is>
          <t xml:space="preserve">Chưa</t>
        </is>
      </c>
      <c r="R110" s="2" t="inlineStr">
        <is>
          <t xml:space="preserve">Chưa</t>
        </is>
      </c>
      <c r="S110" s="2" t="inlineStr">
        <is>
          <t xml:space="preserve">Chưa</t>
        </is>
      </c>
      <c r="T110" s="2" t="inlineStr">
        <is>
          <t xml:space="preserve">Chưa</t>
        </is>
      </c>
      <c r="U110" s="2" t="inlineStr">
        <is>
          <t xml:space="preserve">Chưa</t>
        </is>
      </c>
      <c r="V110" s="2" t="inlineStr">
        <is>
          <t xml:space="preserve">Chưa</t>
        </is>
      </c>
      <c r="W110" s="2" t="inlineStr">
        <is>
          <t xml:space="preserve">Chưa</t>
        </is>
      </c>
      <c r="X110" s="2" t="inlineStr">
        <is>
          <t xml:space="preserve">Chưa</t>
        </is>
      </c>
      <c r="Y110" s="3">
        <f>COUNTIF(Q110:X110,"Xong")/8</f>
        <v>0</v>
      </c>
      <c r="Z110" s="4" t="inlineStr">
        <is>
          <t xml:space="preserve"/>
        </is>
      </c>
      <c r="AA110" s="4" t="inlineStr">
        <is>
          <t xml:space="preserve"/>
        </is>
      </c>
      <c r="AB110" s="4" t="inlineStr">
        <is>
          <t xml:space="preserve"/>
        </is>
      </c>
      <c r="AC110" s="2" t="inlineStr">
        <is>
          <t xml:space="preserve"/>
        </is>
      </c>
      <c r="AD110" s="2" t="inlineStr">
        <is>
          <t xml:space="preserve">Happy path: Đại diện xác nhận phiên bản hiện hành; kiểm tra Contract {id,status:CONFIRMED,currentRevisionId}.
Thiếu phiên/phiên revoked/actor LOCKED và actor khác chủ hoặc khác participant phải bị chặn.
Ràng buộc: Số phiên bản duy nhất theo hợp đồng; bản xác nhận ghi nhận đúng đại diện và dữ liệu tại thời điểm đó.
Gửi lặp cùng khóa trả kết quả cũ; cùng khóa khác payload trả 409; hai request tranh cùng tài nguyên không vượt hạn mức.
Lỗi giữa giao dịch phải rollback; xác minh không bọc CALL trong transaction của ứng dụng.</t>
        </is>
      </c>
      <c r="AE110" s="2" t="inlineStr">
        <is>
          <t xml:space="preserve"/>
        </is>
      </c>
      <c r="AF110" s="5" t="inlineStr">
        <is>
          <t xml:space="preserve">Mở đặc tả</t>
        </is>
      </c>
    </row>
    <row r="111" ht="70" customHeight="1">
      <c r="A111" s="0" t="inlineStr">
        <is>
          <t xml:space="preserve">API-110</t>
        </is>
      </c>
      <c r="B111" s="0" t="inlineStr">
        <is>
          <t xml:space="preserve">Hợp đồng &amp; vào ở</t>
        </is>
      </c>
      <c r="C111" s="0" t="inlineStr">
        <is>
          <t xml:space="preserve">move-in</t>
        </is>
      </c>
      <c r="D111" s="0" t="inlineStr">
        <is>
          <t xml:space="preserve">POST</t>
        </is>
      </c>
      <c r="E111" s="0" t="inlineStr">
        <is>
          <t xml:space="preserve">/api/v1/contracts/{contractId}/move-ins</t>
        </is>
      </c>
      <c r="F111" s="0" t="inlineStr">
        <is>
          <t xml:space="preserve">Xác nhận vào ở theo nhóm/từng người</t>
        </is>
      </c>
      <c r="G111" s="0" t="inlineStr">
        <is>
          <t xml:space="preserve">LANDLORD: sở hữu nhà/phòng/hợp đồng</t>
        </is>
      </c>
      <c r="H111" s="0" t="inlineStr">
        <is>
          <t xml:space="preserve">P0</t>
        </is>
      </c>
      <c r="I111" s="0" t="inlineStr">
        <is>
          <t xml:space="preserve">Middleware auth/session/role + object scope
D09: idempotency store nếu chưa có khóa tự nhiên</t>
        </is>
      </c>
      <c r="J111" s="0" t="inlineStr">
        <is>
          <t xml:space="preserve">sp_confirm_move_in</t>
        </is>
      </c>
      <c r="K111" s="0" t="inlineStr">
        <is>
          <t xml:space="preserve">memberIds: id[] (bắt buộc) — Các room_tenant ID PLANNED của contract, không lặp; lần đầu gồm đại diện.
moveInDate: date (bắt buộc) — Không tương lai, nằm trong thời hạn hợp đồng.</t>
        </is>
      </c>
      <c r="L111" s="0" t="inlineStr">
        <is>
          <t xml:space="preserve">{contract:Contract,members:Resident[],roomStatus:OCCUPIED}</t>
        </is>
      </c>
      <c r="M111" s="0" t="inlineStr">
        <is>
          <t xml:space="preserve">p_members JSON các ID lượt ở, không phải tenantId. Kiểm tra một ACTIVE toàn hệ thống, phiên bản đã xác nhận, capacity và quyền nhà thuê mới.</t>
        </is>
      </c>
      <c r="N111" s="0" t="inlineStr">
        <is>
          <t xml:space="preserve">400 BAD_REQUEST
401 UNAUTHENTICATED
403 FORBIDDEN
404 RESOURCE_NOT_FOUND
409 STATE_CONFLICT
409 IDEMPOTENCY_KEY_REUSED
422 VALIDATION_ERROR
409 ACTIVE_STAY_EXISTS
422 ROOM_CAPACITY_EXCEEDED
422 HOUSE_RIGHT_NOT_EFFECTIVE</t>
        </is>
      </c>
      <c r="O111" s="0" t="inlineStr">
        <is>
          <t xml:space="preserve"/>
        </is>
      </c>
      <c r="P111" s="0" t="inlineStr">
        <is>
          <t xml:space="preserve">Chưa làm</t>
        </is>
      </c>
      <c r="Q111" s="0" t="inlineStr">
        <is>
          <t xml:space="preserve">Chưa</t>
        </is>
      </c>
      <c r="R111" s="0" t="inlineStr">
        <is>
          <t xml:space="preserve">Chưa</t>
        </is>
      </c>
      <c r="S111" s="0" t="inlineStr">
        <is>
          <t xml:space="preserve">Chưa</t>
        </is>
      </c>
      <c r="T111" s="0" t="inlineStr">
        <is>
          <t xml:space="preserve">Chưa</t>
        </is>
      </c>
      <c r="U111" s="0" t="inlineStr">
        <is>
          <t xml:space="preserve">Chưa</t>
        </is>
      </c>
      <c r="V111" s="0" t="inlineStr">
        <is>
          <t xml:space="preserve">Chưa</t>
        </is>
      </c>
      <c r="W111" s="0" t="inlineStr">
        <is>
          <t xml:space="preserve">Chưa</t>
        </is>
      </c>
      <c r="X111" s="0" t="inlineStr">
        <is>
          <t xml:space="preserve">Chưa</t>
        </is>
      </c>
      <c r="Y111" s="3">
        <f>COUNTIF(Q111:X111,"Xong")/8</f>
        <v>0</v>
      </c>
      <c r="Z111" s="4" t="inlineStr">
        <is>
          <t xml:space="preserve"/>
        </is>
      </c>
      <c r="AA111" s="4" t="inlineStr">
        <is>
          <t xml:space="preserve"/>
        </is>
      </c>
      <c r="AB111" s="4" t="inlineStr">
        <is>
          <t xml:space="preserve"/>
        </is>
      </c>
      <c r="AC111" s="0" t="inlineStr">
        <is>
          <t xml:space="preserve"/>
        </is>
      </c>
      <c r="AD111" s="0" t="inlineStr">
        <is>
          <t xml:space="preserve">Happy path: Xác nhận vào ở theo nhóm/từng người; kiểm tra {contract:Contract,members:Resident[],roomStatus:OCCUPIED}.
Thiếu phiên/phiên revoked/actor LOCKED và actor khác chủ hoặc khác participant phải bị chặn.
Ràng buộc: Một tài khoản chỉ có một lượt ACTIVE toàn hệ thống; người chưa có tài khoản vẫn có dòng riêng.
Gửi lặp cùng khóa trả kết quả cũ; cùng khóa khác payload trả 409; hai request tranh cùng tài nguyên không vượt hạn mức.
Lỗi giữa giao dịch phải rollback; xác minh không bọc CALL trong transaction của ứng dụng.</t>
        </is>
      </c>
      <c r="AE111" s="0" t="inlineStr">
        <is>
          <t xml:space="preserve"/>
        </is>
      </c>
      <c r="AF111" s="5" t="inlineStr">
        <is>
          <t xml:space="preserve">Mở đặc tả</t>
        </is>
      </c>
    </row>
    <row r="112" ht="70" customHeight="1">
      <c r="A112" s="2" t="inlineStr">
        <is>
          <t xml:space="preserve">API-111</t>
        </is>
      </c>
      <c r="B112" s="2" t="inlineStr">
        <is>
          <t xml:space="preserve">Hợp đồng &amp; vào ở</t>
        </is>
      </c>
      <c r="C112" s="2" t="inlineStr">
        <is>
          <t xml:space="preserve">cancel-contract</t>
        </is>
      </c>
      <c r="D112" s="2" t="inlineStr">
        <is>
          <t xml:space="preserve">POST</t>
        </is>
      </c>
      <c r="E112" s="2" t="inlineStr">
        <is>
          <t xml:space="preserve">/api/v1/contracts/{contractId}/cancel</t>
        </is>
      </c>
      <c r="F112" s="2" t="inlineStr">
        <is>
          <t xml:space="preserve">Hủy hợp đồng trước vào ở</t>
        </is>
      </c>
      <c r="G112" s="2" t="inlineStr">
        <is>
          <t xml:space="preserve">LANDLORD: sở hữu nhà/phòng/hợp đồng</t>
        </is>
      </c>
      <c r="H112" s="2" t="inlineStr">
        <is>
          <t xml:space="preserve">P0</t>
        </is>
      </c>
      <c r="I112" s="2" t="inlineStr">
        <is>
          <t xml:space="preserve">Middleware auth/session/role + object scope
D09: idempotency store nếu chưa có khóa tự nhiên</t>
        </is>
      </c>
      <c r="J112" s="2" t="inlineStr">
        <is>
          <t xml:space="preserve">sp_cancel_contract</t>
        </is>
      </c>
      <c r="K112" s="2" t="inlineStr">
        <is>
          <t xml:space="preserve">reason: string (bắt buộc) — Không chỉ khoảng trắng; tối đa 1.000 ký tự.</t>
        </is>
      </c>
      <c r="L112" s="2" t="inlineStr">
        <is>
          <t xml:space="preserve">Contract {id,status:CANCELLED}</t>
        </is>
      </c>
      <c r="M112" s="2" t="inlineStr">
        <is>
          <t xml:space="preserve">Chỉ DRAFT/PENDING_CONFIRMATION/CONFIRMED chưa có ACTIVE; hủy PLANNED, yêu cầu mở, tính phòng lại. Không khôi phục lịch cũ. ACTIVE phải termination.</t>
        </is>
      </c>
      <c r="N112" s="2" t="inlineStr">
        <is>
          <t xml:space="preserve">400 BAD_REQUEST
401 UNAUTHENTICATED
403 FORBIDDEN
404 RESOURCE_NOT_FOUND
409 STATE_CONFLICT
409 IDEMPOTENCY_KEY_REUSED
422 VALIDATION_ERROR
409 CONTRACT_ALREADY_ACTIVE
409 REPRESENTATIVE_CANNOT_BE_CANCELLED</t>
        </is>
      </c>
      <c r="O112" s="2" t="inlineStr">
        <is>
          <t xml:space="preserve"/>
        </is>
      </c>
      <c r="P112" s="2" t="inlineStr">
        <is>
          <t xml:space="preserve">Chưa làm</t>
        </is>
      </c>
      <c r="Q112" s="2" t="inlineStr">
        <is>
          <t xml:space="preserve">Chưa</t>
        </is>
      </c>
      <c r="R112" s="2" t="inlineStr">
        <is>
          <t xml:space="preserve">Chưa</t>
        </is>
      </c>
      <c r="S112" s="2" t="inlineStr">
        <is>
          <t xml:space="preserve">Chưa</t>
        </is>
      </c>
      <c r="T112" s="2" t="inlineStr">
        <is>
          <t xml:space="preserve">Chưa</t>
        </is>
      </c>
      <c r="U112" s="2" t="inlineStr">
        <is>
          <t xml:space="preserve">Chưa</t>
        </is>
      </c>
      <c r="V112" s="2" t="inlineStr">
        <is>
          <t xml:space="preserve">Chưa</t>
        </is>
      </c>
      <c r="W112" s="2" t="inlineStr">
        <is>
          <t xml:space="preserve">Chưa</t>
        </is>
      </c>
      <c r="X112" s="2" t="inlineStr">
        <is>
          <t xml:space="preserve">Chưa</t>
        </is>
      </c>
      <c r="Y112" s="3">
        <f>COUNTIF(Q112:X112,"Xong")/8</f>
        <v>0</v>
      </c>
      <c r="Z112" s="4" t="inlineStr">
        <is>
          <t xml:space="preserve"/>
        </is>
      </c>
      <c r="AA112" s="4" t="inlineStr">
        <is>
          <t xml:space="preserve"/>
        </is>
      </c>
      <c r="AB112" s="4" t="inlineStr">
        <is>
          <t xml:space="preserve"/>
        </is>
      </c>
      <c r="AC112" s="2" t="inlineStr">
        <is>
          <t xml:space="preserve"/>
        </is>
      </c>
      <c r="AD112" s="2" t="inlineStr">
        <is>
          <t xml:space="preserve">Happy path: Hủy hợp đồng trước vào ở; kiểm tra Contract {id,status:CANCELLED}.
Thiếu phiên/phiên revoked/actor LOCKED và actor khác chủ hoặc khác participant phải bị chặn.
Ràng buộc: PAPER_IMPORT có tài liệu hợp đồng giấy và ngữ cảnh nguồn riêng; không bắt buộc lịch xem như NEW_RENTAL.
Gửi lặp cùng khóa trả kết quả cũ; cùng khóa khác payload trả 409; hai request tranh cùng tài nguyên không vượt hạn mức.
Lỗi giữa giao dịch phải rollback; xác minh không bọc CALL trong transaction của ứng dụng.</t>
        </is>
      </c>
      <c r="AE112" s="2" t="inlineStr">
        <is>
          <t xml:space="preserve"/>
        </is>
      </c>
      <c r="AF112" s="5" t="inlineStr">
        <is>
          <t xml:space="preserve">Mở đặc tả</t>
        </is>
      </c>
    </row>
    <row r="113" ht="70" customHeight="1">
      <c r="A113" s="0" t="inlineStr">
        <is>
          <t xml:space="preserve">API-112</t>
        </is>
      </c>
      <c r="B113" s="0" t="inlineStr">
        <is>
          <t xml:space="preserve">Hợp đồng &amp; vào ở</t>
        </is>
      </c>
      <c r="C113" s="0" t="inlineStr">
        <is>
          <t xml:space="preserve">cancel-contract</t>
        </is>
      </c>
      <c r="D113" s="0" t="inlineStr">
        <is>
          <t xml:space="preserve">POST</t>
        </is>
      </c>
      <c r="E113" s="0" t="inlineStr">
        <is>
          <t xml:space="preserve">/api/v1/contracts/{contractId}/members/{memberId}/cancel</t>
        </is>
      </c>
      <c r="F113" s="0" t="inlineStr">
        <is>
          <t xml:space="preserve">Hủy thành viên dự kiến chưa đến</t>
        </is>
      </c>
      <c r="G113" s="0" t="inlineStr">
        <is>
          <t xml:space="preserve">LANDLORD: sở hữu nhà/phòng/hợp đồng</t>
        </is>
      </c>
      <c r="H113" s="0" t="inlineStr">
        <is>
          <t xml:space="preserve">P0</t>
        </is>
      </c>
      <c r="I113" s="0" t="inlineStr">
        <is>
          <t xml:space="preserve">Middleware auth/session/role + object scope
D09: idempotency store nếu chưa có khóa tự nhiên</t>
        </is>
      </c>
      <c r="J113" s="0" t="inlineStr">
        <is>
          <t xml:space="preserve">sp_cancel_planned_member</t>
        </is>
      </c>
      <c r="K113" s="0" t="inlineStr">
        <is>
          <t xml:space="preserve">reason: string (bắt buộc) — Không chỉ khoảng trắng; tối đa 1.000 ký tự.</t>
        </is>
      </c>
      <c r="L113" s="0" t="inlineStr">
        <is>
          <t xml:space="preserve">Resident {id,status:CANCELLED}</t>
        </is>
      </c>
      <c r="M113" s="0" t="inlineStr">
        <is>
          <t xml:space="preserve">Chỉ PLANNED, không hủy riêng đại diện; không giả ngày vào/ra.</t>
        </is>
      </c>
      <c r="N113" s="0" t="inlineStr">
        <is>
          <t xml:space="preserve">400 BAD_REQUEST
401 UNAUTHENTICATED
403 FORBIDDEN
404 RESOURCE_NOT_FOUND
409 STATE_CONFLICT
409 IDEMPOTENCY_KEY_REUSED
422 VALIDATION_ERROR
409 CONTRACT_ALREADY_ACTIVE
409 REPRESENTATIVE_CANNOT_BE_CANCELLED</t>
        </is>
      </c>
      <c r="O113" s="0" t="inlineStr">
        <is>
          <t xml:space="preserve"/>
        </is>
      </c>
      <c r="P113" s="0" t="inlineStr">
        <is>
          <t xml:space="preserve">Chưa làm</t>
        </is>
      </c>
      <c r="Q113" s="0" t="inlineStr">
        <is>
          <t xml:space="preserve">Chưa</t>
        </is>
      </c>
      <c r="R113" s="0" t="inlineStr">
        <is>
          <t xml:space="preserve">Chưa</t>
        </is>
      </c>
      <c r="S113" s="0" t="inlineStr">
        <is>
          <t xml:space="preserve">Chưa</t>
        </is>
      </c>
      <c r="T113" s="0" t="inlineStr">
        <is>
          <t xml:space="preserve">Chưa</t>
        </is>
      </c>
      <c r="U113" s="0" t="inlineStr">
        <is>
          <t xml:space="preserve">Chưa</t>
        </is>
      </c>
      <c r="V113" s="0" t="inlineStr">
        <is>
          <t xml:space="preserve">Chưa</t>
        </is>
      </c>
      <c r="W113" s="0" t="inlineStr">
        <is>
          <t xml:space="preserve">Chưa</t>
        </is>
      </c>
      <c r="X113" s="0" t="inlineStr">
        <is>
          <t xml:space="preserve">Chưa</t>
        </is>
      </c>
      <c r="Y113" s="3">
        <f>COUNTIF(Q113:X113,"Xong")/8</f>
        <v>0</v>
      </c>
      <c r="Z113" s="4" t="inlineStr">
        <is>
          <t xml:space="preserve"/>
        </is>
      </c>
      <c r="AA113" s="4" t="inlineStr">
        <is>
          <t xml:space="preserve"/>
        </is>
      </c>
      <c r="AB113" s="4" t="inlineStr">
        <is>
          <t xml:space="preserve"/>
        </is>
      </c>
      <c r="AC113" s="0" t="inlineStr">
        <is>
          <t xml:space="preserve"/>
        </is>
      </c>
      <c r="AD113" s="0" t="inlineStr">
        <is>
          <t xml:space="preserve">Happy path: Hủy thành viên dự kiến chưa đến; kiểm tra Resident {id,status:CANCELLED}.
Thiếu phiên/phiên revoked/actor LOCKED và actor khác chủ hoặc khác participant phải bị chặn.
Ràng buộc: PAPER_IMPORT có tài liệu hợp đồng giấy và ngữ cảnh nguồn riêng; không bắt buộc lịch xem như NEW_RENTAL.
Gửi lặp cùng khóa trả kết quả cũ; cùng khóa khác payload trả 409; hai request tranh cùng tài nguyên không vượt hạn mức.
Lỗi giữa giao dịch phải rollback; xác minh không bọc CALL trong transaction của ứng dụng.</t>
        </is>
      </c>
      <c r="AE113" s="0" t="inlineStr">
        <is>
          <t xml:space="preserve"/>
        </is>
      </c>
      <c r="AF113" s="5" t="inlineStr">
        <is>
          <t xml:space="preserve">Mở đặc tả</t>
        </is>
      </c>
    </row>
    <row r="114" ht="70" customHeight="1">
      <c r="A114" s="2" t="inlineStr">
        <is>
          <t xml:space="preserve">API-113</t>
        </is>
      </c>
      <c r="B114" s="2" t="inlineStr">
        <is>
          <t xml:space="preserve">Hợp đồng &amp; vào ở</t>
        </is>
      </c>
      <c r="C114" s="2" t="inlineStr">
        <is>
          <t xml:space="preserve">cancel-contract</t>
        </is>
      </c>
      <c r="D114" s="2" t="inlineStr">
        <is>
          <t xml:space="preserve">POST</t>
        </is>
      </c>
      <c r="E114" s="2" t="inlineStr">
        <is>
          <t xml:space="preserve">/api/v1/contract-imports</t>
        </is>
      </c>
      <c r="F114" s="2" t="inlineStr">
        <is>
          <t xml:space="preserve">Nhập hợp đồng giấy có chứng cứ</t>
        </is>
      </c>
      <c r="G114" s="2" t="inlineStr">
        <is>
          <t xml:space="preserve">LANDLORD: sở hữu nhà/phòng/hợp đồng và quyền import riêng</t>
        </is>
      </c>
      <c r="H114" s="2" t="inlineStr">
        <is>
          <t xml:space="preserve">P2</t>
        </is>
      </c>
      <c r="I114" s="2" t="inlineStr">
        <is>
          <t xml:space="preserve">Middleware auth/session/role + object scope
D09: idempotency store nếu chưa có khóa tự nhiên
D11</t>
        </is>
      </c>
      <c r="J114" s="2" t="inlineStr">
        <is>
          <t xml:space="preserve">SERVICE: cần triển khai giao dịch backend</t>
        </is>
      </c>
      <c r="K114" s="2" t="inlineStr">
        <is>
          <t xml:space="preserve">paperDocumentFileId: id (bắt buộc) — CONTRACT PRIVATE ACTIVE thuộc chủ; chứng cứ đã ký.
roomId: id (bắt buộc) — Phòng của mình.
contractNumber: string (bắt buộc) — Duy nhất, ≤100 ký tự.
startDate: date (bắt buộc) — Thời hạn đã ký.
endDate: date (bắt buộc) — ≥ startDate.
rentAmount: money (bắt buộc) — Không âm.
depositAmount: money (bắt buộc) — Không âm.
content: string (bắt buộc) — Snapshot nội dung đã ký.
members: object[] (bắt buộc) — Danh sách + đại diện, trạng thái và chứng cứ ngày vào thực tế; cần chốt JSON chi tiết.</t>
        </is>
      </c>
      <c r="L114" s="2" t="inlineStr">
        <is>
          <t xml:space="preserve">ImportResult {contractId,source:PAPER_IMPORT,warnings}</t>
        </is>
      </c>
      <c r="M114" s="2" t="inlineStr">
        <is>
          <t xml:space="preserve">Chưa có procedure nhập giấy hoàn chỉnh; cần thiết kế transaction/FK/revision/history, quyền đặc biệt và kiểm tra capacity. Không cho client chọn source=PAPER_IMPORT trên POST /contracts để né quyền nhà.</t>
        </is>
      </c>
      <c r="N114" s="2" t="inlineStr">
        <is>
          <t xml:space="preserve">400 BAD_REQUEST
401 UNAUTHENTICATED
403 FORBIDDEN
404 RESOURCE_NOT_FOUND
409 STATE_CONFLICT
409 IDEMPOTENCY_KEY_REUSED
422 VALIDATION_ERROR
409 CONTRACT_ALREADY_ACTIVE
409 REPRESENTATIVE_CANNOT_BE_CANCELLED</t>
        </is>
      </c>
      <c r="O114" s="2" t="inlineStr">
        <is>
          <t xml:space="preserve"/>
        </is>
      </c>
      <c r="P114" s="2" t="inlineStr">
        <is>
          <t xml:space="preserve">Chưa làm</t>
        </is>
      </c>
      <c r="Q114" s="2" t="inlineStr">
        <is>
          <t xml:space="preserve">Chưa</t>
        </is>
      </c>
      <c r="R114" s="2" t="inlineStr">
        <is>
          <t xml:space="preserve">Chưa</t>
        </is>
      </c>
      <c r="S114" s="2" t="inlineStr">
        <is>
          <t xml:space="preserve">Chưa</t>
        </is>
      </c>
      <c r="T114" s="2" t="inlineStr">
        <is>
          <t xml:space="preserve">Chưa</t>
        </is>
      </c>
      <c r="U114" s="2" t="inlineStr">
        <is>
          <t xml:space="preserve">Chưa</t>
        </is>
      </c>
      <c r="V114" s="2" t="inlineStr">
        <is>
          <t xml:space="preserve">Chưa</t>
        </is>
      </c>
      <c r="W114" s="2" t="inlineStr">
        <is>
          <t xml:space="preserve">Chưa</t>
        </is>
      </c>
      <c r="X114" s="2" t="inlineStr">
        <is>
          <t xml:space="preserve">Chưa</t>
        </is>
      </c>
      <c r="Y114" s="3">
        <f>COUNTIF(Q114:X114,"Xong")/8</f>
        <v>0</v>
      </c>
      <c r="Z114" s="4" t="inlineStr">
        <is>
          <t xml:space="preserve"/>
        </is>
      </c>
      <c r="AA114" s="4" t="inlineStr">
        <is>
          <t xml:space="preserve"/>
        </is>
      </c>
      <c r="AB114" s="4" t="inlineStr">
        <is>
          <t xml:space="preserve"/>
        </is>
      </c>
      <c r="AC114" s="2" t="inlineStr">
        <is>
          <t xml:space="preserve"/>
        </is>
      </c>
      <c r="AD114" s="2" t="inlineStr">
        <is>
          <t xml:space="preserve">Happy path: Nhập hợp đồng giấy có chứng cứ; kiểm tra ImportResult {contractId,source:PAPER_IMPORT,warnings}.
Thiếu phiên/phiên revoked/actor LOCKED và actor khác chủ hoặc khác participant phải bị chặn.
Ràng buộc: PAPER_IMPORT có tài liệu hợp đồng giấy và ngữ cảnh nguồn riêng; không bắt buộc lịch xem như NEW_RENTAL.
Gửi lặp cùng khóa trả kết quả cũ; cùng khóa khác payload trả 409; hai request tranh cùng tài nguyên không vượt hạn mức.
Kiểm tra lỗi DB/provider không để lại cập nhật dở hoặc trả thành công giả.</t>
        </is>
      </c>
      <c r="AE114" s="2" t="inlineStr">
        <is>
          <t xml:space="preserve"/>
        </is>
      </c>
      <c r="AF114" s="5" t="inlineStr">
        <is>
          <t xml:space="preserve">Mở đặc tả</t>
        </is>
      </c>
    </row>
    <row r="115" ht="70" customHeight="1">
      <c r="A115" s="0" t="inlineStr">
        <is>
          <t xml:space="preserve">API-114</t>
        </is>
      </c>
      <c r="B115" s="0" t="inlineStr">
        <is>
          <t xml:space="preserve">Người ở &amp; đại diện</t>
        </is>
      </c>
      <c r="C115" s="0" t="inlineStr">
        <is>
          <t xml:space="preserve">residents</t>
        </is>
      </c>
      <c r="D115" s="0" t="inlineStr">
        <is>
          <t xml:space="preserve">GET</t>
        </is>
      </c>
      <c r="E115" s="0" t="inlineStr">
        <is>
          <t xml:space="preserve">/api/v1/residents</t>
        </is>
      </c>
      <c r="F115" s="0" t="inlineStr">
        <is>
          <t xml:space="preserve">Danh sách và lịch sử người ở quản lý</t>
        </is>
      </c>
      <c r="G115" s="0" t="inlineStr">
        <is>
          <t xml:space="preserve">LANDLORD: sở hữu nhà/phòng/hợp đồng</t>
        </is>
      </c>
      <c r="H115" s="0" t="inlineStr">
        <is>
          <t xml:space="preserve">P0</t>
        </is>
      </c>
      <c r="I115" s="0" t="inlineStr">
        <is>
          <t xml:space="preserve">Middleware auth/session/role + object scope</t>
        </is>
      </c>
      <c r="J115" s="0" t="inlineStr">
        <is>
          <t xml:space="preserve">READ: truy vấn có scope quyền</t>
        </is>
      </c>
      <c r="K115" s="0" t="inlineStr">
        <is>
          <t xml:space="preserve">Không có JSON body</t>
        </is>
      </c>
      <c r="L115" s="0" t="inlineStr">
        <is>
          <t xml:space="preserve">Resident[] gồm status,contract,room,moveIn/Out,representative</t>
        </is>
      </c>
      <c r="M115" s="0" t="inlineStr">
        <is>
          <t xml:space="preserve">ACTIVE vẫn hiện khi contract cũ đóng sai; lọc houseId/roomId/contractId/status, không suy cư trú chỉ từ representative.</t>
        </is>
      </c>
      <c r="N115" s="0" t="inlineStr">
        <is>
          <t xml:space="preserve">400 BAD_REQUEST
401 UNAUTHENTICATED
403 FORBIDDEN
404 RESOURCE_NOT_FOUND
422 VALIDATION_ERROR</t>
        </is>
      </c>
      <c r="O115" s="0" t="inlineStr">
        <is>
          <t xml:space="preserve"/>
        </is>
      </c>
      <c r="P115" s="0" t="inlineStr">
        <is>
          <t xml:space="preserve">Chưa làm</t>
        </is>
      </c>
      <c r="Q115" s="0" t="inlineStr">
        <is>
          <t xml:space="preserve">Chưa</t>
        </is>
      </c>
      <c r="R115" s="0" t="inlineStr">
        <is>
          <t xml:space="preserve">Chưa</t>
        </is>
      </c>
      <c r="S115" s="0" t="inlineStr">
        <is>
          <t xml:space="preserve">Chưa</t>
        </is>
      </c>
      <c r="T115" s="0" t="inlineStr">
        <is>
          <t xml:space="preserve">Chưa</t>
        </is>
      </c>
      <c r="U115" s="0" t="inlineStr">
        <is>
          <t xml:space="preserve">Chưa</t>
        </is>
      </c>
      <c r="V115" s="0" t="inlineStr">
        <is>
          <t xml:space="preserve">Chưa</t>
        </is>
      </c>
      <c r="W115" s="0" t="inlineStr">
        <is>
          <t xml:space="preserve">Chưa</t>
        </is>
      </c>
      <c r="X115" s="0" t="inlineStr">
        <is>
          <t xml:space="preserve">Chưa</t>
        </is>
      </c>
      <c r="Y115" s="3">
        <f>COUNTIF(Q115:X115,"Xong")/8</f>
        <v>0</v>
      </c>
      <c r="Z115" s="4" t="inlineStr">
        <is>
          <t xml:space="preserve"/>
        </is>
      </c>
      <c r="AA115" s="4" t="inlineStr">
        <is>
          <t xml:space="preserve"/>
        </is>
      </c>
      <c r="AB115" s="4" t="inlineStr">
        <is>
          <t xml:space="preserve"/>
        </is>
      </c>
      <c r="AC115" s="0" t="inlineStr">
        <is>
          <t xml:space="preserve"/>
        </is>
      </c>
      <c r="AD115" s="0" t="inlineStr">
        <is>
          <t xml:space="preserve">Happy path: Danh sách và lịch sử người ở quản lý; kiểm tra Resident[] gồm status,contract,room,moveIn/Out,representative.
Thiếu phiên/phiên revoked/actor LOCKED và actor khác chủ hoặc khác participant phải bị chặn.
Ràng buộc: FK ghép giữ đúng người-hợp đồng-phòng; một tài khoản không có hai thành viên mở trùng cùng hợp đồng.
Phân trang/lọc đúng scope; dữ liệu riêng tư bị loại trên server, không chỉ ẩn UI.
Kiểm tra lỗi DB/provider không để lại cập nhật dở hoặc trả thành công giả.</t>
        </is>
      </c>
      <c r="AE115" s="0" t="inlineStr">
        <is>
          <t xml:space="preserve"/>
        </is>
      </c>
      <c r="AF115" s="5" t="inlineStr">
        <is>
          <t xml:space="preserve">Mở đặc tả</t>
        </is>
      </c>
    </row>
    <row r="116" ht="70" customHeight="1">
      <c r="A116" s="2" t="inlineStr">
        <is>
          <t xml:space="preserve">API-115</t>
        </is>
      </c>
      <c r="B116" s="2" t="inlineStr">
        <is>
          <t xml:space="preserve">Người ở &amp; đại diện</t>
        </is>
      </c>
      <c r="C116" s="2" t="inlineStr">
        <is>
          <t xml:space="preserve">residents</t>
        </is>
      </c>
      <c r="D116" s="2" t="inlineStr">
        <is>
          <t xml:space="preserve">GET</t>
        </is>
      </c>
      <c r="E116" s="2" t="inlineStr">
        <is>
          <t xml:space="preserve">/api/v1/contracts/{contractId}/members</t>
        </is>
      </c>
      <c r="F116" s="2" t="inlineStr">
        <is>
          <t xml:space="preserve">Thành viên của hợp đồng</t>
        </is>
      </c>
      <c r="G116" s="2" t="inlineStr">
        <is>
          <t xml:space="preserve">TENANT: chỉ chính người thuê và tài nguyên được phép hoặc LANDLORD: sở hữu nhà/phòng/hợp đồng</t>
        </is>
      </c>
      <c r="H116" s="2" t="inlineStr">
        <is>
          <t xml:space="preserve">P0</t>
        </is>
      </c>
      <c r="I116" s="2" t="inlineStr">
        <is>
          <t xml:space="preserve">Middleware auth/session/role + object scope</t>
        </is>
      </c>
      <c r="J116" s="2" t="inlineStr">
        <is>
          <t xml:space="preserve">READ: truy vấn có scope quyền</t>
        </is>
      </c>
      <c r="K116" s="2" t="inlineStr">
        <is>
          <t xml:space="preserve">Không có JSON body</t>
        </is>
      </c>
      <c r="L116" s="2" t="inlineStr">
        <is>
          <t xml:space="preserve">Resident[] với trường được phép</t>
        </is>
      </c>
      <c r="M116" s="2" t="inlineStr">
        <is>
          <t xml:space="preserve">Owner thấy dữ liệu quản lý; tenant chỉ trường cần thiết và che dữ liệu nhạy cảm của người khác. Bao gồm PLANNED/ACTIVE/LEFT/CANCELLED.</t>
        </is>
      </c>
      <c r="N116" s="2" t="inlineStr">
        <is>
          <t xml:space="preserve">400 BAD_REQUEST
401 UNAUTHENTICATED
403 FORBIDDEN
404 RESOURCE_NOT_FOUND
422 VALIDATION_ERROR</t>
        </is>
      </c>
      <c r="O116" s="2" t="inlineStr">
        <is>
          <t xml:space="preserve"/>
        </is>
      </c>
      <c r="P116" s="2" t="inlineStr">
        <is>
          <t xml:space="preserve">Chưa làm</t>
        </is>
      </c>
      <c r="Q116" s="2" t="inlineStr">
        <is>
          <t xml:space="preserve">Chưa</t>
        </is>
      </c>
      <c r="R116" s="2" t="inlineStr">
        <is>
          <t xml:space="preserve">Chưa</t>
        </is>
      </c>
      <c r="S116" s="2" t="inlineStr">
        <is>
          <t xml:space="preserve">Chưa</t>
        </is>
      </c>
      <c r="T116" s="2" t="inlineStr">
        <is>
          <t xml:space="preserve">Chưa</t>
        </is>
      </c>
      <c r="U116" s="2" t="inlineStr">
        <is>
          <t xml:space="preserve">Chưa</t>
        </is>
      </c>
      <c r="V116" s="2" t="inlineStr">
        <is>
          <t xml:space="preserve">Chưa</t>
        </is>
      </c>
      <c r="W116" s="2" t="inlineStr">
        <is>
          <t xml:space="preserve">Chưa</t>
        </is>
      </c>
      <c r="X116" s="2" t="inlineStr">
        <is>
          <t xml:space="preserve">Chưa</t>
        </is>
      </c>
      <c r="Y116" s="3">
        <f>COUNTIF(Q116:X116,"Xong")/8</f>
        <v>0</v>
      </c>
      <c r="Z116" s="4" t="inlineStr">
        <is>
          <t xml:space="preserve"/>
        </is>
      </c>
      <c r="AA116" s="4" t="inlineStr">
        <is>
          <t xml:space="preserve"/>
        </is>
      </c>
      <c r="AB116" s="4" t="inlineStr">
        <is>
          <t xml:space="preserve"/>
        </is>
      </c>
      <c r="AC116" s="2" t="inlineStr">
        <is>
          <t xml:space="preserve"/>
        </is>
      </c>
      <c r="AD116" s="2" t="inlineStr">
        <is>
          <t xml:space="preserve">Happy path: Thành viên của hợp đồng; kiểm tra Resident[] với trường được phép.
Thiếu phiên/phiên revoked/actor LOCKED và actor khác chủ hoặc khác participant phải bị chặn.
Ràng buộc: FK ghép giữ đúng người-hợp đồng-phòng; một tài khoản không có hai thành viên mở trùng cùng hợp đồng.
Phân trang/lọc đúng scope; dữ liệu riêng tư bị loại trên server, không chỉ ẩn UI.
Kiểm tra lỗi DB/provider không để lại cập nhật dở hoặc trả thành công giả.</t>
        </is>
      </c>
      <c r="AE116" s="2" t="inlineStr">
        <is>
          <t xml:space="preserve"/>
        </is>
      </c>
      <c r="AF116" s="5" t="inlineStr">
        <is>
          <t xml:space="preserve">Mở đặc tả</t>
        </is>
      </c>
    </row>
    <row r="117" ht="70" customHeight="1">
      <c r="A117" s="0" t="inlineStr">
        <is>
          <t xml:space="preserve">API-116</t>
        </is>
      </c>
      <c r="B117" s="0" t="inlineStr">
        <is>
          <t xml:space="preserve">Người ở &amp; đại diện</t>
        </is>
      </c>
      <c r="C117" s="0" t="inlineStr">
        <is>
          <t xml:space="preserve">residents</t>
        </is>
      </c>
      <c r="D117" s="0" t="inlineStr">
        <is>
          <t xml:space="preserve">GET</t>
        </is>
      </c>
      <c r="E117" s="0" t="inlineStr">
        <is>
          <t xml:space="preserve">/api/v1/residents/export</t>
        </is>
      </c>
      <c r="F117" s="0" t="inlineStr">
        <is>
          <t xml:space="preserve">Xuất danh sách cư dân đang ở</t>
        </is>
      </c>
      <c r="G117" s="0" t="inlineStr">
        <is>
          <t xml:space="preserve">LANDLORD: sở hữu nhà/phòng/hợp đồng</t>
        </is>
      </c>
      <c r="H117" s="0" t="inlineStr">
        <is>
          <t xml:space="preserve">P0</t>
        </is>
      </c>
      <c r="I117" s="0" t="inlineStr">
        <is>
          <t xml:space="preserve">Middleware auth/session/role + object scope</t>
        </is>
      </c>
      <c r="J117" s="0" t="inlineStr">
        <is>
          <t xml:space="preserve">READ: truy vấn có scope quyền</t>
        </is>
      </c>
      <c r="K117" s="0" t="inlineStr">
        <is>
          <t xml:space="preserve">Không có JSON body</t>
        </is>
      </c>
      <c r="L117" s="0" t="inlineStr">
        <is>
          <t xml:space="preserve">text/csv UTF-8 BOM; attachment residents.csv</t>
        </is>
      </c>
      <c r="M117" s="0" t="inlineStr">
        <is>
          <t xml:space="preserve">Ngoại lệ JSON envelope: CSV scoped owner + ACTIVE, kể cả contract đóng sai. Chống CSV formula injection cho tên/chuỗi bắt đầu =,+,-,@. Không xuất CCCD mặc định.</t>
        </is>
      </c>
      <c r="N117" s="0" t="inlineStr">
        <is>
          <t xml:space="preserve">400 BAD_REQUEST
401 UNAUTHENTICATED
403 FORBIDDEN
404 RESOURCE_NOT_FOUND</t>
        </is>
      </c>
      <c r="O117" s="0" t="inlineStr">
        <is>
          <t xml:space="preserve"/>
        </is>
      </c>
      <c r="P117" s="0" t="inlineStr">
        <is>
          <t xml:space="preserve">Chưa làm</t>
        </is>
      </c>
      <c r="Q117" s="0" t="inlineStr">
        <is>
          <t xml:space="preserve">Chưa</t>
        </is>
      </c>
      <c r="R117" s="0" t="inlineStr">
        <is>
          <t xml:space="preserve">Chưa</t>
        </is>
      </c>
      <c r="S117" s="0" t="inlineStr">
        <is>
          <t xml:space="preserve">Chưa</t>
        </is>
      </c>
      <c r="T117" s="0" t="inlineStr">
        <is>
          <t xml:space="preserve">Chưa</t>
        </is>
      </c>
      <c r="U117" s="0" t="inlineStr">
        <is>
          <t xml:space="preserve">Chưa</t>
        </is>
      </c>
      <c r="V117" s="0" t="inlineStr">
        <is>
          <t xml:space="preserve">Chưa</t>
        </is>
      </c>
      <c r="W117" s="0" t="inlineStr">
        <is>
          <t xml:space="preserve">Chưa</t>
        </is>
      </c>
      <c r="X117" s="0" t="inlineStr">
        <is>
          <t xml:space="preserve">Chưa</t>
        </is>
      </c>
      <c r="Y117" s="3">
        <f>COUNTIF(Q117:X117,"Xong")/8</f>
        <v>0</v>
      </c>
      <c r="Z117" s="4" t="inlineStr">
        <is>
          <t xml:space="preserve"/>
        </is>
      </c>
      <c r="AA117" s="4" t="inlineStr">
        <is>
          <t xml:space="preserve"/>
        </is>
      </c>
      <c r="AB117" s="4" t="inlineStr">
        <is>
          <t xml:space="preserve"/>
        </is>
      </c>
      <c r="AC117" s="0" t="inlineStr">
        <is>
          <t xml:space="preserve"/>
        </is>
      </c>
      <c r="AD117" s="0" t="inlineStr">
        <is>
          <t xml:space="preserve">Happy path: Xuất danh sách cư dân đang ở; kiểm tra text/csv UTF-8 BOM; attachment residents.csv.
Thiếu phiên/phiên revoked/actor LOCKED và actor khác chủ hoặc khác participant phải bị chặn.
Ràng buộc: FK ghép giữ đúng người-hợp đồng-phòng; một tài khoản không có hai thành viên mở trùng cùng hợp đồng.
Phân trang/lọc đúng scope; dữ liệu riêng tư bị loại trên server, không chỉ ẩn UI.
Kiểm tra lỗi DB/provider không để lại cập nhật dở hoặc trả thành công giả.</t>
        </is>
      </c>
      <c r="AE117" s="0" t="inlineStr">
        <is>
          <t xml:space="preserve"/>
        </is>
      </c>
      <c r="AF117" s="5" t="inlineStr">
        <is>
          <t xml:space="preserve">Mở đặc tả</t>
        </is>
      </c>
    </row>
    <row r="118" ht="70" customHeight="1">
      <c r="A118" s="2" t="inlineStr">
        <is>
          <t xml:space="preserve">API-117</t>
        </is>
      </c>
      <c r="B118" s="2" t="inlineStr">
        <is>
          <t xml:space="preserve">Người ở &amp; đại diện</t>
        </is>
      </c>
      <c r="C118" s="2" t="inlineStr">
        <is>
          <t xml:space="preserve">join-consent</t>
        </is>
      </c>
      <c r="D118" s="2" t="inlineStr">
        <is>
          <t xml:space="preserve">GET</t>
        </is>
      </c>
      <c r="E118" s="2" t="inlineStr">
        <is>
          <t xml:space="preserve">/api/v1/occupant-join-requests</t>
        </is>
      </c>
      <c r="F118" s="2" t="inlineStr">
        <is>
          <t xml:space="preserve">Yêu cầu thêm người trong phạm vi được xem</t>
        </is>
      </c>
      <c r="G118" s="2" t="inlineStr">
        <is>
          <t xml:space="preserve">TENANT: chỉ chính người thuê và tài nguyên được phép hoặc LANDLORD: sở hữu nhà/phòng/hợp đồng</t>
        </is>
      </c>
      <c r="H118" s="2" t="inlineStr">
        <is>
          <t xml:space="preserve">P0</t>
        </is>
      </c>
      <c r="I118" s="2" t="inlineStr">
        <is>
          <t xml:space="preserve">Middleware auth/session/role + object scope</t>
        </is>
      </c>
      <c r="J118" s="2" t="inlineStr">
        <is>
          <t xml:space="preserve">READ: truy vấn có scope quyền</t>
        </is>
      </c>
      <c r="K118" s="2" t="inlineStr">
        <is>
          <t xml:space="preserve">Không có JSON body</t>
        </is>
      </c>
      <c r="L118" s="2" t="inlineStr">
        <is>
          <t xml:space="preserve">OccupantJoinRequest[] và effectiveStatus</t>
        </is>
      </c>
      <c r="M118" s="2" t="inlineStr">
        <is>
          <t xml:space="preserve">Actor là current representative/applicant hoặc owner. expired hold tính theo now kể cả job chưa chạy.</t>
        </is>
      </c>
      <c r="N118" s="2" t="inlineStr">
        <is>
          <t xml:space="preserve">400 BAD_REQUEST
401 UNAUTHENTICATED
403 FORBIDDEN
404 RESOURCE_NOT_FOUND
422 VALIDATION_ERROR</t>
        </is>
      </c>
      <c r="O118" s="2" t="inlineStr">
        <is>
          <t xml:space="preserve"/>
        </is>
      </c>
      <c r="P118" s="2" t="inlineStr">
        <is>
          <t xml:space="preserve">Chưa làm</t>
        </is>
      </c>
      <c r="Q118" s="2" t="inlineStr">
        <is>
          <t xml:space="preserve">Chưa</t>
        </is>
      </c>
      <c r="R118" s="2" t="inlineStr">
        <is>
          <t xml:space="preserve">Chưa</t>
        </is>
      </c>
      <c r="S118" s="2" t="inlineStr">
        <is>
          <t xml:space="preserve">Chưa</t>
        </is>
      </c>
      <c r="T118" s="2" t="inlineStr">
        <is>
          <t xml:space="preserve">Chưa</t>
        </is>
      </c>
      <c r="U118" s="2" t="inlineStr">
        <is>
          <t xml:space="preserve">Chưa</t>
        </is>
      </c>
      <c r="V118" s="2" t="inlineStr">
        <is>
          <t xml:space="preserve">Chưa</t>
        </is>
      </c>
      <c r="W118" s="2" t="inlineStr">
        <is>
          <t xml:space="preserve">Chưa</t>
        </is>
      </c>
      <c r="X118" s="2" t="inlineStr">
        <is>
          <t xml:space="preserve">Chưa</t>
        </is>
      </c>
      <c r="Y118" s="3">
        <f>COUNTIF(Q118:X118,"Xong")/8</f>
        <v>0</v>
      </c>
      <c r="Z118" s="4" t="inlineStr">
        <is>
          <t xml:space="preserve"/>
        </is>
      </c>
      <c r="AA118" s="4" t="inlineStr">
        <is>
          <t xml:space="preserve"/>
        </is>
      </c>
      <c r="AB118" s="4" t="inlineStr">
        <is>
          <t xml:space="preserve"/>
        </is>
      </c>
      <c r="AC118" s="2" t="inlineStr">
        <is>
          <t xml:space="preserve"/>
        </is>
      </c>
      <c r="AD118" s="2" t="inlineStr">
        <is>
          <t xml:space="preserve">Happy path: Yêu cầu thêm người trong phạm vi được xem; kiểm tra OccupantJoinRequest[] và effectiveStatus.
Thiếu phiên/phiên revoked/actor LOCKED và actor khác chủ hoặc khác participant phải bị chặn.
Ràng buộc: PENDING_LANDLORD/APPROVED/COMPLETED bắt buộc cả hai đồng ý; người đồng ý xin vào phải chính applicant_id.
Phân trang/lọc đúng scope; dữ liệu riêng tư bị loại trên server, không chỉ ẩn UI.
Kiểm tra lỗi DB/provider không để lại cập nhật dở hoặc trả thành công giả.</t>
        </is>
      </c>
      <c r="AE118" s="2" t="inlineStr">
        <is>
          <t xml:space="preserve"/>
        </is>
      </c>
      <c r="AF118" s="5" t="inlineStr">
        <is>
          <t xml:space="preserve">Mở đặc tả</t>
        </is>
      </c>
    </row>
    <row r="119" ht="70" customHeight="1">
      <c r="A119" s="0" t="inlineStr">
        <is>
          <t xml:space="preserve">API-118</t>
        </is>
      </c>
      <c r="B119" s="0" t="inlineStr">
        <is>
          <t xml:space="preserve">Người ở &amp; đại diện</t>
        </is>
      </c>
      <c r="C119" s="0" t="inlineStr">
        <is>
          <t xml:space="preserve">join-consent</t>
        </is>
      </c>
      <c r="D119" s="0" t="inlineStr">
        <is>
          <t xml:space="preserve">POST</t>
        </is>
      </c>
      <c r="E119" s="0" t="inlineStr">
        <is>
          <t xml:space="preserve">/api/v1/occupant-join-requests</t>
        </is>
      </c>
      <c r="F119" s="0" t="inlineStr">
        <is>
          <t xml:space="preserve">Đại diện đề nghị thêm người</t>
        </is>
      </c>
      <c r="G119" s="0" t="inlineStr">
        <is>
          <t xml:space="preserve">TENANT: chỉ chính người thuê và tài nguyên được phép</t>
        </is>
      </c>
      <c r="H119" s="0" t="inlineStr">
        <is>
          <t xml:space="preserve">P0</t>
        </is>
      </c>
      <c r="I119" s="0" t="inlineStr">
        <is>
          <t xml:space="preserve">Middleware auth/session/role + object scope
D09: idempotency store nếu chưa có khóa tự nhiên</t>
        </is>
      </c>
      <c r="J119" s="0" t="inlineStr">
        <is>
          <t xml:space="preserve">SERVICE: cần triển khai giao dịch backend</t>
        </is>
      </c>
      <c r="K119" s="0" t="inlineStr">
        <is>
          <t xml:space="preserve">contractId: id (bắt buộc) — Hợp đồng ACTIVE của đại diện đang ở.
applicantId: id (bắt buộc) — Người xin vào ACTIVE, khác người tạo yêu cầu; không có lượt ACTIVE khác.
plannedMoveInDate: date (bắt buộc) — Trong thời hạn hợp đồng.
roommateRequestId: id (tùy chọn) — Kết nối đúng hai bên, không dùng ACCEPTED làm đồng thuận.
message: string (tùy chọn) — Không quá 2.000 ký tự.</t>
        </is>
      </c>
      <c r="L119" s="0" t="inlineStr">
        <is>
          <t xml:space="preserve">OccupantJoinRequest {id,status:PENDING_CONSENT}</t>
        </is>
      </c>
      <c r="M119" s="0" t="inlineStr">
        <is>
          <t xml:space="preserve">Thiết kế v5 requested_by khác applicant: route này chỉ đại diện hiện tại tạo. applicant không tự tạo hộ; khóa contract ACTIVE, member đại diện ACTIVE, unique yêu cầu mở; chưa tự chép đồng thuận kết nối.</t>
        </is>
      </c>
      <c r="N119" s="0" t="inlineStr">
        <is>
          <t xml:space="preserve">400 BAD_REQUEST
401 UNAUTHENTICATED
403 FORBIDDEN
404 RESOURCE_NOT_FOUND
409 STATE_CONFLICT
409 IDEMPOTENCY_KEY_REUSED
422 VALIDATION_ERROR
409 OPEN_JOIN_EXISTS
409 REPRESENTATIVE_CHANGED
422 CONSENT_REQUIRED</t>
        </is>
      </c>
      <c r="O119" s="0" t="inlineStr">
        <is>
          <t xml:space="preserve"/>
        </is>
      </c>
      <c r="P119" s="0" t="inlineStr">
        <is>
          <t xml:space="preserve">Chưa làm</t>
        </is>
      </c>
      <c r="Q119" s="0" t="inlineStr">
        <is>
          <t xml:space="preserve">Chưa</t>
        </is>
      </c>
      <c r="R119" s="0" t="inlineStr">
        <is>
          <t xml:space="preserve">Chưa</t>
        </is>
      </c>
      <c r="S119" s="0" t="inlineStr">
        <is>
          <t xml:space="preserve">Chưa</t>
        </is>
      </c>
      <c r="T119" s="0" t="inlineStr">
        <is>
          <t xml:space="preserve">Chưa</t>
        </is>
      </c>
      <c r="U119" s="0" t="inlineStr">
        <is>
          <t xml:space="preserve">Chưa</t>
        </is>
      </c>
      <c r="V119" s="0" t="inlineStr">
        <is>
          <t xml:space="preserve">Chưa</t>
        </is>
      </c>
      <c r="W119" s="0" t="inlineStr">
        <is>
          <t xml:space="preserve">Chưa</t>
        </is>
      </c>
      <c r="X119" s="0" t="inlineStr">
        <is>
          <t xml:space="preserve">Chưa</t>
        </is>
      </c>
      <c r="Y119" s="3">
        <f>COUNTIF(Q119:X119,"Xong")/8</f>
        <v>0</v>
      </c>
      <c r="Z119" s="4" t="inlineStr">
        <is>
          <t xml:space="preserve"/>
        </is>
      </c>
      <c r="AA119" s="4" t="inlineStr">
        <is>
          <t xml:space="preserve"/>
        </is>
      </c>
      <c r="AB119" s="4" t="inlineStr">
        <is>
          <t xml:space="preserve"/>
        </is>
      </c>
      <c r="AC119" s="0" t="inlineStr">
        <is>
          <t xml:space="preserve"/>
        </is>
      </c>
      <c r="AD119" s="0" t="inlineStr">
        <is>
          <t xml:space="preserve">Happy path: Đại diện đề nghị thêm người; kiểm tra OccupantJoinRequest {id,status:PENDING_CONSENT}.
Thiếu phiên/phiên revoked/actor LOCKED và actor khác chủ hoặc khác participant phải bị chặn.
Ràng buộc: PENDING_LANDLORD/APPROVED/COMPLETED bắt buộc cả hai đồng ý; người đồng ý xin vào phải chính applicant_id.
Gửi lặp cùng khóa trả kết quả cũ; cùng khóa khác payload trả 409; hai request tranh cùng tài nguyên không vượt hạn mức.
Kiểm tra lỗi DB/provider không để lại cập nhật dở hoặc trả thành công giả.</t>
        </is>
      </c>
      <c r="AE119" s="0" t="inlineStr">
        <is>
          <t xml:space="preserve"/>
        </is>
      </c>
      <c r="AF119" s="5" t="inlineStr">
        <is>
          <t xml:space="preserve">Mở đặc tả</t>
        </is>
      </c>
    </row>
    <row r="120" ht="70" customHeight="1">
      <c r="A120" s="2" t="inlineStr">
        <is>
          <t xml:space="preserve">API-119</t>
        </is>
      </c>
      <c r="B120" s="2" t="inlineStr">
        <is>
          <t xml:space="preserve">Người ở &amp; đại diện</t>
        </is>
      </c>
      <c r="C120" s="2" t="inlineStr">
        <is>
          <t xml:space="preserve">join-consent</t>
        </is>
      </c>
      <c r="D120" s="2" t="inlineStr">
        <is>
          <t xml:space="preserve">POST</t>
        </is>
      </c>
      <c r="E120" s="2" t="inlineStr">
        <is>
          <t xml:space="preserve">/api/v1/occupant-join-requests/{requestId}/consents</t>
        </is>
      </c>
      <c r="F120" s="2" t="inlineStr">
        <is>
          <t xml:space="preserve">Ghi đồng ý riêng của đại diện hoặc người xin vào</t>
        </is>
      </c>
      <c r="G120" s="2" t="inlineStr">
        <is>
          <t xml:space="preserve">TENANT: chỉ chính người thuê và tài nguyên được phép</t>
        </is>
      </c>
      <c r="H120" s="2" t="inlineStr">
        <is>
          <t xml:space="preserve">P0</t>
        </is>
      </c>
      <c r="I120" s="2" t="inlineStr">
        <is>
          <t xml:space="preserve">Middleware auth/session/role + object scope
D09: idempotency store nếu chưa có khóa tự nhiên</t>
        </is>
      </c>
      <c r="J120" s="2" t="inlineStr">
        <is>
          <t xml:space="preserve">SERVICE: cần triển khai giao dịch backend</t>
        </is>
      </c>
      <c r="K120" s="2" t="inlineStr">
        <is>
          <t xml:space="preserve">consent: boolean (bắt buộc) — Chỉ true; từ chối dùng cancel.</t>
        </is>
      </c>
      <c r="L120" s="2" t="inlineStr">
        <is>
          <t xml:space="preserve">OccupantJoinRequest và status</t>
        </is>
      </c>
      <c r="M120" s="2" t="inlineStr">
        <is>
          <t xml:space="preserve">Suy người đồng ý từ actor; đúng current representative hoặc applicant, ghi riêng actor/time. Chỉ đủ hai consent mới PENDING_LANDLORD, thay đại diện phải lấy lại đồng ý.</t>
        </is>
      </c>
      <c r="N120" s="2" t="inlineStr">
        <is>
          <t xml:space="preserve">400 BAD_REQUEST
401 UNAUTHENTICATED
403 FORBIDDEN
404 RESOURCE_NOT_FOUND
409 STATE_CONFLICT
409 IDEMPOTENCY_KEY_REUSED
422 VALIDATION_ERROR
409 OPEN_JOIN_EXISTS
409 REPRESENTATIVE_CHANGED
422 CONSENT_REQUIRED</t>
        </is>
      </c>
      <c r="O120" s="2" t="inlineStr">
        <is>
          <t xml:space="preserve"/>
        </is>
      </c>
      <c r="P120" s="2" t="inlineStr">
        <is>
          <t xml:space="preserve">Chưa làm</t>
        </is>
      </c>
      <c r="Q120" s="2" t="inlineStr">
        <is>
          <t xml:space="preserve">Chưa</t>
        </is>
      </c>
      <c r="R120" s="2" t="inlineStr">
        <is>
          <t xml:space="preserve">Chưa</t>
        </is>
      </c>
      <c r="S120" s="2" t="inlineStr">
        <is>
          <t xml:space="preserve">Chưa</t>
        </is>
      </c>
      <c r="T120" s="2" t="inlineStr">
        <is>
          <t xml:space="preserve">Chưa</t>
        </is>
      </c>
      <c r="U120" s="2" t="inlineStr">
        <is>
          <t xml:space="preserve">Chưa</t>
        </is>
      </c>
      <c r="V120" s="2" t="inlineStr">
        <is>
          <t xml:space="preserve">Chưa</t>
        </is>
      </c>
      <c r="W120" s="2" t="inlineStr">
        <is>
          <t xml:space="preserve">Chưa</t>
        </is>
      </c>
      <c r="X120" s="2" t="inlineStr">
        <is>
          <t xml:space="preserve">Chưa</t>
        </is>
      </c>
      <c r="Y120" s="3">
        <f>COUNTIF(Q120:X120,"Xong")/8</f>
        <v>0</v>
      </c>
      <c r="Z120" s="4" t="inlineStr">
        <is>
          <t xml:space="preserve"/>
        </is>
      </c>
      <c r="AA120" s="4" t="inlineStr">
        <is>
          <t xml:space="preserve"/>
        </is>
      </c>
      <c r="AB120" s="4" t="inlineStr">
        <is>
          <t xml:space="preserve"/>
        </is>
      </c>
      <c r="AC120" s="2" t="inlineStr">
        <is>
          <t xml:space="preserve"/>
        </is>
      </c>
      <c r="AD120" s="2" t="inlineStr">
        <is>
          <t xml:space="preserve">Happy path: Ghi đồng ý riêng của đại diện hoặc người xin vào; kiểm tra OccupantJoinRequest và status.
Thiếu phiên/phiên revoked/actor LOCKED và actor khác chủ hoặc khác participant phải bị chặn.
Ràng buộc: PENDING_LANDLORD/APPROVED/COMPLETED bắt buộc cả hai đồng ý; người đồng ý xin vào phải chính applicant_id.
Gửi lặp cùng khóa trả kết quả cũ; cùng khóa khác payload trả 409; hai request tranh cùng tài nguyên không vượt hạn mức.
Kiểm tra lỗi DB/provider không để lại cập nhật dở hoặc trả thành công giả.</t>
        </is>
      </c>
      <c r="AE120" s="2" t="inlineStr">
        <is>
          <t xml:space="preserve"/>
        </is>
      </c>
      <c r="AF120" s="5" t="inlineStr">
        <is>
          <t xml:space="preserve">Mở đặc tả</t>
        </is>
      </c>
    </row>
    <row r="121" ht="70" customHeight="1">
      <c r="A121" s="0" t="inlineStr">
        <is>
          <t xml:space="preserve">API-120</t>
        </is>
      </c>
      <c r="B121" s="0" t="inlineStr">
        <is>
          <t xml:space="preserve">Người ở &amp; đại diện</t>
        </is>
      </c>
      <c r="C121" s="0" t="inlineStr">
        <is>
          <t xml:space="preserve">join-consent</t>
        </is>
      </c>
      <c r="D121" s="0" t="inlineStr">
        <is>
          <t xml:space="preserve">POST</t>
        </is>
      </c>
      <c r="E121" s="0" t="inlineStr">
        <is>
          <t xml:space="preserve">/api/v1/occupant-join-requests/{requestId}/cancel</t>
        </is>
      </c>
      <c r="F121" s="0" t="inlineStr">
        <is>
          <t xml:space="preserve">Rút yêu cầu chưa được duyệt</t>
        </is>
      </c>
      <c r="G121" s="0" t="inlineStr">
        <is>
          <t xml:space="preserve">TENANT: chỉ chính người thuê và tài nguyên được phép</t>
        </is>
      </c>
      <c r="H121" s="0" t="inlineStr">
        <is>
          <t xml:space="preserve">P0</t>
        </is>
      </c>
      <c r="I121" s="0" t="inlineStr">
        <is>
          <t xml:space="preserve">Middleware auth/session/role + object scope
D09: idempotency store nếu chưa có khóa tự nhiên</t>
        </is>
      </c>
      <c r="J121" s="0" t="inlineStr">
        <is>
          <t xml:space="preserve">SERVICE: cần triển khai giao dịch backend</t>
        </is>
      </c>
      <c r="K121" s="0" t="inlineStr">
        <is>
          <t xml:space="preserve">reason: string (bắt buộc) — Không chỉ khoảng trắng; tối đa 1.000 ký tự.</t>
        </is>
      </c>
      <c r="L121" s="0" t="inlineStr">
        <is>
          <t xml:space="preserve">OccupantJoinRequest {id,status:CANCELLED}</t>
        </is>
      </c>
      <c r="M121" s="0" t="inlineStr">
        <is>
          <t xml:space="preserve">Chỉ applicant/đại diện hiện tại; PENDING_CONSENT hoặc PENDING_LANDLORD. APPROVED dùng hủy hold theo chủ trọ.</t>
        </is>
      </c>
      <c r="N121" s="0" t="inlineStr">
        <is>
          <t xml:space="preserve">400 BAD_REQUEST
401 UNAUTHENTICATED
403 FORBIDDEN
404 RESOURCE_NOT_FOUND
409 STATE_CONFLICT
409 IDEMPOTENCY_KEY_REUSED
422 VALIDATION_ERROR
409 OPEN_JOIN_EXISTS
409 REPRESENTATIVE_CHANGED
422 CONSENT_REQUIRED</t>
        </is>
      </c>
      <c r="O121" s="0" t="inlineStr">
        <is>
          <t xml:space="preserve"/>
        </is>
      </c>
      <c r="P121" s="0" t="inlineStr">
        <is>
          <t xml:space="preserve">Chưa làm</t>
        </is>
      </c>
      <c r="Q121" s="0" t="inlineStr">
        <is>
          <t xml:space="preserve">Chưa</t>
        </is>
      </c>
      <c r="R121" s="0" t="inlineStr">
        <is>
          <t xml:space="preserve">Chưa</t>
        </is>
      </c>
      <c r="S121" s="0" t="inlineStr">
        <is>
          <t xml:space="preserve">Chưa</t>
        </is>
      </c>
      <c r="T121" s="0" t="inlineStr">
        <is>
          <t xml:space="preserve">Chưa</t>
        </is>
      </c>
      <c r="U121" s="0" t="inlineStr">
        <is>
          <t xml:space="preserve">Chưa</t>
        </is>
      </c>
      <c r="V121" s="0" t="inlineStr">
        <is>
          <t xml:space="preserve">Chưa</t>
        </is>
      </c>
      <c r="W121" s="0" t="inlineStr">
        <is>
          <t xml:space="preserve">Chưa</t>
        </is>
      </c>
      <c r="X121" s="0" t="inlineStr">
        <is>
          <t xml:space="preserve">Chưa</t>
        </is>
      </c>
      <c r="Y121" s="3">
        <f>COUNTIF(Q121:X121,"Xong")/8</f>
        <v>0</v>
      </c>
      <c r="Z121" s="4" t="inlineStr">
        <is>
          <t xml:space="preserve"/>
        </is>
      </c>
      <c r="AA121" s="4" t="inlineStr">
        <is>
          <t xml:space="preserve"/>
        </is>
      </c>
      <c r="AB121" s="4" t="inlineStr">
        <is>
          <t xml:space="preserve"/>
        </is>
      </c>
      <c r="AC121" s="0" t="inlineStr">
        <is>
          <t xml:space="preserve"/>
        </is>
      </c>
      <c r="AD121" s="0" t="inlineStr">
        <is>
          <t xml:space="preserve">Happy path: Rút yêu cầu chưa được duyệt; kiểm tra OccupantJoinRequest {id,status:CANCELLED}.
Thiếu phiên/phiên revoked/actor LOCKED và actor khác chủ hoặc khác participant phải bị chặn.
Ràng buộc: PENDING_LANDLORD/APPROVED/COMPLETED bắt buộc cả hai đồng ý; người đồng ý xin vào phải chính applicant_id.
Gửi lặp cùng khóa trả kết quả cũ; cùng khóa khác payload trả 409; hai request tranh cùng tài nguyên không vượt hạn mức.
Kiểm tra lỗi DB/provider không để lại cập nhật dở hoặc trả thành công giả.</t>
        </is>
      </c>
      <c r="AE121" s="0" t="inlineStr">
        <is>
          <t xml:space="preserve"/>
        </is>
      </c>
      <c r="AF121" s="5" t="inlineStr">
        <is>
          <t xml:space="preserve">Mở đặc tả</t>
        </is>
      </c>
    </row>
    <row r="122" ht="70" customHeight="1">
      <c r="A122" s="2" t="inlineStr">
        <is>
          <t xml:space="preserve">API-121</t>
        </is>
      </c>
      <c r="B122" s="2" t="inlineStr">
        <is>
          <t xml:space="preserve">Người ở &amp; đại diện</t>
        </is>
      </c>
      <c r="C122" s="2" t="inlineStr">
        <is>
          <t xml:space="preserve">join-hold</t>
        </is>
      </c>
      <c r="D122" s="2" t="inlineStr">
        <is>
          <t xml:space="preserve">POST</t>
        </is>
      </c>
      <c r="E122" s="2" t="inlineStr">
        <is>
          <t xml:space="preserve">/api/v1/occupant-join-requests/{requestId}/approve</t>
        </is>
      </c>
      <c r="F122" s="2" t="inlineStr">
        <is>
          <t xml:space="preserve">Chủ trọ duyệt và giữ một chỗ 48 giờ</t>
        </is>
      </c>
      <c r="G122" s="2" t="inlineStr">
        <is>
          <t xml:space="preserve">LANDLORD: sở hữu nhà/phòng/hợp đồng</t>
        </is>
      </c>
      <c r="H122" s="2" t="inlineStr">
        <is>
          <t xml:space="preserve">P0</t>
        </is>
      </c>
      <c r="I122" s="2" t="inlineStr">
        <is>
          <t xml:space="preserve">Middleware auth/session/role + object scope
D09: idempotency store nếu chưa có khóa tự nhiên</t>
        </is>
      </c>
      <c r="J122" s="2" t="inlineStr">
        <is>
          <t xml:space="preserve">sp_approve_occupant_join</t>
        </is>
      </c>
      <c r="K122" s="2" t="inlineStr">
        <is>
          <t xml:space="preserve">Không có JSON body</t>
        </is>
      </c>
      <c r="L122" s="2" t="inlineStr">
        <is>
          <t xml:space="preserve">OccupantJoinRequest {id,status:APPROVED,holdExpiresAt}</t>
        </is>
      </c>
      <c r="M122" s="2" t="inlineStr">
        <is>
          <t xml:space="preserve">Chỉ PENDING_LANDLORD đủ hai consent, đại diện ACTIVE, đủ tải. API kiểm tra actor ACTIVE. Hold có hạn, chưa tạo member.</t>
        </is>
      </c>
      <c r="N122" s="2" t="inlineStr">
        <is>
          <t xml:space="preserve">400 BAD_REQUEST
401 UNAUTHENTICATED
403 FORBIDDEN
404 RESOURCE_NOT_FOUND
409 STATE_CONFLICT
409 IDEMPOTENCY_KEY_REUSED
422 VALIDATION_ERROR
422 ROOM_CAPACITY_EXCEEDED
409 ACTIVE_STAY_EXISTS
409 HOLD_EXPIRED
409 REPRESENTATIVE_CHANGED</t>
        </is>
      </c>
      <c r="O122" s="2" t="inlineStr">
        <is>
          <t xml:space="preserve"/>
        </is>
      </c>
      <c r="P122" s="2" t="inlineStr">
        <is>
          <t xml:space="preserve">Chưa làm</t>
        </is>
      </c>
      <c r="Q122" s="2" t="inlineStr">
        <is>
          <t xml:space="preserve">Chưa</t>
        </is>
      </c>
      <c r="R122" s="2" t="inlineStr">
        <is>
          <t xml:space="preserve">Chưa</t>
        </is>
      </c>
      <c r="S122" s="2" t="inlineStr">
        <is>
          <t xml:space="preserve">Chưa</t>
        </is>
      </c>
      <c r="T122" s="2" t="inlineStr">
        <is>
          <t xml:space="preserve">Chưa</t>
        </is>
      </c>
      <c r="U122" s="2" t="inlineStr">
        <is>
          <t xml:space="preserve">Chưa</t>
        </is>
      </c>
      <c r="V122" s="2" t="inlineStr">
        <is>
          <t xml:space="preserve">Chưa</t>
        </is>
      </c>
      <c r="W122" s="2" t="inlineStr">
        <is>
          <t xml:space="preserve">Chưa</t>
        </is>
      </c>
      <c r="X122" s="2" t="inlineStr">
        <is>
          <t xml:space="preserve">Chưa</t>
        </is>
      </c>
      <c r="Y122" s="3">
        <f>COUNTIF(Q122:X122,"Xong")/8</f>
        <v>0</v>
      </c>
      <c r="Z122" s="4" t="inlineStr">
        <is>
          <t xml:space="preserve"/>
        </is>
      </c>
      <c r="AA122" s="4" t="inlineStr">
        <is>
          <t xml:space="preserve"/>
        </is>
      </c>
      <c r="AB122" s="4" t="inlineStr">
        <is>
          <t xml:space="preserve"/>
        </is>
      </c>
      <c r="AC122" s="2" t="inlineStr">
        <is>
          <t xml:space="preserve"/>
        </is>
      </c>
      <c r="AD122" s="2" t="inlineStr">
        <is>
          <t xml:space="preserve">Happy path: Chủ trọ duyệt và giữ một chỗ 48 giờ; kiểm tra OccupantJoinRequest {id,status:APPROVED,holdExpiresAt}.
Thiếu phiên/phiên revoked/actor LOCKED và actor khác chủ hoặc khác participant phải bị chặn.
Ràng buộc: join_request_id và completed_room_tenant_id được ràng buộc đúng hợp đồng/người; gửi lặp không tạo thêm lượt ở.
Gửi lặp cùng khóa trả kết quả cũ; cùng khóa khác payload trả 409; hai request tranh cùng tài nguyên không vượt hạn mức.
Lỗi giữa giao dịch phải rollback; xác minh không bọc CALL trong transaction của ứng dụng.</t>
        </is>
      </c>
      <c r="AE122" s="2" t="inlineStr">
        <is>
          <t xml:space="preserve"/>
        </is>
      </c>
      <c r="AF122" s="5" t="inlineStr">
        <is>
          <t xml:space="preserve">Mở đặc tả</t>
        </is>
      </c>
    </row>
    <row r="123" ht="70" customHeight="1">
      <c r="A123" s="0" t="inlineStr">
        <is>
          <t xml:space="preserve">API-122</t>
        </is>
      </c>
      <c r="B123" s="0" t="inlineStr">
        <is>
          <t xml:space="preserve">Người ở &amp; đại diện</t>
        </is>
      </c>
      <c r="C123" s="0" t="inlineStr">
        <is>
          <t xml:space="preserve">join-hold</t>
        </is>
      </c>
      <c r="D123" s="0" t="inlineStr">
        <is>
          <t xml:space="preserve">POST</t>
        </is>
      </c>
      <c r="E123" s="0" t="inlineStr">
        <is>
          <t xml:space="preserve">/api/v1/occupant-join-requests/{requestId}/reject</t>
        </is>
      </c>
      <c r="F123" s="0" t="inlineStr">
        <is>
          <t xml:space="preserve">Chủ trọ từ chối thêm người</t>
        </is>
      </c>
      <c r="G123" s="0" t="inlineStr">
        <is>
          <t xml:space="preserve">LANDLORD: sở hữu nhà/phòng/hợp đồng</t>
        </is>
      </c>
      <c r="H123" s="0" t="inlineStr">
        <is>
          <t xml:space="preserve">P0</t>
        </is>
      </c>
      <c r="I123" s="0" t="inlineStr">
        <is>
          <t xml:space="preserve">Middleware auth/session/role + object scope
D09: idempotency store nếu chưa có khóa tự nhiên</t>
        </is>
      </c>
      <c r="J123" s="0" t="inlineStr">
        <is>
          <t xml:space="preserve">SERVICE: cần triển khai giao dịch backend</t>
        </is>
      </c>
      <c r="K123" s="0" t="inlineStr">
        <is>
          <t xml:space="preserve">reason: string (bắt buộc) — Không chỉ khoảng trắng; tối đa 1.000 ký tự.</t>
        </is>
      </c>
      <c r="L123" s="0" t="inlineStr">
        <is>
          <t xml:space="preserve">OccupantJoinRequest {id,status:REJECTED}</t>
        </is>
      </c>
      <c r="M123" s="0" t="inlineStr">
        <is>
          <t xml:space="preserve">Khóa request + contract, chỉ PENDING_LANDLORD; ghi reviewer/time/rejectionReason và notification.</t>
        </is>
      </c>
      <c r="N123" s="0" t="inlineStr">
        <is>
          <t xml:space="preserve">400 BAD_REQUEST
401 UNAUTHENTICATED
403 FORBIDDEN
404 RESOURCE_NOT_FOUND
409 STATE_CONFLICT
409 IDEMPOTENCY_KEY_REUSED
422 VALIDATION_ERROR
422 ROOM_CAPACITY_EXCEEDED
409 ACTIVE_STAY_EXISTS
409 HOLD_EXPIRED
409 REPRESENTATIVE_CHANGED</t>
        </is>
      </c>
      <c r="O123" s="0" t="inlineStr">
        <is>
          <t xml:space="preserve"/>
        </is>
      </c>
      <c r="P123" s="0" t="inlineStr">
        <is>
          <t xml:space="preserve">Chưa làm</t>
        </is>
      </c>
      <c r="Q123" s="0" t="inlineStr">
        <is>
          <t xml:space="preserve">Chưa</t>
        </is>
      </c>
      <c r="R123" s="0" t="inlineStr">
        <is>
          <t xml:space="preserve">Chưa</t>
        </is>
      </c>
      <c r="S123" s="0" t="inlineStr">
        <is>
          <t xml:space="preserve">Chưa</t>
        </is>
      </c>
      <c r="T123" s="0" t="inlineStr">
        <is>
          <t xml:space="preserve">Chưa</t>
        </is>
      </c>
      <c r="U123" s="0" t="inlineStr">
        <is>
          <t xml:space="preserve">Chưa</t>
        </is>
      </c>
      <c r="V123" s="0" t="inlineStr">
        <is>
          <t xml:space="preserve">Chưa</t>
        </is>
      </c>
      <c r="W123" s="0" t="inlineStr">
        <is>
          <t xml:space="preserve">Chưa</t>
        </is>
      </c>
      <c r="X123" s="0" t="inlineStr">
        <is>
          <t xml:space="preserve">Chưa</t>
        </is>
      </c>
      <c r="Y123" s="3">
        <f>COUNTIF(Q123:X123,"Xong")/8</f>
        <v>0</v>
      </c>
      <c r="Z123" s="4" t="inlineStr">
        <is>
          <t xml:space="preserve"/>
        </is>
      </c>
      <c r="AA123" s="4" t="inlineStr">
        <is>
          <t xml:space="preserve"/>
        </is>
      </c>
      <c r="AB123" s="4" t="inlineStr">
        <is>
          <t xml:space="preserve"/>
        </is>
      </c>
      <c r="AC123" s="0" t="inlineStr">
        <is>
          <t xml:space="preserve"/>
        </is>
      </c>
      <c r="AD123" s="0" t="inlineStr">
        <is>
          <t xml:space="preserve">Happy path: Chủ trọ từ chối thêm người; kiểm tra OccupantJoinRequest {id,status:REJECTED}.
Thiếu phiên/phiên revoked/actor LOCKED và actor khác chủ hoặc khác participant phải bị chặn.
Ràng buộc: join_request_id và completed_room_tenant_id được ràng buộc đúng hợp đồng/người; gửi lặp không tạo thêm lượt ở.
Gửi lặp cùng khóa trả kết quả cũ; cùng khóa khác payload trả 409; hai request tranh cùng tài nguyên không vượt hạn mức.
Kiểm tra lỗi DB/provider không để lại cập nhật dở hoặc trả thành công giả.</t>
        </is>
      </c>
      <c r="AE123" s="0" t="inlineStr">
        <is>
          <t xml:space="preserve"/>
        </is>
      </c>
      <c r="AF123" s="5" t="inlineStr">
        <is>
          <t xml:space="preserve">Mở đặc tả</t>
        </is>
      </c>
    </row>
    <row r="124" ht="70" customHeight="1">
      <c r="A124" s="2" t="inlineStr">
        <is>
          <t xml:space="preserve">API-123</t>
        </is>
      </c>
      <c r="B124" s="2" t="inlineStr">
        <is>
          <t xml:space="preserve">Người ở &amp; đại diện</t>
        </is>
      </c>
      <c r="C124" s="2" t="inlineStr">
        <is>
          <t xml:space="preserve">join-hold</t>
        </is>
      </c>
      <c r="D124" s="2" t="inlineStr">
        <is>
          <t xml:space="preserve">POST</t>
        </is>
      </c>
      <c r="E124" s="2" t="inlineStr">
        <is>
          <t xml:space="preserve">/api/v1/occupant-join-requests/{requestId}/cancel-hold</t>
        </is>
      </c>
      <c r="F124" s="2" t="inlineStr">
        <is>
          <t xml:space="preserve">Chủ trọ hủy giữ chỗ đã duyệt</t>
        </is>
      </c>
      <c r="G124" s="2" t="inlineStr">
        <is>
          <t xml:space="preserve">LANDLORD: sở hữu nhà/phòng/hợp đồng</t>
        </is>
      </c>
      <c r="H124" s="2" t="inlineStr">
        <is>
          <t xml:space="preserve">P0</t>
        </is>
      </c>
      <c r="I124" s="2" t="inlineStr">
        <is>
          <t xml:space="preserve">Middleware auth/session/role + object scope
D09: idempotency store nếu chưa có khóa tự nhiên</t>
        </is>
      </c>
      <c r="J124" s="2" t="inlineStr">
        <is>
          <t xml:space="preserve">sp_cancel_join_hold</t>
        </is>
      </c>
      <c r="K124" s="2" t="inlineStr">
        <is>
          <t xml:space="preserve">reason: string (bắt buộc) — Không chỉ khoảng trắng; tối đa 1.000 ký tự.</t>
        </is>
      </c>
      <c r="L124" s="2" t="inlineStr">
        <is>
          <t xml:space="preserve">OccupantJoinRequest {id,status:CANCELLED}</t>
        </is>
      </c>
      <c r="M124" s="2" t="inlineStr">
        <is>
          <t xml:space="preserve">APPROVED chưa COMPLETED; ghi reason và giải phóng hold.</t>
        </is>
      </c>
      <c r="N124" s="2" t="inlineStr">
        <is>
          <t xml:space="preserve">400 BAD_REQUEST
401 UNAUTHENTICATED
403 FORBIDDEN
404 RESOURCE_NOT_FOUND
409 STATE_CONFLICT
409 IDEMPOTENCY_KEY_REUSED
422 VALIDATION_ERROR
422 ROOM_CAPACITY_EXCEEDED
409 ACTIVE_STAY_EXISTS
409 HOLD_EXPIRED
409 REPRESENTATIVE_CHANGED</t>
        </is>
      </c>
      <c r="O124" s="2" t="inlineStr">
        <is>
          <t xml:space="preserve"/>
        </is>
      </c>
      <c r="P124" s="2" t="inlineStr">
        <is>
          <t xml:space="preserve">Chưa làm</t>
        </is>
      </c>
      <c r="Q124" s="2" t="inlineStr">
        <is>
          <t xml:space="preserve">Chưa</t>
        </is>
      </c>
      <c r="R124" s="2" t="inlineStr">
        <is>
          <t xml:space="preserve">Chưa</t>
        </is>
      </c>
      <c r="S124" s="2" t="inlineStr">
        <is>
          <t xml:space="preserve">Chưa</t>
        </is>
      </c>
      <c r="T124" s="2" t="inlineStr">
        <is>
          <t xml:space="preserve">Chưa</t>
        </is>
      </c>
      <c r="U124" s="2" t="inlineStr">
        <is>
          <t xml:space="preserve">Chưa</t>
        </is>
      </c>
      <c r="V124" s="2" t="inlineStr">
        <is>
          <t xml:space="preserve">Chưa</t>
        </is>
      </c>
      <c r="W124" s="2" t="inlineStr">
        <is>
          <t xml:space="preserve">Chưa</t>
        </is>
      </c>
      <c r="X124" s="2" t="inlineStr">
        <is>
          <t xml:space="preserve">Chưa</t>
        </is>
      </c>
      <c r="Y124" s="3">
        <f>COUNTIF(Q124:X124,"Xong")/8</f>
        <v>0</v>
      </c>
      <c r="Z124" s="4" t="inlineStr">
        <is>
          <t xml:space="preserve"/>
        </is>
      </c>
      <c r="AA124" s="4" t="inlineStr">
        <is>
          <t xml:space="preserve"/>
        </is>
      </c>
      <c r="AB124" s="4" t="inlineStr">
        <is>
          <t xml:space="preserve"/>
        </is>
      </c>
      <c r="AC124" s="2" t="inlineStr">
        <is>
          <t xml:space="preserve"/>
        </is>
      </c>
      <c r="AD124" s="2" t="inlineStr">
        <is>
          <t xml:space="preserve">Happy path: Chủ trọ hủy giữ chỗ đã duyệt; kiểm tra OccupantJoinRequest {id,status:CANCELLED}.
Thiếu phiên/phiên revoked/actor LOCKED và actor khác chủ hoặc khác participant phải bị chặn.
Ràng buộc: join_request_id và completed_room_tenant_id được ràng buộc đúng hợp đồng/người; gửi lặp không tạo thêm lượt ở.
Gửi lặp cùng khóa trả kết quả cũ; cùng khóa khác payload trả 409; hai request tranh cùng tài nguyên không vượt hạn mức.
Lỗi giữa giao dịch phải rollback; xác minh không bọc CALL trong transaction của ứng dụng.</t>
        </is>
      </c>
      <c r="AE124" s="2" t="inlineStr">
        <is>
          <t xml:space="preserve"/>
        </is>
      </c>
      <c r="AF124" s="5" t="inlineStr">
        <is>
          <t xml:space="preserve">Mở đặc tả</t>
        </is>
      </c>
    </row>
    <row r="125" ht="70" customHeight="1">
      <c r="A125" s="0" t="inlineStr">
        <is>
          <t xml:space="preserve">API-124</t>
        </is>
      </c>
      <c r="B125" s="0" t="inlineStr">
        <is>
          <t xml:space="preserve">Người ở &amp; đại diện</t>
        </is>
      </c>
      <c r="C125" s="0" t="inlineStr">
        <is>
          <t xml:space="preserve">join-hold</t>
        </is>
      </c>
      <c r="D125" s="0" t="inlineStr">
        <is>
          <t xml:space="preserve">POST</t>
        </is>
      </c>
      <c r="E125" s="0" t="inlineStr">
        <is>
          <t xml:space="preserve">/api/v1/occupant-join-requests/{requestId}/complete</t>
        </is>
      </c>
      <c r="F125" s="0" t="inlineStr">
        <is>
          <t xml:space="preserve">Hoàn tất vào ở từ giữ chỗ</t>
        </is>
      </c>
      <c r="G125" s="0" t="inlineStr">
        <is>
          <t xml:space="preserve">LANDLORD: sở hữu nhà/phòng/hợp đồng</t>
        </is>
      </c>
      <c r="H125" s="0" t="inlineStr">
        <is>
          <t xml:space="preserve">P0</t>
        </is>
      </c>
      <c r="I125" s="0" t="inlineStr">
        <is>
          <t xml:space="preserve">Middleware auth/session/role + object scope
D09: idempotency store nếu chưa có khóa tự nhiên</t>
        </is>
      </c>
      <c r="J125" s="0" t="inlineStr">
        <is>
          <t xml:space="preserve">sp_complete_occupant_join</t>
        </is>
      </c>
      <c r="K125" s="0" t="inlineStr">
        <is>
          <t xml:space="preserve">Không có JSON body</t>
        </is>
      </c>
      <c r="L125" s="0" t="inlineStr">
        <is>
          <t xml:space="preserve">{request:OccupantJoinRequest,member:Resident}</t>
        </is>
      </c>
      <c r="M125" s="0" t="inlineStr">
        <is>
          <t xml:space="preserve">Procedure lấy ngày thực tế hôm nay tại VN, planned_move_in_date≤today, hold còn hạn; recheck ACTIVE contract/capacity/account. Retry qua idempotency trả kết quả cũ, không gọi lại procedure COMPLETED nếu không hỗ trợ.</t>
        </is>
      </c>
      <c r="N125" s="0" t="inlineStr">
        <is>
          <t xml:space="preserve">400 BAD_REQUEST
401 UNAUTHENTICATED
403 FORBIDDEN
404 RESOURCE_NOT_FOUND
409 STATE_CONFLICT
409 IDEMPOTENCY_KEY_REUSED
422 VALIDATION_ERROR
422 ROOM_CAPACITY_EXCEEDED
409 ACTIVE_STAY_EXISTS
409 HOLD_EXPIRED
409 REPRESENTATIVE_CHANGED</t>
        </is>
      </c>
      <c r="O125" s="0" t="inlineStr">
        <is>
          <t xml:space="preserve"/>
        </is>
      </c>
      <c r="P125" s="0" t="inlineStr">
        <is>
          <t xml:space="preserve">Chưa làm</t>
        </is>
      </c>
      <c r="Q125" s="0" t="inlineStr">
        <is>
          <t xml:space="preserve">Chưa</t>
        </is>
      </c>
      <c r="R125" s="0" t="inlineStr">
        <is>
          <t xml:space="preserve">Chưa</t>
        </is>
      </c>
      <c r="S125" s="0" t="inlineStr">
        <is>
          <t xml:space="preserve">Chưa</t>
        </is>
      </c>
      <c r="T125" s="0" t="inlineStr">
        <is>
          <t xml:space="preserve">Chưa</t>
        </is>
      </c>
      <c r="U125" s="0" t="inlineStr">
        <is>
          <t xml:space="preserve">Chưa</t>
        </is>
      </c>
      <c r="V125" s="0" t="inlineStr">
        <is>
          <t xml:space="preserve">Chưa</t>
        </is>
      </c>
      <c r="W125" s="0" t="inlineStr">
        <is>
          <t xml:space="preserve">Chưa</t>
        </is>
      </c>
      <c r="X125" s="0" t="inlineStr">
        <is>
          <t xml:space="preserve">Chưa</t>
        </is>
      </c>
      <c r="Y125" s="3">
        <f>COUNTIF(Q125:X125,"Xong")/8</f>
        <v>0</v>
      </c>
      <c r="Z125" s="4" t="inlineStr">
        <is>
          <t xml:space="preserve"/>
        </is>
      </c>
      <c r="AA125" s="4" t="inlineStr">
        <is>
          <t xml:space="preserve"/>
        </is>
      </c>
      <c r="AB125" s="4" t="inlineStr">
        <is>
          <t xml:space="preserve"/>
        </is>
      </c>
      <c r="AC125" s="0" t="inlineStr">
        <is>
          <t xml:space="preserve"/>
        </is>
      </c>
      <c r="AD125" s="0" t="inlineStr">
        <is>
          <t xml:space="preserve">Happy path: Hoàn tất vào ở từ giữ chỗ; kiểm tra {request:OccupantJoinRequest,member:Resident}.
Thiếu phiên/phiên revoked/actor LOCKED và actor khác chủ hoặc khác participant phải bị chặn.
Ràng buộc: join_request_id và completed_room_tenant_id được ràng buộc đúng hợp đồng/người; gửi lặp không tạo thêm lượt ở.
Gửi lặp cùng khóa trả kết quả cũ; cùng khóa khác payload trả 409; hai request tranh cùng tài nguyên không vượt hạn mức.
Lỗi giữa giao dịch phải rollback; xác minh không bọc CALL trong transaction của ứng dụng.</t>
        </is>
      </c>
      <c r="AE125" s="0" t="inlineStr">
        <is>
          <t xml:space="preserve"/>
        </is>
      </c>
      <c r="AF125" s="5" t="inlineStr">
        <is>
          <t xml:space="preserve">Mở đặc tả</t>
        </is>
      </c>
    </row>
    <row r="126" ht="70" customHeight="1">
      <c r="A126" s="2" t="inlineStr">
        <is>
          <t xml:space="preserve">API-125</t>
        </is>
      </c>
      <c r="B126" s="2" t="inlineStr">
        <is>
          <t xml:space="preserve">Người ở &amp; đại diện</t>
        </is>
      </c>
      <c r="C126" s="2" t="inlineStr">
        <is>
          <t xml:space="preserve">departure</t>
        </is>
      </c>
      <c r="D126" s="2" t="inlineStr">
        <is>
          <t xml:space="preserve">POST</t>
        </is>
      </c>
      <c r="E126" s="2" t="inlineStr">
        <is>
          <t xml:space="preserve">/api/v1/contracts/{contractId}/members/{memberId}/move-out</t>
        </is>
      </c>
      <c r="F126" s="2" t="inlineStr">
        <is>
          <t xml:space="preserve">Ghi nhận thành viên thực tế rời</t>
        </is>
      </c>
      <c r="G126" s="2" t="inlineStr">
        <is>
          <t xml:space="preserve">LANDLORD: sở hữu nhà/phòng/hợp đồng</t>
        </is>
      </c>
      <c r="H126" s="2" t="inlineStr">
        <is>
          <t xml:space="preserve">P0</t>
        </is>
      </c>
      <c r="I126" s="2" t="inlineStr">
        <is>
          <t xml:space="preserve">Middleware auth/session/role + object scope
D09: idempotency store nếu chưa có khóa tự nhiên</t>
        </is>
      </c>
      <c r="J126" s="2" t="inlineStr">
        <is>
          <t xml:space="preserve">sp_move_out</t>
        </is>
      </c>
      <c r="K126" s="2" t="inlineStr">
        <is>
          <t xml:space="preserve">moveOutDate: date (bắt buộc) — ≥ move_in_date, không tương lai.</t>
        </is>
      </c>
      <c r="L126" s="2" t="inlineStr">
        <is>
          <t xml:space="preserve">{member:Resident,contractStatus,roomStatus}</t>
        </is>
      </c>
      <c r="M126" s="2" t="inlineStr">
        <is>
          <t xml:space="preserve">p_member là room_tenant ID. Đại diện còn người mở phải handover. Người cuối rời và không PLANNED thì đóng hợp đồng/history/yêu cầu; quyền nhà hết vẫn cho rời.</t>
        </is>
      </c>
      <c r="N126" s="2" t="inlineStr">
        <is>
          <t xml:space="preserve">400 BAD_REQUEST
401 UNAUTHENTICATED
403 FORBIDDEN
404 RESOURCE_NOT_FOUND
409 STATE_CONFLICT
409 IDEMPOTENCY_KEY_REUSED
422 VALIDATION_ERROR
409 HANDOVER_REQUIRED
422 MOVE_OUT_DATE_INVALID</t>
        </is>
      </c>
      <c r="O126" s="2" t="inlineStr">
        <is>
          <t xml:space="preserve"/>
        </is>
      </c>
      <c r="P126" s="2" t="inlineStr">
        <is>
          <t xml:space="preserve">Chưa làm</t>
        </is>
      </c>
      <c r="Q126" s="2" t="inlineStr">
        <is>
          <t xml:space="preserve">Chưa</t>
        </is>
      </c>
      <c r="R126" s="2" t="inlineStr">
        <is>
          <t xml:space="preserve">Chưa</t>
        </is>
      </c>
      <c r="S126" s="2" t="inlineStr">
        <is>
          <t xml:space="preserve">Chưa</t>
        </is>
      </c>
      <c r="T126" s="2" t="inlineStr">
        <is>
          <t xml:space="preserve">Chưa</t>
        </is>
      </c>
      <c r="U126" s="2" t="inlineStr">
        <is>
          <t xml:space="preserve">Chưa</t>
        </is>
      </c>
      <c r="V126" s="2" t="inlineStr">
        <is>
          <t xml:space="preserve">Chưa</t>
        </is>
      </c>
      <c r="W126" s="2" t="inlineStr">
        <is>
          <t xml:space="preserve">Chưa</t>
        </is>
      </c>
      <c r="X126" s="2" t="inlineStr">
        <is>
          <t xml:space="preserve">Chưa</t>
        </is>
      </c>
      <c r="Y126" s="3">
        <f>COUNTIF(Q126:X126,"Xong")/8</f>
        <v>0</v>
      </c>
      <c r="Z126" s="4" t="inlineStr">
        <is>
          <t xml:space="preserve"/>
        </is>
      </c>
      <c r="AA126" s="4" t="inlineStr">
        <is>
          <t xml:space="preserve"/>
        </is>
      </c>
      <c r="AB126" s="4" t="inlineStr">
        <is>
          <t xml:space="preserve"/>
        </is>
      </c>
      <c r="AC126" s="2" t="inlineStr">
        <is>
          <t xml:space="preserve"/>
        </is>
      </c>
      <c r="AD126" s="2" t="inlineStr">
        <is>
          <t xml:space="preserve">Happy path: Ghi nhận thành viên thực tế rời; kiểm tra {member:Resident,contractStatus,roomStatus}.
Thiếu phiên/phiên revoked/actor LOCKED và actor khác chủ hoặc khác participant phải bị chặn.
Ràng buộc: LEFT cần ngày ra ≥ ngày vào, người và thời điểm xác nhận ra.
Gửi lặp cùng khóa trả kết quả cũ; cùng khóa khác payload trả 409; hai request tranh cùng tài nguyên không vượt hạn mức.
Lỗi giữa giao dịch phải rollback; xác minh không bọc CALL trong transaction của ứng dụng.</t>
        </is>
      </c>
      <c r="AE126" s="2" t="inlineStr">
        <is>
          <t xml:space="preserve"/>
        </is>
      </c>
      <c r="AF126" s="5" t="inlineStr">
        <is>
          <t xml:space="preserve">Mở đặc tả</t>
        </is>
      </c>
    </row>
    <row r="127" ht="70" customHeight="1">
      <c r="A127" s="0" t="inlineStr">
        <is>
          <t xml:space="preserve">API-126</t>
        </is>
      </c>
      <c r="B127" s="0" t="inlineStr">
        <is>
          <t xml:space="preserve">Người ở &amp; đại diện</t>
        </is>
      </c>
      <c r="C127" s="0" t="inlineStr">
        <is>
          <t xml:space="preserve">handover</t>
        </is>
      </c>
      <c r="D127" s="0" t="inlineStr">
        <is>
          <t xml:space="preserve">GET</t>
        </is>
      </c>
      <c r="E127" s="0" t="inlineStr">
        <is>
          <t xml:space="preserve">/api/v1/contracts/{contractId}/representative-candidates</t>
        </is>
      </c>
      <c r="F127" s="0" t="inlineStr">
        <is>
          <t xml:space="preserve">Người đủ điều kiện nhận đại diện</t>
        </is>
      </c>
      <c r="G127" s="0" t="inlineStr">
        <is>
          <t xml:space="preserve">LANDLORD: sở hữu nhà/phòng/hợp đồng</t>
        </is>
      </c>
      <c r="H127" s="0" t="inlineStr">
        <is>
          <t xml:space="preserve">P0</t>
        </is>
      </c>
      <c r="I127" s="0" t="inlineStr">
        <is>
          <t xml:space="preserve">Middleware auth/session/role + object scope</t>
        </is>
      </c>
      <c r="J127" s="0" t="inlineStr">
        <is>
          <t xml:space="preserve">READ: truy vấn có scope quyền</t>
        </is>
      </c>
      <c r="K127" s="0" t="inlineStr">
        <is>
          <t xml:space="preserve">Không có JSON body</t>
        </is>
      </c>
      <c r="L127" s="0" t="inlineStr">
        <is>
          <t xml:space="preserve">Resident[] ACTIVE cùng contract có tài khoản ACTIVE</t>
        </is>
      </c>
      <c r="M127" s="0" t="inlineStr">
        <is>
          <t xml:space="preserve">Không PLANNED/LEFT, không khóa; trả rõ trường hợp chưa ai đủ điều kiện, không tự chọn người ngoài.</t>
        </is>
      </c>
      <c r="N127" s="0" t="inlineStr">
        <is>
          <t xml:space="preserve">400 BAD_REQUEST
401 UNAUTHENTICATED
403 FORBIDDEN
404 RESOURCE_NOT_FOUND
422 VALIDATION_ERROR</t>
        </is>
      </c>
      <c r="O127" s="0" t="inlineStr">
        <is>
          <t xml:space="preserve"/>
        </is>
      </c>
      <c r="P127" s="0" t="inlineStr">
        <is>
          <t xml:space="preserve">Chưa làm</t>
        </is>
      </c>
      <c r="Q127" s="0" t="inlineStr">
        <is>
          <t xml:space="preserve">Chưa</t>
        </is>
      </c>
      <c r="R127" s="0" t="inlineStr">
        <is>
          <t xml:space="preserve">Chưa</t>
        </is>
      </c>
      <c r="S127" s="0" t="inlineStr">
        <is>
          <t xml:space="preserve">Chưa</t>
        </is>
      </c>
      <c r="T127" s="0" t="inlineStr">
        <is>
          <t xml:space="preserve">Chưa</t>
        </is>
      </c>
      <c r="U127" s="0" t="inlineStr">
        <is>
          <t xml:space="preserve">Chưa</t>
        </is>
      </c>
      <c r="V127" s="0" t="inlineStr">
        <is>
          <t xml:space="preserve">Chưa</t>
        </is>
      </c>
      <c r="W127" s="0" t="inlineStr">
        <is>
          <t xml:space="preserve">Chưa</t>
        </is>
      </c>
      <c r="X127" s="0" t="inlineStr">
        <is>
          <t xml:space="preserve">Chưa</t>
        </is>
      </c>
      <c r="Y127" s="3">
        <f>COUNTIF(Q127:X127,"Xong")/8</f>
        <v>0</v>
      </c>
      <c r="Z127" s="4" t="inlineStr">
        <is>
          <t xml:space="preserve"/>
        </is>
      </c>
      <c r="AA127" s="4" t="inlineStr">
        <is>
          <t xml:space="preserve"/>
        </is>
      </c>
      <c r="AB127" s="4" t="inlineStr">
        <is>
          <t xml:space="preserve"/>
        </is>
      </c>
      <c r="AC127" s="0" t="inlineStr">
        <is>
          <t xml:space="preserve"/>
        </is>
      </c>
      <c r="AD127" s="0" t="inlineStr">
        <is>
          <t xml:space="preserve">Happy path: Người đủ điều kiện nhận đại diện; kiểm tra Resident[] ACTIVE cùng contract có tài khoản ACTIVE.
Thiếu phiên/phiên revoked/actor LOCKED và actor khác chủ hoặc khác participant phải bị chặn.
Ràng buộc: Một giai đoạn đại diện hiện hành/hợp đồng; chuỗi trước-sau đúng hợp đồng; lịch sử đã ghi bất biến.
Phân trang/lọc đúng scope; dữ liệu riêng tư bị loại trên server, không chỉ ẩn UI.
Kiểm tra lỗi DB/provider không để lại cập nhật dở hoặc trả thành công giả.</t>
        </is>
      </c>
      <c r="AE127" s="0" t="inlineStr">
        <is>
          <t xml:space="preserve"/>
        </is>
      </c>
      <c r="AF127" s="5" t="inlineStr">
        <is>
          <t xml:space="preserve">Mở đặc tả</t>
        </is>
      </c>
    </row>
    <row r="128" ht="70" customHeight="1">
      <c r="A128" s="2" t="inlineStr">
        <is>
          <t xml:space="preserve">API-127</t>
        </is>
      </c>
      <c r="B128" s="2" t="inlineStr">
        <is>
          <t xml:space="preserve">Người ở &amp; đại diện</t>
        </is>
      </c>
      <c r="C128" s="2" t="inlineStr">
        <is>
          <t xml:space="preserve">handover</t>
        </is>
      </c>
      <c r="D128" s="2" t="inlineStr">
        <is>
          <t xml:space="preserve">GET</t>
        </is>
      </c>
      <c r="E128" s="2" t="inlineStr">
        <is>
          <t xml:space="preserve">/api/v1/contracts/{contractId}/representative-history</t>
        </is>
      </c>
      <c r="F128" s="2" t="inlineStr">
        <is>
          <t xml:space="preserve">Lịch sử đại diện theo giai đoạn</t>
        </is>
      </c>
      <c r="G128" s="2" t="inlineStr">
        <is>
          <t xml:space="preserve">TENANT: chỉ chính người thuê và tài nguyên được phép hoặc LANDLORD: sở hữu nhà/phòng/hợp đồng</t>
        </is>
      </c>
      <c r="H128" s="2" t="inlineStr">
        <is>
          <t xml:space="preserve">P0</t>
        </is>
      </c>
      <c r="I128" s="2" t="inlineStr">
        <is>
          <t xml:space="preserve">Middleware auth/session/role + object scope</t>
        </is>
      </c>
      <c r="J128" s="2" t="inlineStr">
        <is>
          <t xml:space="preserve">READ: v5_representative_timeline</t>
        </is>
      </c>
      <c r="K128" s="2" t="inlineStr">
        <is>
          <t xml:space="preserve">Không có JSON body</t>
        </is>
      </c>
      <c r="L128" s="2" t="inlineStr">
        <is>
          <t xml:space="preserve">RepresentativePeriod[] {nameSnapshot,startedAt,endedAt,consent,reason}</t>
        </is>
      </c>
      <c r="M128" s="2" t="inlineStr">
        <is>
          <t xml:space="preserve">Không đoán thời điểm nhận từ ngày ký; thiếu chứng cứ trả null/chưa rõ; giữ chuỗi trước-sau.</t>
        </is>
      </c>
      <c r="N128" s="2" t="inlineStr">
        <is>
          <t xml:space="preserve">400 BAD_REQUEST
401 UNAUTHENTICATED
403 FORBIDDEN
404 RESOURCE_NOT_FOUND
422 VALIDATION_ERROR</t>
        </is>
      </c>
      <c r="O128" s="2" t="inlineStr">
        <is>
          <t xml:space="preserve"/>
        </is>
      </c>
      <c r="P128" s="2" t="inlineStr">
        <is>
          <t xml:space="preserve">Chưa làm</t>
        </is>
      </c>
      <c r="Q128" s="2" t="inlineStr">
        <is>
          <t xml:space="preserve">Chưa</t>
        </is>
      </c>
      <c r="R128" s="2" t="inlineStr">
        <is>
          <t xml:space="preserve">Chưa</t>
        </is>
      </c>
      <c r="S128" s="2" t="inlineStr">
        <is>
          <t xml:space="preserve">Chưa</t>
        </is>
      </c>
      <c r="T128" s="2" t="inlineStr">
        <is>
          <t xml:space="preserve">Chưa</t>
        </is>
      </c>
      <c r="U128" s="2" t="inlineStr">
        <is>
          <t xml:space="preserve">Chưa</t>
        </is>
      </c>
      <c r="V128" s="2" t="inlineStr">
        <is>
          <t xml:space="preserve">Chưa</t>
        </is>
      </c>
      <c r="W128" s="2" t="inlineStr">
        <is>
          <t xml:space="preserve">Chưa</t>
        </is>
      </c>
      <c r="X128" s="2" t="inlineStr">
        <is>
          <t xml:space="preserve">Chưa</t>
        </is>
      </c>
      <c r="Y128" s="3">
        <f>COUNTIF(Q128:X128,"Xong")/8</f>
        <v>0</v>
      </c>
      <c r="Z128" s="4" t="inlineStr">
        <is>
          <t xml:space="preserve"/>
        </is>
      </c>
      <c r="AA128" s="4" t="inlineStr">
        <is>
          <t xml:space="preserve"/>
        </is>
      </c>
      <c r="AB128" s="4" t="inlineStr">
        <is>
          <t xml:space="preserve"/>
        </is>
      </c>
      <c r="AC128" s="2" t="inlineStr">
        <is>
          <t xml:space="preserve"/>
        </is>
      </c>
      <c r="AD128" s="2" t="inlineStr">
        <is>
          <t xml:space="preserve">Happy path: Lịch sử đại diện theo giai đoạn; kiểm tra RepresentativePeriod[] {nameSnapshot,startedAt,endedAt,consent,reason}.
Thiếu phiên/phiên revoked/actor LOCKED và actor khác chủ hoặc khác participant phải bị chặn.
Ràng buộc: Một giai đoạn đại diện hiện hành/hợp đồng; chuỗi trước-sau đúng hợp đồng; lịch sử đã ghi bất biến.
Phân trang/lọc đúng scope; dữ liệu riêng tư bị loại trên server, không chỉ ẩn UI.
Kiểm tra lỗi DB/provider không để lại cập nhật dở hoặc trả thành công giả.</t>
        </is>
      </c>
      <c r="AE128" s="2" t="inlineStr">
        <is>
          <t xml:space="preserve"/>
        </is>
      </c>
      <c r="AF128" s="5" t="inlineStr">
        <is>
          <t xml:space="preserve">Mở đặc tả</t>
        </is>
      </c>
    </row>
    <row r="129" ht="70" customHeight="1">
      <c r="A129" s="0" t="inlineStr">
        <is>
          <t xml:space="preserve">API-128</t>
        </is>
      </c>
      <c r="B129" s="0" t="inlineStr">
        <is>
          <t xml:space="preserve">Người ở &amp; đại diện</t>
        </is>
      </c>
      <c r="C129" s="0" t="inlineStr">
        <is>
          <t xml:space="preserve">handover</t>
        </is>
      </c>
      <c r="D129" s="0" t="inlineStr">
        <is>
          <t xml:space="preserve">POST</t>
        </is>
      </c>
      <c r="E129" s="0" t="inlineStr">
        <is>
          <t xml:space="preserve">/api/v1/contracts/{contractId}/representative-handovers</t>
        </is>
      </c>
      <c r="F129" s="0" t="inlineStr">
        <is>
          <t xml:space="preserve">Bàn giao và ghi người cũ rời</t>
        </is>
      </c>
      <c r="G129" s="0" t="inlineStr">
        <is>
          <t xml:space="preserve">LANDLORD: sở hữu nhà/phòng/hợp đồng</t>
        </is>
      </c>
      <c r="H129" s="0" t="inlineStr">
        <is>
          <t xml:space="preserve">P0</t>
        </is>
      </c>
      <c r="I129" s="0" t="inlineStr">
        <is>
          <t xml:space="preserve">Middleware auth/session/role + object scope
D09: idempotency store nếu chưa có khóa tự nhiên</t>
        </is>
      </c>
      <c r="J129" s="0" t="inlineStr">
        <is>
          <t xml:space="preserve">sp_handover_representative</t>
        </is>
      </c>
      <c r="K129" s="0" t="inlineStr">
        <is>
          <t xml:space="preserve">departingMemberId: id (bắt buộc) — Đại diện hiện tại.
successorMemberId: id (bắt buộc) — ACTIVE cùng contract, có account ACTIVE.
reason: string (bắt buộc) — Không trống, ≤1.000 ký tự.
consentRecorded: boolean (bắt buộc) — Chủ trọ xác nhận đã ghi nhận đồng ý, bắt buộc true.</t>
        </is>
      </c>
      <c r="L129" s="0" t="inlineStr">
        <is>
          <t xml:space="preserve">Contract và RepresentativeHistory</t>
        </is>
      </c>
      <c r="M129" s="0" t="inlineStr">
        <is>
          <t xml:space="preserve">Procedure hiện không nhận ngày rời tùy chọn; backend phải đối chiếu thời điểm do procedure ghi. Đóng giai đoạn, LEFT người cũ, mở giai đoạn mới, hủy request/changement mở và thông báo. Không đổi viewing gốc/người trả hóa đơn cũ.</t>
        </is>
      </c>
      <c r="N129" s="0" t="inlineStr">
        <is>
          <t xml:space="preserve">400 BAD_REQUEST
401 UNAUTHENTICATED
403 FORBIDDEN
404 RESOURCE_NOT_FOUND
409 STATE_CONFLICT
409 IDEMPOTENCY_KEY_REUSED
422 VALIDATION_ERROR
422 SUCCESSOR_INELIGIBLE
409 REPRESENTATIVE_CHANGED
409 HISTORY_RECONCILIATION_REQUIRED</t>
        </is>
      </c>
      <c r="O129" s="0" t="inlineStr">
        <is>
          <t xml:space="preserve"/>
        </is>
      </c>
      <c r="P129" s="0" t="inlineStr">
        <is>
          <t xml:space="preserve">Chưa làm</t>
        </is>
      </c>
      <c r="Q129" s="0" t="inlineStr">
        <is>
          <t xml:space="preserve">Chưa</t>
        </is>
      </c>
      <c r="R129" s="0" t="inlineStr">
        <is>
          <t xml:space="preserve">Chưa</t>
        </is>
      </c>
      <c r="S129" s="0" t="inlineStr">
        <is>
          <t xml:space="preserve">Chưa</t>
        </is>
      </c>
      <c r="T129" s="0" t="inlineStr">
        <is>
          <t xml:space="preserve">Chưa</t>
        </is>
      </c>
      <c r="U129" s="0" t="inlineStr">
        <is>
          <t xml:space="preserve">Chưa</t>
        </is>
      </c>
      <c r="V129" s="0" t="inlineStr">
        <is>
          <t xml:space="preserve">Chưa</t>
        </is>
      </c>
      <c r="W129" s="0" t="inlineStr">
        <is>
          <t xml:space="preserve">Chưa</t>
        </is>
      </c>
      <c r="X129" s="0" t="inlineStr">
        <is>
          <t xml:space="preserve">Chưa</t>
        </is>
      </c>
      <c r="Y129" s="3">
        <f>COUNTIF(Q129:X129,"Xong")/8</f>
        <v>0</v>
      </c>
      <c r="Z129" s="4" t="inlineStr">
        <is>
          <t xml:space="preserve"/>
        </is>
      </c>
      <c r="AA129" s="4" t="inlineStr">
        <is>
          <t xml:space="preserve"/>
        </is>
      </c>
      <c r="AB129" s="4" t="inlineStr">
        <is>
          <t xml:space="preserve"/>
        </is>
      </c>
      <c r="AC129" s="0" t="inlineStr">
        <is>
          <t xml:space="preserve"/>
        </is>
      </c>
      <c r="AD129" s="0" t="inlineStr">
        <is>
          <t xml:space="preserve">Happy path: Bàn giao và ghi người cũ rời; kiểm tra Contract và RepresentativeHistory.
Thiếu phiên/phiên revoked/actor LOCKED và actor khác chủ hoặc khác participant phải bị chặn.
Ràng buộc: Một giai đoạn đại diện hiện hành/hợp đồng; chuỗi trước-sau đúng hợp đồng; lịch sử đã ghi bất biến.
Gửi lặp cùng khóa trả kết quả cũ; cùng khóa khác payload trả 409; hai request tranh cùng tài nguyên không vượt hạn mức.
Lỗi giữa giao dịch phải rollback; xác minh không bọc CALL trong transaction của ứng dụng.</t>
        </is>
      </c>
      <c r="AE129" s="0" t="inlineStr">
        <is>
          <t xml:space="preserve"/>
        </is>
      </c>
      <c r="AF129" s="5" t="inlineStr">
        <is>
          <t xml:space="preserve">Mở đặc tả</t>
        </is>
      </c>
    </row>
    <row r="130" ht="70" customHeight="1">
      <c r="A130" s="2" t="inlineStr">
        <is>
          <t xml:space="preserve">API-129</t>
        </is>
      </c>
      <c r="B130" s="2" t="inlineStr">
        <is>
          <t xml:space="preserve">Gia hạn, đổi phòng, kết thúc</t>
        </is>
      </c>
      <c r="C130" s="2" t="inlineStr">
        <is>
          <t xml:space="preserve">change-request</t>
        </is>
      </c>
      <c r="D130" s="2" t="inlineStr">
        <is>
          <t xml:space="preserve">GET</t>
        </is>
      </c>
      <c r="E130" s="2" t="inlineStr">
        <is>
          <t xml:space="preserve">/api/v1/contracts/{contractId}/change-requests</t>
        </is>
      </c>
      <c r="F130" s="2" t="inlineStr">
        <is>
          <t xml:space="preserve">Lịch sử yêu cầu điều chỉnh hợp đồng</t>
        </is>
      </c>
      <c r="G130" s="2" t="inlineStr">
        <is>
          <t xml:space="preserve">TENANT: chỉ chính người thuê và tài nguyên được phép hoặc LANDLORD: sở hữu nhà/phòng/hợp đồng</t>
        </is>
      </c>
      <c r="H130" s="2" t="inlineStr">
        <is>
          <t xml:space="preserve">P0</t>
        </is>
      </c>
      <c r="I130" s="2" t="inlineStr">
        <is>
          <t xml:space="preserve">Middleware auth/session/role + object scope</t>
        </is>
      </c>
      <c r="J130" s="2" t="inlineStr">
        <is>
          <t xml:space="preserve">READ: truy vấn có scope quyền</t>
        </is>
      </c>
      <c r="K130" s="2" t="inlineStr">
        <is>
          <t xml:space="preserve">Không có JSON body</t>
        </is>
      </c>
      <c r="L130" s="2" t="inlineStr">
        <is>
          <t xml:space="preserve">ContractChangeRequest[]</t>
        </is>
      </c>
      <c r="M130" s="2" t="inlineStr">
        <is>
          <t xml:space="preserve">Giữ cả rejected/cancelled/completed; tenant đọc theo quyền contract, chỉ representative hiện tại thao tác.</t>
        </is>
      </c>
      <c r="N130" s="2" t="inlineStr">
        <is>
          <t xml:space="preserve">400 BAD_REQUEST
401 UNAUTHENTICATED
403 FORBIDDEN
404 RESOURCE_NOT_FOUND
422 VALIDATION_ERROR</t>
        </is>
      </c>
      <c r="O130" s="2" t="inlineStr">
        <is>
          <t xml:space="preserve"/>
        </is>
      </c>
      <c r="P130" s="2" t="inlineStr">
        <is>
          <t xml:space="preserve">Chưa làm</t>
        </is>
      </c>
      <c r="Q130" s="2" t="inlineStr">
        <is>
          <t xml:space="preserve">Chưa</t>
        </is>
      </c>
      <c r="R130" s="2" t="inlineStr">
        <is>
          <t xml:space="preserve">Chưa</t>
        </is>
      </c>
      <c r="S130" s="2" t="inlineStr">
        <is>
          <t xml:space="preserve">Chưa</t>
        </is>
      </c>
      <c r="T130" s="2" t="inlineStr">
        <is>
          <t xml:space="preserve">Chưa</t>
        </is>
      </c>
      <c r="U130" s="2" t="inlineStr">
        <is>
          <t xml:space="preserve">Chưa</t>
        </is>
      </c>
      <c r="V130" s="2" t="inlineStr">
        <is>
          <t xml:space="preserve">Chưa</t>
        </is>
      </c>
      <c r="W130" s="2" t="inlineStr">
        <is>
          <t xml:space="preserve">Chưa</t>
        </is>
      </c>
      <c r="X130" s="2" t="inlineStr">
        <is>
          <t xml:space="preserve">Chưa</t>
        </is>
      </c>
      <c r="Y130" s="3">
        <f>COUNTIF(Q130:X130,"Xong")/8</f>
        <v>0</v>
      </c>
      <c r="Z130" s="4" t="inlineStr">
        <is>
          <t xml:space="preserve"/>
        </is>
      </c>
      <c r="AA130" s="4" t="inlineStr">
        <is>
          <t xml:space="preserve"/>
        </is>
      </c>
      <c r="AB130" s="4" t="inlineStr">
        <is>
          <t xml:space="preserve"/>
        </is>
      </c>
      <c r="AC130" s="2" t="inlineStr">
        <is>
          <t xml:space="preserve"/>
        </is>
      </c>
      <c r="AD130" s="2" t="inlineStr">
        <is>
          <t xml:space="preserve">Happy path: Lịch sử yêu cầu điều chỉnh hợp đồng; kiểm tra ContractChangeRequest[].
Thiếu phiên/phiên revoked/actor LOCKED và actor khác chủ hoặc khác participant phải bị chặn.
Ràng buộc: Mỗi hợp đồng chỉ có một yêu cầu điều chỉnh mở; READY_TO_APPLY/COMPLETED cần người/thời điểm duyệt và xác nhận.
Phân trang/lọc đúng scope; dữ liệu riêng tư bị loại trên server, không chỉ ẩn UI.
Kiểm tra lỗi DB/provider không để lại cập nhật dở hoặc trả thành công giả.</t>
        </is>
      </c>
      <c r="AE130" s="2" t="inlineStr">
        <is>
          <t xml:space="preserve"/>
        </is>
      </c>
      <c r="AF130" s="5" t="inlineStr">
        <is>
          <t xml:space="preserve">Mở đặc tả</t>
        </is>
      </c>
    </row>
    <row r="131" ht="70" customHeight="1">
      <c r="A131" s="0" t="inlineStr">
        <is>
          <t xml:space="preserve">API-130</t>
        </is>
      </c>
      <c r="B131" s="0" t="inlineStr">
        <is>
          <t xml:space="preserve">Gia hạn, đổi phòng, kết thúc</t>
        </is>
      </c>
      <c r="C131" s="0" t="inlineStr">
        <is>
          <t xml:space="preserve">change-request, renewal, transfer, end-lease</t>
        </is>
      </c>
      <c r="D131" s="0" t="inlineStr">
        <is>
          <t xml:space="preserve">POST</t>
        </is>
      </c>
      <c r="E131" s="0" t="inlineStr">
        <is>
          <t xml:space="preserve">/api/v1/contracts/{contractId}/change-requests</t>
        </is>
      </c>
      <c r="F131" s="0" t="inlineStr">
        <is>
          <t xml:space="preserve">Gửi yêu cầu gia hạn/đổi phòng/chấm dứt</t>
        </is>
      </c>
      <c r="G131" s="0" t="inlineStr">
        <is>
          <t xml:space="preserve">TENANT: chỉ chính người thuê và tài nguyên được phép</t>
        </is>
      </c>
      <c r="H131" s="0" t="inlineStr">
        <is>
          <t xml:space="preserve">P0</t>
        </is>
      </c>
      <c r="I131" s="0" t="inlineStr">
        <is>
          <t xml:space="preserve">Middleware auth/session/role + object scope
D09: idempotency store nếu chưa có khóa tự nhiên</t>
        </is>
      </c>
      <c r="J131" s="0" t="inlineStr">
        <is>
          <t xml:space="preserve">SERVICE: cần triển khai giao dịch backend</t>
        </is>
      </c>
      <c r="K131" s="0" t="inlineStr">
        <is>
          <t xml:space="preserve">type: enum (bắt buộc) — RENEWAL / TRANSFER / TERMINATION.
baseRevisionId: id (bắt buộc) — Phiên bản hợp đồng nguồn hiện tại.
effectiveDate: date (bắt buộc) — Không trước ngày bắt đầu/ngày vào của người ACTIVE.
reason: string (bắt buộc) — Lý do không trống; tối đa 1.000 ký tự.
newEndDate: date (tùy chọn) — RENEWAL bắt buộc và &gt; ngày kết thúc cũ.
targetRoomId: id (tùy chọn) — TRANSFER bắt buộc; phòng khác, cùng chủ và đủ quyền.
proposal: object (tùy chọn) — TRANSFER: content, endDate bắt buộc; rentAmount/depositAmount tùy chọn. Backend ánh xạ proposal_snapshot snake_case.</t>
        </is>
      </c>
      <c r="L131" s="0" t="inlineStr">
        <is>
          <t xml:space="preserve">ContractChangeRequest {id,status:PENDING}</t>
        </is>
      </c>
      <c r="M131" s="0" t="inlineStr">
        <is>
          <t xml:space="preserve">Đại diện ACTIVE hiện tại, contract ACTIVE, một yêu cầu mở/contract; snapshot base revision + representative. Validate field theo type, không sửa contract khi gửi.</t>
        </is>
      </c>
      <c r="N131" s="0" t="inlineStr">
        <is>
          <t xml:space="preserve">400 BAD_REQUEST
401 UNAUTHENTICATED
403 FORBIDDEN
404 RESOURCE_NOT_FOUND
409 STATE_CONFLICT
409 IDEMPOTENCY_KEY_REUSED
422 VALIDATION_ERROR
409 OPEN_CHANGE_EXISTS
409 BASE_REVISION_CHANGED
422 EFFECTIVE_DATE_NOT_REACHED
422 TARGET_ROOM_UNAVAILABLE</t>
        </is>
      </c>
      <c r="O131" s="0" t="inlineStr">
        <is>
          <t xml:space="preserve"/>
        </is>
      </c>
      <c r="P131" s="0" t="inlineStr">
        <is>
          <t xml:space="preserve">Chưa làm</t>
        </is>
      </c>
      <c r="Q131" s="0" t="inlineStr">
        <is>
          <t xml:space="preserve">Chưa</t>
        </is>
      </c>
      <c r="R131" s="0" t="inlineStr">
        <is>
          <t xml:space="preserve">Chưa</t>
        </is>
      </c>
      <c r="S131" s="0" t="inlineStr">
        <is>
          <t xml:space="preserve">Chưa</t>
        </is>
      </c>
      <c r="T131" s="0" t="inlineStr">
        <is>
          <t xml:space="preserve">Chưa</t>
        </is>
      </c>
      <c r="U131" s="0" t="inlineStr">
        <is>
          <t xml:space="preserve">Chưa</t>
        </is>
      </c>
      <c r="V131" s="0" t="inlineStr">
        <is>
          <t xml:space="preserve">Chưa</t>
        </is>
      </c>
      <c r="W131" s="0" t="inlineStr">
        <is>
          <t xml:space="preserve">Chưa</t>
        </is>
      </c>
      <c r="X131" s="0" t="inlineStr">
        <is>
          <t xml:space="preserve">Chưa</t>
        </is>
      </c>
      <c r="Y131" s="3">
        <f>COUNTIF(Q131:X131,"Xong")/8</f>
        <v>0</v>
      </c>
      <c r="Z131" s="4" t="inlineStr">
        <is>
          <t xml:space="preserve"/>
        </is>
      </c>
      <c r="AA131" s="4" t="inlineStr">
        <is>
          <t xml:space="preserve"/>
        </is>
      </c>
      <c r="AB131" s="4" t="inlineStr">
        <is>
          <t xml:space="preserve"/>
        </is>
      </c>
      <c r="AC131" s="0" t="inlineStr">
        <is>
          <t xml:space="preserve"/>
        </is>
      </c>
      <c r="AD131" s="0" t="inlineStr">
        <is>
          <t xml:space="preserve">Happy path: Gửi yêu cầu gia hạn/đổi phòng/chấm dứt; kiểm tra ContractChangeRequest {id,status:PENDING}.
Thiếu phiên/phiên revoked/actor LOCKED và actor khác chủ hoặc khác participant phải bị chặn.
Ràng buộc: Mỗi hợp đồng chỉ có một yêu cầu điều chỉnh mở; READY_TO_APPLY/COMPLETED cần người/thời điểm duyệt và xác nhận.
Gửi lặp cùng khóa trả kết quả cũ; cùng khóa khác payload trả 409; hai request tranh cùng tài nguyên không vượt hạn mức.
Kiểm tra lỗi DB/provider không để lại cập nhật dở hoặc trả thành công giả.</t>
        </is>
      </c>
      <c r="AE131" s="0" t="inlineStr">
        <is>
          <t xml:space="preserve"/>
        </is>
      </c>
      <c r="AF131" s="5" t="inlineStr">
        <is>
          <t xml:space="preserve">Mở đặc tả</t>
        </is>
      </c>
    </row>
    <row r="132" ht="70" customHeight="1">
      <c r="A132" s="2" t="inlineStr">
        <is>
          <t xml:space="preserve">API-131</t>
        </is>
      </c>
      <c r="B132" s="2" t="inlineStr">
        <is>
          <t xml:space="preserve">Gia hạn, đổi phòng, kết thúc</t>
        </is>
      </c>
      <c r="C132" s="2" t="inlineStr">
        <is>
          <t xml:space="preserve">change-request</t>
        </is>
      </c>
      <c r="D132" s="2" t="inlineStr">
        <is>
          <t xml:space="preserve">GET</t>
        </is>
      </c>
      <c r="E132" s="2" t="inlineStr">
        <is>
          <t xml:space="preserve">/api/v1/contract-change-requests/{requestId}</t>
        </is>
      </c>
      <c r="F132" s="2" t="inlineStr">
        <is>
          <t xml:space="preserve">Đọc phương án điều chỉnh</t>
        </is>
      </c>
      <c r="G132" s="2" t="inlineStr">
        <is>
          <t xml:space="preserve">TENANT: chỉ chính người thuê và tài nguyên được phép hoặc LANDLORD: sở hữu nhà/phòng/hợp đồng</t>
        </is>
      </c>
      <c r="H132" s="2" t="inlineStr">
        <is>
          <t xml:space="preserve">P0</t>
        </is>
      </c>
      <c r="I132" s="2" t="inlineStr">
        <is>
          <t xml:space="preserve">Middleware auth/session/role + object scope</t>
        </is>
      </c>
      <c r="J132" s="2" t="inlineStr">
        <is>
          <t xml:space="preserve">READ: truy vấn có scope quyền</t>
        </is>
      </c>
      <c r="K132" s="2" t="inlineStr">
        <is>
          <t xml:space="preserve">Không có JSON body</t>
        </is>
      </c>
      <c r="L132" s="2" t="inlineStr">
        <is>
          <t xml:space="preserve">ContractChangeRequest,proposalRevision,proposalSnapshot</t>
        </is>
      </c>
      <c r="M132" s="2" t="inlineStr">
        <is>
          <t xml:space="preserve">Phương án được xác nhận phải bất biến; không suy từ giá/phòng vừa bị sửa.</t>
        </is>
      </c>
      <c r="N132" s="2" t="inlineStr">
        <is>
          <t xml:space="preserve">400 BAD_REQUEST
401 UNAUTHENTICATED
403 FORBIDDEN
404 RESOURCE_NOT_FOUND</t>
        </is>
      </c>
      <c r="O132" s="2" t="inlineStr">
        <is>
          <t xml:space="preserve"/>
        </is>
      </c>
      <c r="P132" s="2" t="inlineStr">
        <is>
          <t xml:space="preserve">Chưa làm</t>
        </is>
      </c>
      <c r="Q132" s="2" t="inlineStr">
        <is>
          <t xml:space="preserve">Chưa</t>
        </is>
      </c>
      <c r="R132" s="2" t="inlineStr">
        <is>
          <t xml:space="preserve">Chưa</t>
        </is>
      </c>
      <c r="S132" s="2" t="inlineStr">
        <is>
          <t xml:space="preserve">Chưa</t>
        </is>
      </c>
      <c r="T132" s="2" t="inlineStr">
        <is>
          <t xml:space="preserve">Chưa</t>
        </is>
      </c>
      <c r="U132" s="2" t="inlineStr">
        <is>
          <t xml:space="preserve">Chưa</t>
        </is>
      </c>
      <c r="V132" s="2" t="inlineStr">
        <is>
          <t xml:space="preserve">Chưa</t>
        </is>
      </c>
      <c r="W132" s="2" t="inlineStr">
        <is>
          <t xml:space="preserve">Chưa</t>
        </is>
      </c>
      <c r="X132" s="2" t="inlineStr">
        <is>
          <t xml:space="preserve">Chưa</t>
        </is>
      </c>
      <c r="Y132" s="3">
        <f>COUNTIF(Q132:X132,"Xong")/8</f>
        <v>0</v>
      </c>
      <c r="Z132" s="4" t="inlineStr">
        <is>
          <t xml:space="preserve"/>
        </is>
      </c>
      <c r="AA132" s="4" t="inlineStr">
        <is>
          <t xml:space="preserve"/>
        </is>
      </c>
      <c r="AB132" s="4" t="inlineStr">
        <is>
          <t xml:space="preserve"/>
        </is>
      </c>
      <c r="AC132" s="2" t="inlineStr">
        <is>
          <t xml:space="preserve"/>
        </is>
      </c>
      <c r="AD132" s="2" t="inlineStr">
        <is>
          <t xml:space="preserve">Happy path: Đọc phương án điều chỉnh; kiểm tra ContractChangeRequest,proposalRevision,proposalSnapshot.
Thiếu phiên/phiên revoked/actor LOCKED và actor khác chủ hoặc khác participant phải bị chặn.
Ràng buộc: Mỗi hợp đồng chỉ có một yêu cầu điều chỉnh mở; READY_TO_APPLY/COMPLETED cần người/thời điểm duyệt và xác nhận.
Phân trang/lọc đúng scope; dữ liệu riêng tư bị loại trên server, không chỉ ẩn UI.
Kiểm tra lỗi DB/provider không để lại cập nhật dở hoặc trả thành công giả.</t>
        </is>
      </c>
      <c r="AE132" s="2" t="inlineStr">
        <is>
          <t xml:space="preserve"/>
        </is>
      </c>
      <c r="AF132" s="5" t="inlineStr">
        <is>
          <t xml:space="preserve">Mở đặc tả</t>
        </is>
      </c>
    </row>
    <row r="133" ht="70" customHeight="1">
      <c r="A133" s="0" t="inlineStr">
        <is>
          <t xml:space="preserve">API-132</t>
        </is>
      </c>
      <c r="B133" s="0" t="inlineStr">
        <is>
          <t xml:space="preserve">Gia hạn, đổi phòng, kết thúc</t>
        </is>
      </c>
      <c r="C133" s="0" t="inlineStr">
        <is>
          <t xml:space="preserve">change-request</t>
        </is>
      </c>
      <c r="D133" s="0" t="inlineStr">
        <is>
          <t xml:space="preserve">POST</t>
        </is>
      </c>
      <c r="E133" s="0" t="inlineStr">
        <is>
          <t xml:space="preserve">/api/v1/contract-change-requests/{requestId}/decision</t>
        </is>
      </c>
      <c r="F133" s="0" t="inlineStr">
        <is>
          <t xml:space="preserve">Chủ trọ duyệt/từ chối phương án</t>
        </is>
      </c>
      <c r="G133" s="0" t="inlineStr">
        <is>
          <t xml:space="preserve">LANDLORD: sở hữu nhà/phòng/hợp đồng</t>
        </is>
      </c>
      <c r="H133" s="0" t="inlineStr">
        <is>
          <t xml:space="preserve">P0</t>
        </is>
      </c>
      <c r="I133" s="0" t="inlineStr">
        <is>
          <t xml:space="preserve">Middleware auth/session/role + object scope
D09: idempotency store nếu chưa có khóa tự nhiên</t>
        </is>
      </c>
      <c r="J133" s="0" t="inlineStr">
        <is>
          <t xml:space="preserve">SERVICE: cần triển khai giao dịch backend</t>
        </is>
      </c>
      <c r="K133" s="0" t="inlineStr">
        <is>
          <t xml:space="preserve">decision: enum (bắt buộc) — APPROVE hoặc REJECT.
reason: string (tùy chọn) — Bắt buộc khi REJECT; tối đa 1.000 ký tự.</t>
        </is>
      </c>
      <c r="L133" s="0" t="inlineStr">
        <is>
          <t xml:space="preserve">ContractChangeRequest và proposedRevisionId</t>
        </is>
      </c>
      <c r="M133" s="0" t="inlineStr">
        <is>
          <t xml:space="preserve">Chỉ PENDING; APPROVE tạo proposed_revision đã snapshot theo type và chuyển APPROVED_WAITING_CONFIRMATION; REJECT reason. Không tự áp dụng contract.</t>
        </is>
      </c>
      <c r="N133" s="0" t="inlineStr">
        <is>
          <t xml:space="preserve">400 BAD_REQUEST
401 UNAUTHENTICATED
403 FORBIDDEN
404 RESOURCE_NOT_FOUND
409 STATE_CONFLICT
409 IDEMPOTENCY_KEY_REUSED
422 VALIDATION_ERROR
409 OPEN_CHANGE_EXISTS
409 BASE_REVISION_CHANGED
422 EFFECTIVE_DATE_NOT_REACHED
422 TARGET_ROOM_UNAVAILABLE</t>
        </is>
      </c>
      <c r="O133" s="0" t="inlineStr">
        <is>
          <t xml:space="preserve"/>
        </is>
      </c>
      <c r="P133" s="0" t="inlineStr">
        <is>
          <t xml:space="preserve">Chưa làm</t>
        </is>
      </c>
      <c r="Q133" s="0" t="inlineStr">
        <is>
          <t xml:space="preserve">Chưa</t>
        </is>
      </c>
      <c r="R133" s="0" t="inlineStr">
        <is>
          <t xml:space="preserve">Chưa</t>
        </is>
      </c>
      <c r="S133" s="0" t="inlineStr">
        <is>
          <t xml:space="preserve">Chưa</t>
        </is>
      </c>
      <c r="T133" s="0" t="inlineStr">
        <is>
          <t xml:space="preserve">Chưa</t>
        </is>
      </c>
      <c r="U133" s="0" t="inlineStr">
        <is>
          <t xml:space="preserve">Chưa</t>
        </is>
      </c>
      <c r="V133" s="0" t="inlineStr">
        <is>
          <t xml:space="preserve">Chưa</t>
        </is>
      </c>
      <c r="W133" s="0" t="inlineStr">
        <is>
          <t xml:space="preserve">Chưa</t>
        </is>
      </c>
      <c r="X133" s="0" t="inlineStr">
        <is>
          <t xml:space="preserve">Chưa</t>
        </is>
      </c>
      <c r="Y133" s="3">
        <f>COUNTIF(Q133:X133,"Xong")/8</f>
        <v>0</v>
      </c>
      <c r="Z133" s="4" t="inlineStr">
        <is>
          <t xml:space="preserve"/>
        </is>
      </c>
      <c r="AA133" s="4" t="inlineStr">
        <is>
          <t xml:space="preserve"/>
        </is>
      </c>
      <c r="AB133" s="4" t="inlineStr">
        <is>
          <t xml:space="preserve"/>
        </is>
      </c>
      <c r="AC133" s="0" t="inlineStr">
        <is>
          <t xml:space="preserve"/>
        </is>
      </c>
      <c r="AD133" s="0" t="inlineStr">
        <is>
          <t xml:space="preserve">Happy path: Chủ trọ duyệt/từ chối phương án; kiểm tra ContractChangeRequest và proposedRevisionId.
Thiếu phiên/phiên revoked/actor LOCKED và actor khác chủ hoặc khác participant phải bị chặn.
Ràng buộc: Mỗi hợp đồng chỉ có một yêu cầu điều chỉnh mở; READY_TO_APPLY/COMPLETED cần người/thời điểm duyệt và xác nhận.
Gửi lặp cùng khóa trả kết quả cũ; cùng khóa khác payload trả 409; hai request tranh cùng tài nguyên không vượt hạn mức.
Kiểm tra lỗi DB/provider không để lại cập nhật dở hoặc trả thành công giả.</t>
        </is>
      </c>
      <c r="AE133" s="0" t="inlineStr">
        <is>
          <t xml:space="preserve"/>
        </is>
      </c>
      <c r="AF133" s="5" t="inlineStr">
        <is>
          <t xml:space="preserve">Mở đặc tả</t>
        </is>
      </c>
    </row>
    <row r="134" ht="70" customHeight="1">
      <c r="A134" s="2" t="inlineStr">
        <is>
          <t xml:space="preserve">API-133</t>
        </is>
      </c>
      <c r="B134" s="2" t="inlineStr">
        <is>
          <t xml:space="preserve">Gia hạn, đổi phòng, kết thúc</t>
        </is>
      </c>
      <c r="C134" s="2" t="inlineStr">
        <is>
          <t xml:space="preserve">change-request</t>
        </is>
      </c>
      <c r="D134" s="2" t="inlineStr">
        <is>
          <t xml:space="preserve">POST</t>
        </is>
      </c>
      <c r="E134" s="2" t="inlineStr">
        <is>
          <t xml:space="preserve">/api/v1/contract-change-requests/{requestId}/confirm</t>
        </is>
      </c>
      <c r="F134" s="2" t="inlineStr">
        <is>
          <t xml:space="preserve">Đại diện xác nhận đúng phương án</t>
        </is>
      </c>
      <c r="G134" s="2" t="inlineStr">
        <is>
          <t xml:space="preserve">TENANT: chỉ chính người thuê và tài nguyên được phép</t>
        </is>
      </c>
      <c r="H134" s="2" t="inlineStr">
        <is>
          <t xml:space="preserve">P0</t>
        </is>
      </c>
      <c r="I134" s="2" t="inlineStr">
        <is>
          <t xml:space="preserve">Middleware auth/session/role + object scope
D09: idempotency store nếu chưa có khóa tự nhiên</t>
        </is>
      </c>
      <c r="J134" s="2" t="inlineStr">
        <is>
          <t xml:space="preserve">SERVICE: cần triển khai giao dịch backend</t>
        </is>
      </c>
      <c r="K134" s="2" t="inlineStr">
        <is>
          <t xml:space="preserve">proposedRevisionId: id (tùy chọn) — RENEWAL phải khớp proposed_revision_id đã duyệt.
proposalHash: string (bắt buộc) — Digest canonical proposal server trả; chống xác nhận bản bị đổi.</t>
        </is>
      </c>
      <c r="L134" s="2" t="inlineStr">
        <is>
          <t xml:space="preserve">ContractChangeRequest {id,status:READY_TO_APPLY}</t>
        </is>
      </c>
      <c r="M134" s="2" t="inlineStr">
        <is>
          <t xml:space="preserve">Chỉ current representative, APPROVED_WAITING_CONFIRMATION; recheck base revision, ghi confirmed_by/time, xác nhận proposed_revision cho RENEWAL. Hash do service tính, không phải cột SQL hiện có.</t>
        </is>
      </c>
      <c r="N134" s="2" t="inlineStr">
        <is>
          <t xml:space="preserve">400 BAD_REQUEST
401 UNAUTHENTICATED
403 FORBIDDEN
404 RESOURCE_NOT_FOUND
409 STATE_CONFLICT
409 IDEMPOTENCY_KEY_REUSED
422 VALIDATION_ERROR
409 OPEN_CHANGE_EXISTS
409 BASE_REVISION_CHANGED
422 EFFECTIVE_DATE_NOT_REACHED
422 TARGET_ROOM_UNAVAILABLE</t>
        </is>
      </c>
      <c r="O134" s="2" t="inlineStr">
        <is>
          <t xml:space="preserve"/>
        </is>
      </c>
      <c r="P134" s="2" t="inlineStr">
        <is>
          <t xml:space="preserve">Chưa làm</t>
        </is>
      </c>
      <c r="Q134" s="2" t="inlineStr">
        <is>
          <t xml:space="preserve">Chưa</t>
        </is>
      </c>
      <c r="R134" s="2" t="inlineStr">
        <is>
          <t xml:space="preserve">Chưa</t>
        </is>
      </c>
      <c r="S134" s="2" t="inlineStr">
        <is>
          <t xml:space="preserve">Chưa</t>
        </is>
      </c>
      <c r="T134" s="2" t="inlineStr">
        <is>
          <t xml:space="preserve">Chưa</t>
        </is>
      </c>
      <c r="U134" s="2" t="inlineStr">
        <is>
          <t xml:space="preserve">Chưa</t>
        </is>
      </c>
      <c r="V134" s="2" t="inlineStr">
        <is>
          <t xml:space="preserve">Chưa</t>
        </is>
      </c>
      <c r="W134" s="2" t="inlineStr">
        <is>
          <t xml:space="preserve">Chưa</t>
        </is>
      </c>
      <c r="X134" s="2" t="inlineStr">
        <is>
          <t xml:space="preserve">Chưa</t>
        </is>
      </c>
      <c r="Y134" s="3">
        <f>COUNTIF(Q134:X134,"Xong")/8</f>
        <v>0</v>
      </c>
      <c r="Z134" s="4" t="inlineStr">
        <is>
          <t xml:space="preserve"/>
        </is>
      </c>
      <c r="AA134" s="4" t="inlineStr">
        <is>
          <t xml:space="preserve"/>
        </is>
      </c>
      <c r="AB134" s="4" t="inlineStr">
        <is>
          <t xml:space="preserve"/>
        </is>
      </c>
      <c r="AC134" s="2" t="inlineStr">
        <is>
          <t xml:space="preserve"/>
        </is>
      </c>
      <c r="AD134" s="2" t="inlineStr">
        <is>
          <t xml:space="preserve">Happy path: Đại diện xác nhận đúng phương án; kiểm tra ContractChangeRequest {id,status:READY_TO_APPLY}.
Thiếu phiên/phiên revoked/actor LOCKED và actor khác chủ hoặc khác participant phải bị chặn.
Ràng buộc: Mỗi hợp đồng chỉ có một yêu cầu điều chỉnh mở; READY_TO_APPLY/COMPLETED cần người/thời điểm duyệt và xác nhận.
Gửi lặp cùng khóa trả kết quả cũ; cùng khóa khác payload trả 409; hai request tranh cùng tài nguyên không vượt hạn mức.
Kiểm tra lỗi DB/provider không để lại cập nhật dở hoặc trả thành công giả.</t>
        </is>
      </c>
      <c r="AE134" s="2" t="inlineStr">
        <is>
          <t xml:space="preserve"/>
        </is>
      </c>
      <c r="AF134" s="5" t="inlineStr">
        <is>
          <t xml:space="preserve">Mở đặc tả</t>
        </is>
      </c>
    </row>
    <row r="135" ht="70" customHeight="1">
      <c r="A135" s="0" t="inlineStr">
        <is>
          <t xml:space="preserve">API-134</t>
        </is>
      </c>
      <c r="B135" s="0" t="inlineStr">
        <is>
          <t xml:space="preserve">Gia hạn, đổi phòng, kết thúc</t>
        </is>
      </c>
      <c r="C135" s="0" t="inlineStr">
        <is>
          <t xml:space="preserve">change-request</t>
        </is>
      </c>
      <c r="D135" s="0" t="inlineStr">
        <is>
          <t xml:space="preserve">POST</t>
        </is>
      </c>
      <c r="E135" s="0" t="inlineStr">
        <is>
          <t xml:space="preserve">/api/v1/contract-change-requests/{requestId}/cancel</t>
        </is>
      </c>
      <c r="F135" s="0" t="inlineStr">
        <is>
          <t xml:space="preserve">Hủy yêu cầu điều chỉnh còn mở</t>
        </is>
      </c>
      <c r="G135" s="0" t="inlineStr">
        <is>
          <t xml:space="preserve">TENANT: chỉ chính người thuê và tài nguyên được phép hoặc LANDLORD: sở hữu nhà/phòng/hợp đồng</t>
        </is>
      </c>
      <c r="H135" s="0" t="inlineStr">
        <is>
          <t xml:space="preserve">P0</t>
        </is>
      </c>
      <c r="I135" s="0" t="inlineStr">
        <is>
          <t xml:space="preserve">Middleware auth/session/role + object scope
D09: idempotency store nếu chưa có khóa tự nhiên</t>
        </is>
      </c>
      <c r="J135" s="0" t="inlineStr">
        <is>
          <t xml:space="preserve">SERVICE: cần triển khai giao dịch backend</t>
        </is>
      </c>
      <c r="K135" s="0" t="inlineStr">
        <is>
          <t xml:space="preserve">reason: string (bắt buộc) — Không chỉ khoảng trắng; tối đa 1.000 ký tự.</t>
        </is>
      </c>
      <c r="L135" s="0" t="inlineStr">
        <is>
          <t xml:space="preserve">ContractChangeRequest {id,status:CANCELLED}</t>
        </is>
      </c>
      <c r="M135" s="0" t="inlineStr">
        <is>
          <t xml:space="preserve">Đúng representative/owner; khóa contract/request, chưa COMPLETED/REJECTED/CANCELLED/EXPIRED; giữ lịch sử phương án và chữ xác nhận.</t>
        </is>
      </c>
      <c r="N135" s="0" t="inlineStr">
        <is>
          <t xml:space="preserve">400 BAD_REQUEST
401 UNAUTHENTICATED
403 FORBIDDEN
404 RESOURCE_NOT_FOUND
409 STATE_CONFLICT
409 IDEMPOTENCY_KEY_REUSED
422 VALIDATION_ERROR
409 OPEN_CHANGE_EXISTS
409 BASE_REVISION_CHANGED
422 EFFECTIVE_DATE_NOT_REACHED
422 TARGET_ROOM_UNAVAILABLE</t>
        </is>
      </c>
      <c r="O135" s="0" t="inlineStr">
        <is>
          <t xml:space="preserve"/>
        </is>
      </c>
      <c r="P135" s="0" t="inlineStr">
        <is>
          <t xml:space="preserve">Chưa làm</t>
        </is>
      </c>
      <c r="Q135" s="0" t="inlineStr">
        <is>
          <t xml:space="preserve">Chưa</t>
        </is>
      </c>
      <c r="R135" s="0" t="inlineStr">
        <is>
          <t xml:space="preserve">Chưa</t>
        </is>
      </c>
      <c r="S135" s="0" t="inlineStr">
        <is>
          <t xml:space="preserve">Chưa</t>
        </is>
      </c>
      <c r="T135" s="0" t="inlineStr">
        <is>
          <t xml:space="preserve">Chưa</t>
        </is>
      </c>
      <c r="U135" s="0" t="inlineStr">
        <is>
          <t xml:space="preserve">Chưa</t>
        </is>
      </c>
      <c r="V135" s="0" t="inlineStr">
        <is>
          <t xml:space="preserve">Chưa</t>
        </is>
      </c>
      <c r="W135" s="0" t="inlineStr">
        <is>
          <t xml:space="preserve">Chưa</t>
        </is>
      </c>
      <c r="X135" s="0" t="inlineStr">
        <is>
          <t xml:space="preserve">Chưa</t>
        </is>
      </c>
      <c r="Y135" s="3">
        <f>COUNTIF(Q135:X135,"Xong")/8</f>
        <v>0</v>
      </c>
      <c r="Z135" s="4" t="inlineStr">
        <is>
          <t xml:space="preserve"/>
        </is>
      </c>
      <c r="AA135" s="4" t="inlineStr">
        <is>
          <t xml:space="preserve"/>
        </is>
      </c>
      <c r="AB135" s="4" t="inlineStr">
        <is>
          <t xml:space="preserve"/>
        </is>
      </c>
      <c r="AC135" s="0" t="inlineStr">
        <is>
          <t xml:space="preserve"/>
        </is>
      </c>
      <c r="AD135" s="0" t="inlineStr">
        <is>
          <t xml:space="preserve">Happy path: Hủy yêu cầu điều chỉnh còn mở; kiểm tra ContractChangeRequest {id,status:CANCELLED}.
Thiếu phiên/phiên revoked/actor LOCKED và actor khác chủ hoặc khác participant phải bị chặn.
Ràng buộc: Mỗi hợp đồng chỉ có một yêu cầu điều chỉnh mở; READY_TO_APPLY/COMPLETED cần người/thời điểm duyệt và xác nhận.
Gửi lặp cùng khóa trả kết quả cũ; cùng khóa khác payload trả 409; hai request tranh cùng tài nguyên không vượt hạn mức.
Kiểm tra lỗi DB/provider không để lại cập nhật dở hoặc trả thành công giả.</t>
        </is>
      </c>
      <c r="AE135" s="0" t="inlineStr">
        <is>
          <t xml:space="preserve"/>
        </is>
      </c>
      <c r="AF135" s="5" t="inlineStr">
        <is>
          <t xml:space="preserve">Mở đặc tả</t>
        </is>
      </c>
    </row>
    <row r="136" ht="70" customHeight="1">
      <c r="A136" s="2" t="inlineStr">
        <is>
          <t xml:space="preserve">API-135</t>
        </is>
      </c>
      <c r="B136" s="2" t="inlineStr">
        <is>
          <t xml:space="preserve">Gia hạn, đổi phòng, kết thúc</t>
        </is>
      </c>
      <c r="C136" s="2" t="inlineStr">
        <is>
          <t xml:space="preserve">change-request, renewal, transfer, end-lease</t>
        </is>
      </c>
      <c r="D136" s="2" t="inlineStr">
        <is>
          <t xml:space="preserve">POST</t>
        </is>
      </c>
      <c r="E136" s="2" t="inlineStr">
        <is>
          <t xml:space="preserve">/api/v1/contract-change-requests/{requestId}/apply</t>
        </is>
      </c>
      <c r="F136" s="2" t="inlineStr">
        <is>
          <t xml:space="preserve">Áp dụng yêu cầu đã đủ xác nhận</t>
        </is>
      </c>
      <c r="G136" s="2" t="inlineStr">
        <is>
          <t xml:space="preserve">LANDLORD: sở hữu nhà/phòng/hợp đồng</t>
        </is>
      </c>
      <c r="H136" s="2" t="inlineStr">
        <is>
          <t xml:space="preserve">P0</t>
        </is>
      </c>
      <c r="I136" s="2" t="inlineStr">
        <is>
          <t xml:space="preserve">Middleware auth/session/role + object scope
D09: idempotency store nếu chưa có khóa tự nhiên</t>
        </is>
      </c>
      <c r="J136" s="2" t="inlineStr">
        <is>
          <t xml:space="preserve">sp_apply_contract_change</t>
        </is>
      </c>
      <c r="K136" s="2" t="inlineStr">
        <is>
          <t xml:space="preserve">Không có JSON body</t>
        </is>
      </c>
      <c r="L136" s="2" t="inlineStr">
        <is>
          <t xml:space="preserve">{requestId,status:COMPLETED,resultContractId,contract}</t>
        </is>
      </c>
      <c r="M136" s="2" t="inlineStr">
        <is>
          <t xml:space="preserve">READY_TO_APPLY, đến ngày hiệu lực, base revision/representative khớp, contract ACTIVE; lock phòng theo ID tăng dần khi đổi. CALL tự quản lý transaction, không bọc transaction ngoài.</t>
        </is>
      </c>
      <c r="N136" s="2" t="inlineStr">
        <is>
          <t xml:space="preserve">400 BAD_REQUEST
401 UNAUTHENTICATED
403 FORBIDDEN
404 RESOURCE_NOT_FOUND
409 STATE_CONFLICT
409 IDEMPOTENCY_KEY_REUSED
422 VALIDATION_ERROR
409 OPEN_CHANGE_EXISTS
409 BASE_REVISION_CHANGED
422 EFFECTIVE_DATE_NOT_REACHED
422 TARGET_ROOM_UNAVAILABLE</t>
        </is>
      </c>
      <c r="O136" s="2" t="inlineStr">
        <is>
          <t xml:space="preserve"/>
        </is>
      </c>
      <c r="P136" s="2" t="inlineStr">
        <is>
          <t xml:space="preserve">Chưa làm</t>
        </is>
      </c>
      <c r="Q136" s="2" t="inlineStr">
        <is>
          <t xml:space="preserve">Chưa</t>
        </is>
      </c>
      <c r="R136" s="2" t="inlineStr">
        <is>
          <t xml:space="preserve">Chưa</t>
        </is>
      </c>
      <c r="S136" s="2" t="inlineStr">
        <is>
          <t xml:space="preserve">Chưa</t>
        </is>
      </c>
      <c r="T136" s="2" t="inlineStr">
        <is>
          <t xml:space="preserve">Chưa</t>
        </is>
      </c>
      <c r="U136" s="2" t="inlineStr">
        <is>
          <t xml:space="preserve">Chưa</t>
        </is>
      </c>
      <c r="V136" s="2" t="inlineStr">
        <is>
          <t xml:space="preserve">Chưa</t>
        </is>
      </c>
      <c r="W136" s="2" t="inlineStr">
        <is>
          <t xml:space="preserve">Chưa</t>
        </is>
      </c>
      <c r="X136" s="2" t="inlineStr">
        <is>
          <t xml:space="preserve">Chưa</t>
        </is>
      </c>
      <c r="Y136" s="3">
        <f>COUNTIF(Q136:X136,"Xong")/8</f>
        <v>0</v>
      </c>
      <c r="Z136" s="4" t="inlineStr">
        <is>
          <t xml:space="preserve"/>
        </is>
      </c>
      <c r="AA136" s="4" t="inlineStr">
        <is>
          <t xml:space="preserve"/>
        </is>
      </c>
      <c r="AB136" s="4" t="inlineStr">
        <is>
          <t xml:space="preserve"/>
        </is>
      </c>
      <c r="AC136" s="2" t="inlineStr">
        <is>
          <t xml:space="preserve"/>
        </is>
      </c>
      <c r="AD136" s="2" t="inlineStr">
        <is>
          <t xml:space="preserve">Happy path: Áp dụng yêu cầu đã đủ xác nhận; kiểm tra {requestId,status:COMPLETED,resultContractId,contract}.
Thiếu phiên/phiên revoked/actor LOCKED và actor khác chủ hoặc khác participant phải bị chặn.
Ràng buộc: Mỗi hợp đồng chỉ có một yêu cầu điều chỉnh mở; READY_TO_APPLY/COMPLETED cần người/thời điểm duyệt và xác nhận.
Gửi lặp cùng khóa trả kết quả cũ; cùng khóa khác payload trả 409; hai request tranh cùng tài nguyên không vượt hạn mức.
Lỗi giữa giao dịch phải rollback; xác minh không bọc CALL trong transaction của ứng dụng.</t>
        </is>
      </c>
      <c r="AE136" s="2" t="inlineStr">
        <is>
          <t xml:space="preserve"/>
        </is>
      </c>
      <c r="AF136" s="5" t="inlineStr">
        <is>
          <t xml:space="preserve">Mở đặc tả</t>
        </is>
      </c>
    </row>
    <row r="137" ht="70" customHeight="1">
      <c r="A137" s="0" t="inlineStr">
        <is>
          <t xml:space="preserve">API-136</t>
        </is>
      </c>
      <c r="B137" s="0" t="inlineStr">
        <is>
          <t xml:space="preserve">Gia hạn, đổi phòng, kết thúc</t>
        </is>
      </c>
      <c r="C137" s="0" t="inlineStr">
        <is>
          <t xml:space="preserve">transfer</t>
        </is>
      </c>
      <c r="D137" s="0" t="inlineStr">
        <is>
          <t xml:space="preserve">GET</t>
        </is>
      </c>
      <c r="E137" s="0" t="inlineStr">
        <is>
          <t xml:space="preserve">/api/v1/contracts/{contractId}/transfer-options</t>
        </is>
      </c>
      <c r="F137" s="0" t="inlineStr">
        <is>
          <t xml:space="preserve">Phòng đích có thể chuyển toàn bộ nhóm</t>
        </is>
      </c>
      <c r="G137" s="0" t="inlineStr">
        <is>
          <t xml:space="preserve">TENANT: chỉ chính người thuê và tài nguyên được phép hoặc LANDLORD: sở hữu nhà/phòng/hợp đồng</t>
        </is>
      </c>
      <c r="H137" s="0" t="inlineStr">
        <is>
          <t xml:space="preserve">P0</t>
        </is>
      </c>
      <c r="I137" s="0" t="inlineStr">
        <is>
          <t xml:space="preserve">Middleware auth/session/role + object scope</t>
        </is>
      </c>
      <c r="J137" s="0" t="inlineStr">
        <is>
          <t xml:space="preserve">READ: truy vấn có scope quyền</t>
        </is>
      </c>
      <c r="K137" s="0" t="inlineStr">
        <is>
          <t xml:space="preserve">Không có JSON body</t>
        </is>
      </c>
      <c r="L137" s="0" t="inlineStr">
        <is>
          <t xml:space="preserve">Room[] và openMemberCount</t>
        </is>
      </c>
      <c r="M137" s="0" t="inlineStr">
        <is>
          <t xml:space="preserve">Đích khác phòng, cùng chủ, AVAILABLE không tải/open contract, đủ ACTIVE+PLANNED nhóm nguồn và quyền nhà đích. Chỉ preview; apply kiểm tra lại.</t>
        </is>
      </c>
      <c r="N137" s="0" t="inlineStr">
        <is>
          <t xml:space="preserve">400 BAD_REQUEST
401 UNAUTHENTICATED
403 FORBIDDEN
404 RESOURCE_NOT_FOUND
422 VALIDATION_ERROR</t>
        </is>
      </c>
      <c r="O137" s="0" t="inlineStr">
        <is>
          <t xml:space="preserve"/>
        </is>
      </c>
      <c r="P137" s="0" t="inlineStr">
        <is>
          <t xml:space="preserve">Chưa làm</t>
        </is>
      </c>
      <c r="Q137" s="0" t="inlineStr">
        <is>
          <t xml:space="preserve">Chưa</t>
        </is>
      </c>
      <c r="R137" s="0" t="inlineStr">
        <is>
          <t xml:space="preserve">Chưa</t>
        </is>
      </c>
      <c r="S137" s="0" t="inlineStr">
        <is>
          <t xml:space="preserve">Chưa</t>
        </is>
      </c>
      <c r="T137" s="0" t="inlineStr">
        <is>
          <t xml:space="preserve">Chưa</t>
        </is>
      </c>
      <c r="U137" s="0" t="inlineStr">
        <is>
          <t xml:space="preserve">Chưa</t>
        </is>
      </c>
      <c r="V137" s="0" t="inlineStr">
        <is>
          <t xml:space="preserve">Chưa</t>
        </is>
      </c>
      <c r="W137" s="0" t="inlineStr">
        <is>
          <t xml:space="preserve">Chưa</t>
        </is>
      </c>
      <c r="X137" s="0" t="inlineStr">
        <is>
          <t xml:space="preserve">Chưa</t>
        </is>
      </c>
      <c r="Y137" s="3">
        <f>COUNTIF(Q137:X137,"Xong")/8</f>
        <v>0</v>
      </c>
      <c r="Z137" s="4" t="inlineStr">
        <is>
          <t xml:space="preserve"/>
        </is>
      </c>
      <c r="AA137" s="4" t="inlineStr">
        <is>
          <t xml:space="preserve"/>
        </is>
      </c>
      <c r="AB137" s="4" t="inlineStr">
        <is>
          <t xml:space="preserve"/>
        </is>
      </c>
      <c r="AC137" s="0" t="inlineStr">
        <is>
          <t xml:space="preserve"/>
        </is>
      </c>
      <c r="AD137" s="0" t="inlineStr">
        <is>
          <t xml:space="preserve">Happy path: Phòng đích có thể chuyển toàn bộ nhóm; kiểm tra Room[] và openMemberCount.
Thiếu phiên/phiên revoked/actor LOCKED và actor khác chủ hoặc khác participant phải bị chặn.
Ràng buộc: previous_contract_id và result_contract_id giữ liên kết, các thành viên mới thuộc đúng phòng/hợp đồng.
Phân trang/lọc đúng scope; dữ liệu riêng tư bị loại trên server, không chỉ ẩn UI.
Kiểm tra lỗi DB/provider không để lại cập nhật dở hoặc trả thành công giả.</t>
        </is>
      </c>
      <c r="AE137" s="0" t="inlineStr">
        <is>
          <t xml:space="preserve"/>
        </is>
      </c>
      <c r="AF137" s="5" t="inlineStr">
        <is>
          <t xml:space="preserve">Mở đặc tả</t>
        </is>
      </c>
    </row>
    <row r="138" ht="70" customHeight="1">
      <c r="A138" s="2" t="inlineStr">
        <is>
          <t xml:space="preserve">API-137</t>
        </is>
      </c>
      <c r="B138" s="2" t="inlineStr">
        <is>
          <t xml:space="preserve">Dịch vụ &amp; hóa đơn</t>
        </is>
      </c>
      <c r="C138" s="2" t="inlineStr">
        <is>
          <t xml:space="preserve">services</t>
        </is>
      </c>
      <c r="D138" s="2" t="inlineStr">
        <is>
          <t xml:space="preserve">GET</t>
        </is>
      </c>
      <c r="E138" s="2" t="inlineStr">
        <is>
          <t xml:space="preserve">/api/v1/rental-services</t>
        </is>
      </c>
      <c r="F138" s="2" t="inlineStr">
        <is>
          <t xml:space="preserve">Danh mục dịch vụ cho cấu hình</t>
        </is>
      </c>
      <c r="G138" s="2" t="inlineStr">
        <is>
          <t xml:space="preserve">LANDLORD: sở hữu nhà/phòng/hợp đồng</t>
        </is>
      </c>
      <c r="H138" s="2" t="inlineStr">
        <is>
          <t xml:space="preserve">P1</t>
        </is>
      </c>
      <c r="I138" s="2" t="inlineStr">
        <is>
          <t xml:space="preserve">Middleware auth/session/role + object scope</t>
        </is>
      </c>
      <c r="J138" s="2" t="inlineStr">
        <is>
          <t xml:space="preserve">READ: truy vấn có scope quyền</t>
        </is>
      </c>
      <c r="K138" s="2" t="inlineStr">
        <is>
          <t xml:space="preserve">Không có JSON body</t>
        </is>
      </c>
      <c r="L138" s="2" t="inlineStr">
        <is>
          <t xml:space="preserve">RentalService[] {id,name,unit,defaultCalculationMethod}</t>
        </is>
      </c>
      <c r="M138" s="2" t="inlineStr">
        <is>
          <t xml:space="preserve">SQL không có code/active ở rental_services; tên duy nhất. Ngừng dùng tại house_services/room_services, không giả có cột danh mục.</t>
        </is>
      </c>
      <c r="N138" s="2" t="inlineStr">
        <is>
          <t xml:space="preserve">400 BAD_REQUEST
401 UNAUTHENTICATED
403 FORBIDDEN
404 RESOURCE_NOT_FOUND
422 VALIDATION_ERROR</t>
        </is>
      </c>
      <c r="O138" s="2" t="inlineStr">
        <is>
          <t xml:space="preserve"/>
        </is>
      </c>
      <c r="P138" s="2" t="inlineStr">
        <is>
          <t xml:space="preserve">Chưa làm</t>
        </is>
      </c>
      <c r="Q138" s="2" t="inlineStr">
        <is>
          <t xml:space="preserve">Chưa</t>
        </is>
      </c>
      <c r="R138" s="2" t="inlineStr">
        <is>
          <t xml:space="preserve">Chưa</t>
        </is>
      </c>
      <c r="S138" s="2" t="inlineStr">
        <is>
          <t xml:space="preserve">Chưa</t>
        </is>
      </c>
      <c r="T138" s="2" t="inlineStr">
        <is>
          <t xml:space="preserve">Chưa</t>
        </is>
      </c>
      <c r="U138" s="2" t="inlineStr">
        <is>
          <t xml:space="preserve">Chưa</t>
        </is>
      </c>
      <c r="V138" s="2" t="inlineStr">
        <is>
          <t xml:space="preserve">Chưa</t>
        </is>
      </c>
      <c r="W138" s="2" t="inlineStr">
        <is>
          <t xml:space="preserve">Chưa</t>
        </is>
      </c>
      <c r="X138" s="2" t="inlineStr">
        <is>
          <t xml:space="preserve">Chưa</t>
        </is>
      </c>
      <c r="Y138" s="3">
        <f>COUNTIF(Q138:X138,"Xong")/8</f>
        <v>0</v>
      </c>
      <c r="Z138" s="4" t="inlineStr">
        <is>
          <t xml:space="preserve"/>
        </is>
      </c>
      <c r="AA138" s="4" t="inlineStr">
        <is>
          <t xml:space="preserve"/>
        </is>
      </c>
      <c r="AB138" s="4" t="inlineStr">
        <is>
          <t xml:space="preserve"/>
        </is>
      </c>
      <c r="AC138" s="2" t="inlineStr">
        <is>
          <t xml:space="preserve"/>
        </is>
      </c>
      <c r="AD138" s="2" t="inlineStr">
        <is>
          <t xml:space="preserve">Happy path: Danh mục dịch vụ cho cấu hình; kiểm tra RentalService[] {id,name,unit,defaultCalculationMethod}.
Thiếu phiên/phiên revoked/actor LOCKED và actor khác chủ hoặc khác participant phải bị chặn.
Ràng buộc: Tách danh mục rental_services, cấu hình house_services và gán room_services; FK bảo đảm dịch vụ/phòng đúng nhà.
Phân trang/lọc đúng scope; dữ liệu riêng tư bị loại trên server, không chỉ ẩn UI.
Kiểm tra lỗi DB/provider không để lại cập nhật dở hoặc trả thành công giả.</t>
        </is>
      </c>
      <c r="AE138" s="2" t="inlineStr">
        <is>
          <t xml:space="preserve"/>
        </is>
      </c>
      <c r="AF138" s="5" t="inlineStr">
        <is>
          <t xml:space="preserve">Mở đặc tả</t>
        </is>
      </c>
    </row>
    <row r="139" ht="70" customHeight="1">
      <c r="A139" s="0" t="inlineStr">
        <is>
          <t xml:space="preserve">API-138</t>
        </is>
      </c>
      <c r="B139" s="0" t="inlineStr">
        <is>
          <t xml:space="preserve">Dịch vụ &amp; hóa đơn</t>
        </is>
      </c>
      <c r="C139" s="0" t="inlineStr">
        <is>
          <t xml:space="preserve">services</t>
        </is>
      </c>
      <c r="D139" s="0" t="inlineStr">
        <is>
          <t xml:space="preserve">POST</t>
        </is>
      </c>
      <c r="E139" s="0" t="inlineStr">
        <is>
          <t xml:space="preserve">/api/v1/admin/rental-services</t>
        </is>
      </c>
      <c r="F139" s="0" t="inlineStr">
        <is>
          <t xml:space="preserve">Quản trị bổ sung danh mục dịch vụ</t>
        </is>
      </c>
      <c r="G139" s="0" t="inlineStr">
        <is>
          <t xml:space="preserve">ADMIN: tài khoản ACTIVE có dòng admins</t>
        </is>
      </c>
      <c r="H139" s="0" t="inlineStr">
        <is>
          <t xml:space="preserve">P1</t>
        </is>
      </c>
      <c r="I139" s="0" t="inlineStr">
        <is>
          <t xml:space="preserve">Middleware auth/session/role + object scope
D09: idempotency store nếu chưa có khóa tự nhiên</t>
        </is>
      </c>
      <c r="J139" s="0" t="inlineStr">
        <is>
          <t xml:space="preserve">SERVICE: cần triển khai giao dịch backend</t>
        </is>
      </c>
      <c r="K139" s="0" t="inlineStr">
        <is>
          <t xml:space="preserve">name: string (bắt buộc) — Duy nhất, 1–100 ký tự.
unit: string (bắt buộc) — 1–30 ký tự.
defaultCalculationMethod: enum (bắt buộc) — METERED/PER_PERSON/PER_ROOM.</t>
        </is>
      </c>
      <c r="L139" s="0" t="inlineStr">
        <is>
          <t xml:space="preserve">RentalService</t>
        </is>
      </c>
      <c r="M139" s="0" t="inlineStr">
        <is>
          <t xml:space="preserve">Dịch vụ mẫu toàn hệ thống; house_services vẫn có thể dùng catalog_service_id null để tạo riêng. Đơn giá nằm tại house_services.</t>
        </is>
      </c>
      <c r="N139" s="0" t="inlineStr">
        <is>
          <t xml:space="preserve">400 BAD_REQUEST
401 UNAUTHENTICATED
403 FORBIDDEN
404 RESOURCE_NOT_FOUND
409 STATE_CONFLICT
409 IDEMPOTENCY_KEY_REUSED
422 VALIDATION_ERROR
409 SERVICE_NAME_EXISTS
422 CROSS_HOUSE_SERVICE
422 SERVICE_PRICE_INVALID</t>
        </is>
      </c>
      <c r="O139" s="0" t="inlineStr">
        <is>
          <t xml:space="preserve"/>
        </is>
      </c>
      <c r="P139" s="0" t="inlineStr">
        <is>
          <t xml:space="preserve">Chưa làm</t>
        </is>
      </c>
      <c r="Q139" s="0" t="inlineStr">
        <is>
          <t xml:space="preserve">Chưa</t>
        </is>
      </c>
      <c r="R139" s="0" t="inlineStr">
        <is>
          <t xml:space="preserve">Chưa</t>
        </is>
      </c>
      <c r="S139" s="0" t="inlineStr">
        <is>
          <t xml:space="preserve">Chưa</t>
        </is>
      </c>
      <c r="T139" s="0" t="inlineStr">
        <is>
          <t xml:space="preserve">Chưa</t>
        </is>
      </c>
      <c r="U139" s="0" t="inlineStr">
        <is>
          <t xml:space="preserve">Chưa</t>
        </is>
      </c>
      <c r="V139" s="0" t="inlineStr">
        <is>
          <t xml:space="preserve">Chưa</t>
        </is>
      </c>
      <c r="W139" s="0" t="inlineStr">
        <is>
          <t xml:space="preserve">Chưa</t>
        </is>
      </c>
      <c r="X139" s="0" t="inlineStr">
        <is>
          <t xml:space="preserve">Chưa</t>
        </is>
      </c>
      <c r="Y139" s="3">
        <f>COUNTIF(Q139:X139,"Xong")/8</f>
        <v>0</v>
      </c>
      <c r="Z139" s="4" t="inlineStr">
        <is>
          <t xml:space="preserve"/>
        </is>
      </c>
      <c r="AA139" s="4" t="inlineStr">
        <is>
          <t xml:space="preserve"/>
        </is>
      </c>
      <c r="AB139" s="4" t="inlineStr">
        <is>
          <t xml:space="preserve"/>
        </is>
      </c>
      <c r="AC139" s="0" t="inlineStr">
        <is>
          <t xml:space="preserve"/>
        </is>
      </c>
      <c r="AD139" s="0" t="inlineStr">
        <is>
          <t xml:space="preserve">Happy path: Quản trị bổ sung danh mục dịch vụ; kiểm tra RentalService.
Thiếu phiên/phiên revoked/actor LOCKED và actor khác chủ hoặc khác participant phải bị chặn.
Ràng buộc: Tách danh mục rental_services, cấu hình house_services và gán room_services; FK bảo đảm dịch vụ/phòng đúng nhà.
Gửi lặp cùng khóa trả kết quả cũ; cùng khóa khác payload trả 409; hai request tranh cùng tài nguyên không vượt hạn mức.
Kiểm tra lỗi DB/provider không để lại cập nhật dở hoặc trả thành công giả.</t>
        </is>
      </c>
      <c r="AE139" s="0" t="inlineStr">
        <is>
          <t xml:space="preserve"/>
        </is>
      </c>
      <c r="AF139" s="5" t="inlineStr">
        <is>
          <t xml:space="preserve">Mở đặc tả</t>
        </is>
      </c>
    </row>
    <row r="140" ht="70" customHeight="1">
      <c r="A140" s="2" t="inlineStr">
        <is>
          <t xml:space="preserve">API-139</t>
        </is>
      </c>
      <c r="B140" s="2" t="inlineStr">
        <is>
          <t xml:space="preserve">Dịch vụ &amp; hóa đơn</t>
        </is>
      </c>
      <c r="C140" s="2" t="inlineStr">
        <is>
          <t xml:space="preserve">services</t>
        </is>
      </c>
      <c r="D140" s="2" t="inlineStr">
        <is>
          <t xml:space="preserve">PATCH</t>
        </is>
      </c>
      <c r="E140" s="2" t="inlineStr">
        <is>
          <t xml:space="preserve">/api/v1/admin/rental-services/{serviceId}</t>
        </is>
      </c>
      <c r="F140" s="2" t="inlineStr">
        <is>
          <t xml:space="preserve">Sửa nội dung mẫu dịch vụ</t>
        </is>
      </c>
      <c r="G140" s="2" t="inlineStr">
        <is>
          <t xml:space="preserve">ADMIN: tài khoản ACTIVE có dòng admins</t>
        </is>
      </c>
      <c r="H140" s="2" t="inlineStr">
        <is>
          <t xml:space="preserve">P1</t>
        </is>
      </c>
      <c r="I140" s="2" t="inlineStr">
        <is>
          <t xml:space="preserve">Middleware auth/session/role + object scope
D09: idempotency store nếu chưa có khóa tự nhiên</t>
        </is>
      </c>
      <c r="J140" s="2" t="inlineStr">
        <is>
          <t xml:space="preserve">SERVICE: cần triển khai giao dịch backend</t>
        </is>
      </c>
      <c r="K140" s="2" t="inlineStr">
        <is>
          <t xml:space="preserve">name: string (tùy chọn) — Duy nhất, 1–100 ký tự.
unit: string (tùy chọn) — 1–30 ký tự.
defaultCalculationMethod: enum (tùy chọn) — METERED/PER_PERSON/PER_ROOM.</t>
        </is>
      </c>
      <c r="L140" s="2" t="inlineStr">
        <is>
          <t xml:space="preserve">RentalService</t>
        </is>
      </c>
      <c r="M140" s="2" t="inlineStr">
        <is>
          <t xml:space="preserve">Không xóa dòng đã tham chiếu; đổi mẫu không sửa house_services hoặc invoice snapshot cũ.</t>
        </is>
      </c>
      <c r="N140" s="2" t="inlineStr">
        <is>
          <t xml:space="preserve">400 BAD_REQUEST
401 UNAUTHENTICATED
403 FORBIDDEN
404 RESOURCE_NOT_FOUND
409 STATE_CONFLICT
409 IDEMPOTENCY_KEY_REUSED
422 VALIDATION_ERROR
409 SERVICE_NAME_EXISTS
422 CROSS_HOUSE_SERVICE
422 SERVICE_PRICE_INVALID</t>
        </is>
      </c>
      <c r="O140" s="2" t="inlineStr">
        <is>
          <t xml:space="preserve"/>
        </is>
      </c>
      <c r="P140" s="2" t="inlineStr">
        <is>
          <t xml:space="preserve">Chưa làm</t>
        </is>
      </c>
      <c r="Q140" s="2" t="inlineStr">
        <is>
          <t xml:space="preserve">Chưa</t>
        </is>
      </c>
      <c r="R140" s="2" t="inlineStr">
        <is>
          <t xml:space="preserve">Chưa</t>
        </is>
      </c>
      <c r="S140" s="2" t="inlineStr">
        <is>
          <t xml:space="preserve">Chưa</t>
        </is>
      </c>
      <c r="T140" s="2" t="inlineStr">
        <is>
          <t xml:space="preserve">Chưa</t>
        </is>
      </c>
      <c r="U140" s="2" t="inlineStr">
        <is>
          <t xml:space="preserve">Chưa</t>
        </is>
      </c>
      <c r="V140" s="2" t="inlineStr">
        <is>
          <t xml:space="preserve">Chưa</t>
        </is>
      </c>
      <c r="W140" s="2" t="inlineStr">
        <is>
          <t xml:space="preserve">Chưa</t>
        </is>
      </c>
      <c r="X140" s="2" t="inlineStr">
        <is>
          <t xml:space="preserve">Chưa</t>
        </is>
      </c>
      <c r="Y140" s="3">
        <f>COUNTIF(Q140:X140,"Xong")/8</f>
        <v>0</v>
      </c>
      <c r="Z140" s="4" t="inlineStr">
        <is>
          <t xml:space="preserve"/>
        </is>
      </c>
      <c r="AA140" s="4" t="inlineStr">
        <is>
          <t xml:space="preserve"/>
        </is>
      </c>
      <c r="AB140" s="4" t="inlineStr">
        <is>
          <t xml:space="preserve"/>
        </is>
      </c>
      <c r="AC140" s="2" t="inlineStr">
        <is>
          <t xml:space="preserve"/>
        </is>
      </c>
      <c r="AD140" s="2" t="inlineStr">
        <is>
          <t xml:space="preserve">Happy path: Sửa nội dung mẫu dịch vụ; kiểm tra RentalService.
Thiếu phiên/phiên revoked/actor LOCKED và actor khác chủ hoặc khác participant phải bị chặn.
Ràng buộc: Tách danh mục rental_services, cấu hình house_services và gán room_services; FK bảo đảm dịch vụ/phòng đúng nhà.
Gửi lặp cùng khóa trả kết quả cũ; cùng khóa khác payload trả 409; hai request tranh cùng tài nguyên không vượt hạn mức.
Kiểm tra lỗi DB/provider không để lại cập nhật dở hoặc trả thành công giả.</t>
        </is>
      </c>
      <c r="AE140" s="2" t="inlineStr">
        <is>
          <t xml:space="preserve"/>
        </is>
      </c>
      <c r="AF140" s="5" t="inlineStr">
        <is>
          <t xml:space="preserve">Mở đặc tả</t>
        </is>
      </c>
    </row>
    <row r="141" ht="70" customHeight="1">
      <c r="A141" s="0" t="inlineStr">
        <is>
          <t xml:space="preserve">API-140</t>
        </is>
      </c>
      <c r="B141" s="0" t="inlineStr">
        <is>
          <t xml:space="preserve">Dịch vụ &amp; hóa đơn</t>
        </is>
      </c>
      <c r="C141" s="0" t="inlineStr">
        <is>
          <t xml:space="preserve">services</t>
        </is>
      </c>
      <c r="D141" s="0" t="inlineStr">
        <is>
          <t xml:space="preserve">GET</t>
        </is>
      </c>
      <c r="E141" s="0" t="inlineStr">
        <is>
          <t xml:space="preserve">/api/v1/houses/{houseId}/services</t>
        </is>
      </c>
      <c r="F141" s="0" t="inlineStr">
        <is>
          <t xml:space="preserve">Cấu hình dịch vụ của nhà</t>
        </is>
      </c>
      <c r="G141" s="0" t="inlineStr">
        <is>
          <t xml:space="preserve">LANDLORD: sở hữu nhà/phòng/hợp đồng</t>
        </is>
      </c>
      <c r="H141" s="0" t="inlineStr">
        <is>
          <t xml:space="preserve">P1</t>
        </is>
      </c>
      <c r="I141" s="0" t="inlineStr">
        <is>
          <t xml:space="preserve">Middleware auth/session/role + object scope</t>
        </is>
      </c>
      <c r="J141" s="0" t="inlineStr">
        <is>
          <t xml:space="preserve">READ: truy vấn có scope quyền</t>
        </is>
      </c>
      <c r="K141" s="0" t="inlineStr">
        <is>
          <t xml:space="preserve">Không có JSON body</t>
        </is>
      </c>
      <c r="L141" s="0" t="inlineStr">
        <is>
          <t xml:space="preserve">HouseService[] gồm cả inactive</t>
        </is>
      </c>
      <c r="M141" s="0" t="inlineStr">
        <is>
          <t xml:space="preserve">Cho cấu hình khi nhà chưa có phòng/chưa xác minh.</t>
        </is>
      </c>
      <c r="N141" s="0" t="inlineStr">
        <is>
          <t xml:space="preserve">400 BAD_REQUEST
401 UNAUTHENTICATED
403 FORBIDDEN
404 RESOURCE_NOT_FOUND
422 VALIDATION_ERROR</t>
        </is>
      </c>
      <c r="O141" s="0" t="inlineStr">
        <is>
          <t xml:space="preserve"/>
        </is>
      </c>
      <c r="P141" s="0" t="inlineStr">
        <is>
          <t xml:space="preserve">Chưa làm</t>
        </is>
      </c>
      <c r="Q141" s="0" t="inlineStr">
        <is>
          <t xml:space="preserve">Chưa</t>
        </is>
      </c>
      <c r="R141" s="0" t="inlineStr">
        <is>
          <t xml:space="preserve">Chưa</t>
        </is>
      </c>
      <c r="S141" s="0" t="inlineStr">
        <is>
          <t xml:space="preserve">Chưa</t>
        </is>
      </c>
      <c r="T141" s="0" t="inlineStr">
        <is>
          <t xml:space="preserve">Chưa</t>
        </is>
      </c>
      <c r="U141" s="0" t="inlineStr">
        <is>
          <t xml:space="preserve">Chưa</t>
        </is>
      </c>
      <c r="V141" s="0" t="inlineStr">
        <is>
          <t xml:space="preserve">Chưa</t>
        </is>
      </c>
      <c r="W141" s="0" t="inlineStr">
        <is>
          <t xml:space="preserve">Chưa</t>
        </is>
      </c>
      <c r="X141" s="0" t="inlineStr">
        <is>
          <t xml:space="preserve">Chưa</t>
        </is>
      </c>
      <c r="Y141" s="3">
        <f>COUNTIF(Q141:X141,"Xong")/8</f>
        <v>0</v>
      </c>
      <c r="Z141" s="4" t="inlineStr">
        <is>
          <t xml:space="preserve"/>
        </is>
      </c>
      <c r="AA141" s="4" t="inlineStr">
        <is>
          <t xml:space="preserve"/>
        </is>
      </c>
      <c r="AB141" s="4" t="inlineStr">
        <is>
          <t xml:space="preserve"/>
        </is>
      </c>
      <c r="AC141" s="0" t="inlineStr">
        <is>
          <t xml:space="preserve"/>
        </is>
      </c>
      <c r="AD141" s="0" t="inlineStr">
        <is>
          <t xml:space="preserve">Happy path: Cấu hình dịch vụ của nhà; kiểm tra HouseService[] gồm cả inactive.
Thiếu phiên/phiên revoked/actor LOCKED và actor khác chủ hoặc khác participant phải bị chặn.
Ràng buộc: Tách danh mục rental_services, cấu hình house_services và gán room_services; FK bảo đảm dịch vụ/phòng đúng nhà.
Phân trang/lọc đúng scope; dữ liệu riêng tư bị loại trên server, không chỉ ẩn UI.
Kiểm tra lỗi DB/provider không để lại cập nhật dở hoặc trả thành công giả.</t>
        </is>
      </c>
      <c r="AE141" s="0" t="inlineStr">
        <is>
          <t xml:space="preserve"/>
        </is>
      </c>
      <c r="AF141" s="5" t="inlineStr">
        <is>
          <t xml:space="preserve">Mở đặc tả</t>
        </is>
      </c>
    </row>
    <row r="142" ht="70" customHeight="1">
      <c r="A142" s="2" t="inlineStr">
        <is>
          <t xml:space="preserve">API-141</t>
        </is>
      </c>
      <c r="B142" s="2" t="inlineStr">
        <is>
          <t xml:space="preserve">Dịch vụ &amp; hóa đơn</t>
        </is>
      </c>
      <c r="C142" s="2" t="inlineStr">
        <is>
          <t xml:space="preserve">services</t>
        </is>
      </c>
      <c r="D142" s="2" t="inlineStr">
        <is>
          <t xml:space="preserve">POST</t>
        </is>
      </c>
      <c r="E142" s="2" t="inlineStr">
        <is>
          <t xml:space="preserve">/api/v1/houses/{houseId}/services</t>
        </is>
      </c>
      <c r="F142" s="2" t="inlineStr">
        <is>
          <t xml:space="preserve">Thêm dịch vụ vào nhà</t>
        </is>
      </c>
      <c r="G142" s="2" t="inlineStr">
        <is>
          <t xml:space="preserve">LANDLORD: sở hữu nhà/phòng/hợp đồng</t>
        </is>
      </c>
      <c r="H142" s="2" t="inlineStr">
        <is>
          <t xml:space="preserve">P1</t>
        </is>
      </c>
      <c r="I142" s="2" t="inlineStr">
        <is>
          <t xml:space="preserve">Middleware auth/session/role + object scope
D09: idempotency store nếu chưa có khóa tự nhiên</t>
        </is>
      </c>
      <c r="J142" s="2" t="inlineStr">
        <is>
          <t xml:space="preserve">SERVICE: cần triển khai giao dịch backend</t>
        </is>
      </c>
      <c r="K142" s="2" t="inlineStr">
        <is>
          <t xml:space="preserve">serviceId: id (tùy chọn) — Ánh xạ catalog_service_id; null khi tạo dịch vụ riêng.
name: string (bắt buộc) — 1–100 ký tự; duy nhất trong nhà.
unit: string (bắt buộc) — 1–30 ký tự, đơn vị tính tại nhà.
unitPrice: money (bắt buộc) — Ánh xạ default_unit_price; không âm.
calculationMethod: enum (bắt buộc) — Ánh xạ default_calculation_method; METERED / PER_PERSON / PER_ROOM.
active: boolean (bắt buộc) — Ánh xạ is_active; bật/ngừng áp dụng.</t>
        </is>
      </c>
      <c r="L142" s="2" t="inlineStr">
        <is>
          <t xml:space="preserve">HouseService</t>
        </is>
      </c>
      <c r="M142" s="2" t="inlineStr">
        <is>
          <t xml:space="preserve">Unique nhà+service; tên không trùng sau chuẩn hóa. Ghi cấu hình giá/phương pháp, không sửa hóa đơn cũ.</t>
        </is>
      </c>
      <c r="N142" s="2" t="inlineStr">
        <is>
          <t xml:space="preserve">400 BAD_REQUEST
401 UNAUTHENTICATED
403 FORBIDDEN
404 RESOURCE_NOT_FOUND
409 STATE_CONFLICT
409 IDEMPOTENCY_KEY_REUSED
422 VALIDATION_ERROR
409 SERVICE_NAME_EXISTS
422 CROSS_HOUSE_SERVICE
422 SERVICE_PRICE_INVALID</t>
        </is>
      </c>
      <c r="O142" s="2" t="inlineStr">
        <is>
          <t xml:space="preserve"/>
        </is>
      </c>
      <c r="P142" s="2" t="inlineStr">
        <is>
          <t xml:space="preserve">Chưa làm</t>
        </is>
      </c>
      <c r="Q142" s="2" t="inlineStr">
        <is>
          <t xml:space="preserve">Chưa</t>
        </is>
      </c>
      <c r="R142" s="2" t="inlineStr">
        <is>
          <t xml:space="preserve">Chưa</t>
        </is>
      </c>
      <c r="S142" s="2" t="inlineStr">
        <is>
          <t xml:space="preserve">Chưa</t>
        </is>
      </c>
      <c r="T142" s="2" t="inlineStr">
        <is>
          <t xml:space="preserve">Chưa</t>
        </is>
      </c>
      <c r="U142" s="2" t="inlineStr">
        <is>
          <t xml:space="preserve">Chưa</t>
        </is>
      </c>
      <c r="V142" s="2" t="inlineStr">
        <is>
          <t xml:space="preserve">Chưa</t>
        </is>
      </c>
      <c r="W142" s="2" t="inlineStr">
        <is>
          <t xml:space="preserve">Chưa</t>
        </is>
      </c>
      <c r="X142" s="2" t="inlineStr">
        <is>
          <t xml:space="preserve">Chưa</t>
        </is>
      </c>
      <c r="Y142" s="3">
        <f>COUNTIF(Q142:X142,"Xong")/8</f>
        <v>0</v>
      </c>
      <c r="Z142" s="4" t="inlineStr">
        <is>
          <t xml:space="preserve"/>
        </is>
      </c>
      <c r="AA142" s="4" t="inlineStr">
        <is>
          <t xml:space="preserve"/>
        </is>
      </c>
      <c r="AB142" s="4" t="inlineStr">
        <is>
          <t xml:space="preserve"/>
        </is>
      </c>
      <c r="AC142" s="2" t="inlineStr">
        <is>
          <t xml:space="preserve"/>
        </is>
      </c>
      <c r="AD142" s="2" t="inlineStr">
        <is>
          <t xml:space="preserve">Happy path: Thêm dịch vụ vào nhà; kiểm tra HouseService.
Thiếu phiên/phiên revoked/actor LOCKED và actor khác chủ hoặc khác participant phải bị chặn.
Ràng buộc: Tách danh mục rental_services, cấu hình house_services và gán room_services; FK bảo đảm dịch vụ/phòng đúng nhà.
Gửi lặp cùng khóa trả kết quả cũ; cùng khóa khác payload trả 409; hai request tranh cùng tài nguyên không vượt hạn mức.
Kiểm tra lỗi DB/provider không để lại cập nhật dở hoặc trả thành công giả.</t>
        </is>
      </c>
      <c r="AE142" s="2" t="inlineStr">
        <is>
          <t xml:space="preserve"/>
        </is>
      </c>
      <c r="AF142" s="5" t="inlineStr">
        <is>
          <t xml:space="preserve">Mở đặc tả</t>
        </is>
      </c>
    </row>
    <row r="143" ht="70" customHeight="1">
      <c r="A143" s="0" t="inlineStr">
        <is>
          <t xml:space="preserve">API-142</t>
        </is>
      </c>
      <c r="B143" s="0" t="inlineStr">
        <is>
          <t xml:space="preserve">Dịch vụ &amp; hóa đơn</t>
        </is>
      </c>
      <c r="C143" s="0" t="inlineStr">
        <is>
          <t xml:space="preserve">services</t>
        </is>
      </c>
      <c r="D143" s="0" t="inlineStr">
        <is>
          <t xml:space="preserve">PATCH</t>
        </is>
      </c>
      <c r="E143" s="0" t="inlineStr">
        <is>
          <t xml:space="preserve">/api/v1/houses/{houseId}/services/{houseServiceId}</t>
        </is>
      </c>
      <c r="F143" s="0" t="inlineStr">
        <is>
          <t xml:space="preserve">Sửa/bật/ngừng dịch vụ nhà</t>
        </is>
      </c>
      <c r="G143" s="0" t="inlineStr">
        <is>
          <t xml:space="preserve">LANDLORD: sở hữu nhà/phòng/hợp đồng</t>
        </is>
      </c>
      <c r="H143" s="0" t="inlineStr">
        <is>
          <t xml:space="preserve">P1</t>
        </is>
      </c>
      <c r="I143" s="0" t="inlineStr">
        <is>
          <t xml:space="preserve">Middleware auth/session/role + object scope
D09: idempotency store nếu chưa có khóa tự nhiên</t>
        </is>
      </c>
      <c r="J143" s="0" t="inlineStr">
        <is>
          <t xml:space="preserve">SERVICE: cần triển khai giao dịch backend</t>
        </is>
      </c>
      <c r="K143" s="0" t="inlineStr">
        <is>
          <t xml:space="preserve">name: string (tùy chọn) — 1–100 ký tự; duy nhất trong nhà.
unit: string (tùy chọn) — 1–30 ký tự, đơn vị tính tại nhà.
unitPrice: money (tùy chọn) — Ánh xạ default_unit_price; không âm.
calculationMethod: enum (tùy chọn) — Ánh xạ default_calculation_method; METERED / PER_PERSON / PER_ROOM.
active: boolean (tùy chọn) — Ánh xạ is_active; bật/ngừng áp dụng.</t>
        </is>
      </c>
      <c r="L143" s="0" t="inlineStr">
        <is>
          <t xml:space="preserve">HouseService</t>
        </is>
      </c>
      <c r="M143" s="0" t="inlineStr">
        <is>
          <t xml:space="preserve">house_service thuộc đúng nhà; không đổi serviceId sang danh mục khác nếu đã có tham chiếu.</t>
        </is>
      </c>
      <c r="N143" s="0" t="inlineStr">
        <is>
          <t xml:space="preserve">400 BAD_REQUEST
401 UNAUTHENTICATED
403 FORBIDDEN
404 RESOURCE_NOT_FOUND
409 STATE_CONFLICT
409 IDEMPOTENCY_KEY_REUSED
422 VALIDATION_ERROR
409 SERVICE_NAME_EXISTS
422 CROSS_HOUSE_SERVICE
422 SERVICE_PRICE_INVALID</t>
        </is>
      </c>
      <c r="O143" s="0" t="inlineStr">
        <is>
          <t xml:space="preserve"/>
        </is>
      </c>
      <c r="P143" s="0" t="inlineStr">
        <is>
          <t xml:space="preserve">Chưa làm</t>
        </is>
      </c>
      <c r="Q143" s="0" t="inlineStr">
        <is>
          <t xml:space="preserve">Chưa</t>
        </is>
      </c>
      <c r="R143" s="0" t="inlineStr">
        <is>
          <t xml:space="preserve">Chưa</t>
        </is>
      </c>
      <c r="S143" s="0" t="inlineStr">
        <is>
          <t xml:space="preserve">Chưa</t>
        </is>
      </c>
      <c r="T143" s="0" t="inlineStr">
        <is>
          <t xml:space="preserve">Chưa</t>
        </is>
      </c>
      <c r="U143" s="0" t="inlineStr">
        <is>
          <t xml:space="preserve">Chưa</t>
        </is>
      </c>
      <c r="V143" s="0" t="inlineStr">
        <is>
          <t xml:space="preserve">Chưa</t>
        </is>
      </c>
      <c r="W143" s="0" t="inlineStr">
        <is>
          <t xml:space="preserve">Chưa</t>
        </is>
      </c>
      <c r="X143" s="0" t="inlineStr">
        <is>
          <t xml:space="preserve">Chưa</t>
        </is>
      </c>
      <c r="Y143" s="3">
        <f>COUNTIF(Q143:X143,"Xong")/8</f>
        <v>0</v>
      </c>
      <c r="Z143" s="4" t="inlineStr">
        <is>
          <t xml:space="preserve"/>
        </is>
      </c>
      <c r="AA143" s="4" t="inlineStr">
        <is>
          <t xml:space="preserve"/>
        </is>
      </c>
      <c r="AB143" s="4" t="inlineStr">
        <is>
          <t xml:space="preserve"/>
        </is>
      </c>
      <c r="AC143" s="0" t="inlineStr">
        <is>
          <t xml:space="preserve"/>
        </is>
      </c>
      <c r="AD143" s="0" t="inlineStr">
        <is>
          <t xml:space="preserve">Happy path: Sửa/bật/ngừng dịch vụ nhà; kiểm tra HouseService.
Thiếu phiên/phiên revoked/actor LOCKED và actor khác chủ hoặc khác participant phải bị chặn.
Ràng buộc: Tách danh mục rental_services, cấu hình house_services và gán room_services; FK bảo đảm dịch vụ/phòng đúng nhà.
Gửi lặp cùng khóa trả kết quả cũ; cùng khóa khác payload trả 409; hai request tranh cùng tài nguyên không vượt hạn mức.
Kiểm tra lỗi DB/provider không để lại cập nhật dở hoặc trả thành công giả.</t>
        </is>
      </c>
      <c r="AE143" s="0" t="inlineStr">
        <is>
          <t xml:space="preserve"/>
        </is>
      </c>
      <c r="AF143" s="5" t="inlineStr">
        <is>
          <t xml:space="preserve">Mở đặc tả</t>
        </is>
      </c>
    </row>
    <row r="144" ht="70" customHeight="1">
      <c r="A144" s="2" t="inlineStr">
        <is>
          <t xml:space="preserve">API-143</t>
        </is>
      </c>
      <c r="B144" s="2" t="inlineStr">
        <is>
          <t xml:space="preserve">Dịch vụ &amp; hóa đơn</t>
        </is>
      </c>
      <c r="C144" s="2" t="inlineStr">
        <is>
          <t xml:space="preserve">services</t>
        </is>
      </c>
      <c r="D144" s="2" t="inlineStr">
        <is>
          <t xml:space="preserve">PUT</t>
        </is>
      </c>
      <c r="E144" s="2" t="inlineStr">
        <is>
          <t xml:space="preserve">/api/v1/rooms/{roomId}/service-settings/{houseServiceId}</t>
        </is>
      </c>
      <c r="F144" s="2" t="inlineStr">
        <is>
          <t xml:space="preserve">Gán hoặc đổi giá dịch vụ tại phòng</t>
        </is>
      </c>
      <c r="G144" s="2" t="inlineStr">
        <is>
          <t xml:space="preserve">LANDLORD: sở hữu nhà/phòng/hợp đồng</t>
        </is>
      </c>
      <c r="H144" s="2" t="inlineStr">
        <is>
          <t xml:space="preserve">P1</t>
        </is>
      </c>
      <c r="I144" s="2" t="inlineStr">
        <is>
          <t xml:space="preserve">Middleware auth/session/role + object scope
D09: idempotency store nếu chưa có khóa tự nhiên</t>
        </is>
      </c>
      <c r="J144" s="2" t="inlineStr">
        <is>
          <t xml:space="preserve">SERVICE: cần triển khai giao dịch backend</t>
        </is>
      </c>
      <c r="K144" s="2" t="inlineStr">
        <is>
          <t xml:space="preserve">active: boolean (bắt buộc) — Bật ở cả nhà/phòng mới có hiệu lực.
unitPriceOverride: money|null (bắt buộc) — null kế thừa, 0 giữ giá 0.
calculationMethodOverride: enum|null (bắt buộc) — null kế thừa; hoặc METERED/PER_PERSON/PER_ROOM.</t>
        </is>
      </c>
      <c r="L144" s="2" t="inlineStr">
        <is>
          <t xml:space="preserve">RoomService và effectiveUnitPrice</t>
        </is>
      </c>
      <c r="M144" s="2" t="inlineStr">
        <is>
          <t xml:space="preserve">Kiểm tra house_service đúng house của room bằng FK; upsert room+houseService, không dùng || khi chọn giá.</t>
        </is>
      </c>
      <c r="N144" s="2" t="inlineStr">
        <is>
          <t xml:space="preserve">400 BAD_REQUEST
401 UNAUTHENTICATED
403 FORBIDDEN
404 RESOURCE_NOT_FOUND
409 STATE_CONFLICT
409 IDEMPOTENCY_KEY_REUSED
422 VALIDATION_ERROR
409 SERVICE_NAME_EXISTS
422 CROSS_HOUSE_SERVICE
422 SERVICE_PRICE_INVALID</t>
        </is>
      </c>
      <c r="O144" s="2" t="inlineStr">
        <is>
          <t xml:space="preserve"/>
        </is>
      </c>
      <c r="P144" s="2" t="inlineStr">
        <is>
          <t xml:space="preserve">Chưa làm</t>
        </is>
      </c>
      <c r="Q144" s="2" t="inlineStr">
        <is>
          <t xml:space="preserve">Chưa</t>
        </is>
      </c>
      <c r="R144" s="2" t="inlineStr">
        <is>
          <t xml:space="preserve">Chưa</t>
        </is>
      </c>
      <c r="S144" s="2" t="inlineStr">
        <is>
          <t xml:space="preserve">Chưa</t>
        </is>
      </c>
      <c r="T144" s="2" t="inlineStr">
        <is>
          <t xml:space="preserve">Chưa</t>
        </is>
      </c>
      <c r="U144" s="2" t="inlineStr">
        <is>
          <t xml:space="preserve">Chưa</t>
        </is>
      </c>
      <c r="V144" s="2" t="inlineStr">
        <is>
          <t xml:space="preserve">Chưa</t>
        </is>
      </c>
      <c r="W144" s="2" t="inlineStr">
        <is>
          <t xml:space="preserve">Chưa</t>
        </is>
      </c>
      <c r="X144" s="2" t="inlineStr">
        <is>
          <t xml:space="preserve">Chưa</t>
        </is>
      </c>
      <c r="Y144" s="3">
        <f>COUNTIF(Q144:X144,"Xong")/8</f>
        <v>0</v>
      </c>
      <c r="Z144" s="4" t="inlineStr">
        <is>
          <t xml:space="preserve"/>
        </is>
      </c>
      <c r="AA144" s="4" t="inlineStr">
        <is>
          <t xml:space="preserve"/>
        </is>
      </c>
      <c r="AB144" s="4" t="inlineStr">
        <is>
          <t xml:space="preserve"/>
        </is>
      </c>
      <c r="AC144" s="2" t="inlineStr">
        <is>
          <t xml:space="preserve"/>
        </is>
      </c>
      <c r="AD144" s="2" t="inlineStr">
        <is>
          <t xml:space="preserve">Happy path: Gán hoặc đổi giá dịch vụ tại phòng; kiểm tra RoomService và effectiveUnitPrice.
Thiếu phiên/phiên revoked/actor LOCKED và actor khác chủ hoặc khác participant phải bị chặn.
Ràng buộc: Tách danh mục rental_services, cấu hình house_services và gán room_services; FK bảo đảm dịch vụ/phòng đúng nhà.
Gửi lặp cùng khóa trả kết quả cũ; cùng khóa khác payload trả 409; hai request tranh cùng tài nguyên không vượt hạn mức.
Kiểm tra lỗi DB/provider không để lại cập nhật dở hoặc trả thành công giả.</t>
        </is>
      </c>
      <c r="AE144" s="2" t="inlineStr">
        <is>
          <t xml:space="preserve"/>
        </is>
      </c>
      <c r="AF144" s="5" t="inlineStr">
        <is>
          <t xml:space="preserve">Mở đặc tả</t>
        </is>
      </c>
    </row>
    <row r="145" ht="70" customHeight="1">
      <c r="A145" s="0" t="inlineStr">
        <is>
          <t xml:space="preserve">API-144</t>
        </is>
      </c>
      <c r="B145" s="0" t="inlineStr">
        <is>
          <t xml:space="preserve">Dịch vụ &amp; hóa đơn</t>
        </is>
      </c>
      <c r="C145" s="0" t="inlineStr">
        <is>
          <t xml:space="preserve">services</t>
        </is>
      </c>
      <c r="D145" s="0" t="inlineStr">
        <is>
          <t xml:space="preserve">GET</t>
        </is>
      </c>
      <c r="E145" s="0" t="inlineStr">
        <is>
          <t xml:space="preserve">/api/v1/rooms/{roomId}/service-settings</t>
        </is>
      </c>
      <c r="F145" s="0" t="inlineStr">
        <is>
          <t xml:space="preserve">Cấu hình dịch vụ phòng để quản lý</t>
        </is>
      </c>
      <c r="G145" s="0" t="inlineStr">
        <is>
          <t xml:space="preserve">LANDLORD: sở hữu nhà/phòng/hợp đồng</t>
        </is>
      </c>
      <c r="H145" s="0" t="inlineStr">
        <is>
          <t xml:space="preserve">P1</t>
        </is>
      </c>
      <c r="I145" s="0" t="inlineStr">
        <is>
          <t xml:space="preserve">Middleware auth/session/role + object scope</t>
        </is>
      </c>
      <c r="J145" s="0" t="inlineStr">
        <is>
          <t xml:space="preserve">READ: truy vấn có scope quyền</t>
        </is>
      </c>
      <c r="K145" s="0" t="inlineStr">
        <is>
          <t xml:space="preserve">Không có JSON body</t>
        </is>
      </c>
      <c r="L145" s="0" t="inlineStr">
        <is>
          <t xml:space="preserve">RoomService[] gồm active/inactive/override và giá kế thừa</t>
        </is>
      </c>
      <c r="M145" s="0" t="inlineStr">
        <is>
          <t xml:space="preserve">Khác route services công khai chỉ trả dịch vụ hiệu lực; dùng để bật lại cấu hình ngừng.</t>
        </is>
      </c>
      <c r="N145" s="0" t="inlineStr">
        <is>
          <t xml:space="preserve">400 BAD_REQUEST
401 UNAUTHENTICATED
403 FORBIDDEN
404 RESOURCE_NOT_FOUND
422 VALIDATION_ERROR</t>
        </is>
      </c>
      <c r="O145" s="0" t="inlineStr">
        <is>
          <t xml:space="preserve"/>
        </is>
      </c>
      <c r="P145" s="0" t="inlineStr">
        <is>
          <t xml:space="preserve">Chưa làm</t>
        </is>
      </c>
      <c r="Q145" s="0" t="inlineStr">
        <is>
          <t xml:space="preserve">Chưa</t>
        </is>
      </c>
      <c r="R145" s="0" t="inlineStr">
        <is>
          <t xml:space="preserve">Chưa</t>
        </is>
      </c>
      <c r="S145" s="0" t="inlineStr">
        <is>
          <t xml:space="preserve">Chưa</t>
        </is>
      </c>
      <c r="T145" s="0" t="inlineStr">
        <is>
          <t xml:space="preserve">Chưa</t>
        </is>
      </c>
      <c r="U145" s="0" t="inlineStr">
        <is>
          <t xml:space="preserve">Chưa</t>
        </is>
      </c>
      <c r="V145" s="0" t="inlineStr">
        <is>
          <t xml:space="preserve">Chưa</t>
        </is>
      </c>
      <c r="W145" s="0" t="inlineStr">
        <is>
          <t xml:space="preserve">Chưa</t>
        </is>
      </c>
      <c r="X145" s="0" t="inlineStr">
        <is>
          <t xml:space="preserve">Chưa</t>
        </is>
      </c>
      <c r="Y145" s="3">
        <f>COUNTIF(Q145:X145,"Xong")/8</f>
        <v>0</v>
      </c>
      <c r="Z145" s="4" t="inlineStr">
        <is>
          <t xml:space="preserve"/>
        </is>
      </c>
      <c r="AA145" s="4" t="inlineStr">
        <is>
          <t xml:space="preserve"/>
        </is>
      </c>
      <c r="AB145" s="4" t="inlineStr">
        <is>
          <t xml:space="preserve"/>
        </is>
      </c>
      <c r="AC145" s="0" t="inlineStr">
        <is>
          <t xml:space="preserve"/>
        </is>
      </c>
      <c r="AD145" s="0" t="inlineStr">
        <is>
          <t xml:space="preserve">Happy path: Cấu hình dịch vụ phòng để quản lý; kiểm tra RoomService[] gồm active/inactive/override và giá kế thừa.
Thiếu phiên/phiên revoked/actor LOCKED và actor khác chủ hoặc khác participant phải bị chặn.
Ràng buộc: Tách danh mục rental_services, cấu hình house_services và gán room_services; FK bảo đảm dịch vụ/phòng đúng nhà.
Phân trang/lọc đúng scope; dữ liệu riêng tư bị loại trên server, không chỉ ẩn UI.
Kiểm tra lỗi DB/provider không để lại cập nhật dở hoặc trả thành công giả.</t>
        </is>
      </c>
      <c r="AE145" s="0" t="inlineStr">
        <is>
          <t xml:space="preserve"/>
        </is>
      </c>
      <c r="AF145" s="5" t="inlineStr">
        <is>
          <t xml:space="preserve">Mở đặc tả</t>
        </is>
      </c>
    </row>
    <row r="146" ht="70" customHeight="1">
      <c r="A146" s="2" t="inlineStr">
        <is>
          <t xml:space="preserve">API-145</t>
        </is>
      </c>
      <c r="B146" s="2" t="inlineStr">
        <is>
          <t xml:space="preserve">Dịch vụ &amp; hóa đơn</t>
        </is>
      </c>
      <c r="C146" s="2" t="inlineStr">
        <is>
          <t xml:space="preserve">bill</t>
        </is>
      </c>
      <c r="D146" s="2" t="inlineStr">
        <is>
          <t xml:space="preserve">GET</t>
        </is>
      </c>
      <c r="E146" s="2" t="inlineStr">
        <is>
          <t xml:space="preserve">/api/v1/invoices</t>
        </is>
      </c>
      <c r="F146" s="2" t="inlineStr">
        <is>
          <t xml:space="preserve">Danh sách hóa đơn được xem</t>
        </is>
      </c>
      <c r="G146" s="2" t="inlineStr">
        <is>
          <t xml:space="preserve">TENANT: chỉ chính người thuê và tài nguyên được phép hoặc LANDLORD: sở hữu nhà/phòng/hợp đồng</t>
        </is>
      </c>
      <c r="H146" s="2" t="inlineStr">
        <is>
          <t xml:space="preserve">P1</t>
        </is>
      </c>
      <c r="I146" s="2" t="inlineStr">
        <is>
          <t xml:space="preserve">Middleware auth/session/role + object scope</t>
        </is>
      </c>
      <c r="J146" s="2" t="inlineStr">
        <is>
          <t xml:space="preserve">READ: truy vấn có scope quyền</t>
        </is>
      </c>
      <c r="K146" s="2" t="inlineStr">
        <is>
          <t xml:space="preserve">Không có JSON body</t>
        </is>
      </c>
      <c r="L146" s="2" t="inlineStr">
        <is>
          <t xml:space="preserve">Invoice[] {id,period,status,payer,total,dueDate}</t>
        </is>
      </c>
      <c r="M146" s="2" t="inlineStr">
        <is>
          <t xml:space="preserve">Owner theo landlord; tenant theo payer/participant có quyền. Người trả cũ vẫn được xem sau bàn giao; không chỉ lọc current representative.</t>
        </is>
      </c>
      <c r="N146" s="2" t="inlineStr">
        <is>
          <t xml:space="preserve">400 BAD_REQUEST
401 UNAUTHENTICATED
403 FORBIDDEN
404 RESOURCE_NOT_FOUND
422 VALIDATION_ERROR</t>
        </is>
      </c>
      <c r="O146" s="2" t="inlineStr">
        <is>
          <t xml:space="preserve"/>
        </is>
      </c>
      <c r="P146" s="2" t="inlineStr">
        <is>
          <t xml:space="preserve">Chưa làm</t>
        </is>
      </c>
      <c r="Q146" s="2" t="inlineStr">
        <is>
          <t xml:space="preserve">Chưa</t>
        </is>
      </c>
      <c r="R146" s="2" t="inlineStr">
        <is>
          <t xml:space="preserve">Chưa</t>
        </is>
      </c>
      <c r="S146" s="2" t="inlineStr">
        <is>
          <t xml:space="preserve">Chưa</t>
        </is>
      </c>
      <c r="T146" s="2" t="inlineStr">
        <is>
          <t xml:space="preserve">Chưa</t>
        </is>
      </c>
      <c r="U146" s="2" t="inlineStr">
        <is>
          <t xml:space="preserve">Chưa</t>
        </is>
      </c>
      <c r="V146" s="2" t="inlineStr">
        <is>
          <t xml:space="preserve">Chưa</t>
        </is>
      </c>
      <c r="W146" s="2" t="inlineStr">
        <is>
          <t xml:space="preserve">Chưa</t>
        </is>
      </c>
      <c r="X146" s="2" t="inlineStr">
        <is>
          <t xml:space="preserve">Chưa</t>
        </is>
      </c>
      <c r="Y146" s="3">
        <f>COUNTIF(Q146:X146,"Xong")/8</f>
        <v>0</v>
      </c>
      <c r="Z146" s="4" t="inlineStr">
        <is>
          <t xml:space="preserve"/>
        </is>
      </c>
      <c r="AA146" s="4" t="inlineStr">
        <is>
          <t xml:space="preserve"/>
        </is>
      </c>
      <c r="AB146" s="4" t="inlineStr">
        <is>
          <t xml:space="preserve"/>
        </is>
      </c>
      <c r="AC146" s="2" t="inlineStr">
        <is>
          <t xml:space="preserve"/>
        </is>
      </c>
      <c r="AD146" s="2" t="inlineStr">
        <is>
          <t xml:space="preserve">Happy path: Danh sách hóa đơn được xem; kiểm tra Invoice[] {id,period,status,payer,total,dueDate}.
Thiếu phiên/phiên revoked/actor LOCKED và actor khác chủ hoặc khác participant phải bị chặn.
Ràng buộc: Mỗi contract_id + billing_period chỉ có một hóa đơn chưa CANCELLED; kỳ là ngày đầu tháng.
Phân trang/lọc đúng scope; dữ liệu riêng tư bị loại trên server, không chỉ ẩn UI.
Kiểm tra lỗi DB/provider không để lại cập nhật dở hoặc trả thành công giả.</t>
        </is>
      </c>
      <c r="AE146" s="2" t="inlineStr">
        <is>
          <t xml:space="preserve"/>
        </is>
      </c>
      <c r="AF146" s="5" t="inlineStr">
        <is>
          <t xml:space="preserve">Mở đặc tả</t>
        </is>
      </c>
    </row>
    <row r="147" ht="70" customHeight="1">
      <c r="A147" s="0" t="inlineStr">
        <is>
          <t xml:space="preserve">API-146</t>
        </is>
      </c>
      <c r="B147" s="0" t="inlineStr">
        <is>
          <t xml:space="preserve">Dịch vụ &amp; hóa đơn</t>
        </is>
      </c>
      <c r="C147" s="0" t="inlineStr">
        <is>
          <t xml:space="preserve">bill</t>
        </is>
      </c>
      <c r="D147" s="0" t="inlineStr">
        <is>
          <t xml:space="preserve">GET</t>
        </is>
      </c>
      <c r="E147" s="0" t="inlineStr">
        <is>
          <t xml:space="preserve">/api/v1/invoices/{invoiceId}</t>
        </is>
      </c>
      <c r="F147" s="0" t="inlineStr">
        <is>
          <t xml:space="preserve">Chi tiết dòng tiền và người trả tại kỳ lập</t>
        </is>
      </c>
      <c r="G147" s="0" t="inlineStr">
        <is>
          <t xml:space="preserve">TENANT: chỉ chính người thuê và tài nguyên được phép hoặc LANDLORD: sở hữu nhà/phòng/hợp đồng</t>
        </is>
      </c>
      <c r="H147" s="0" t="inlineStr">
        <is>
          <t xml:space="preserve">P1</t>
        </is>
      </c>
      <c r="I147" s="0" t="inlineStr">
        <is>
          <t xml:space="preserve">Middleware auth/session/role + object scope</t>
        </is>
      </c>
      <c r="J147" s="0" t="inlineStr">
        <is>
          <t xml:space="preserve">READ: truy vấn có scope quyền</t>
        </is>
      </c>
      <c r="K147" s="0" t="inlineStr">
        <is>
          <t xml:space="preserve">Không có JSON body</t>
        </is>
      </c>
      <c r="L147" s="0" t="inlineStr">
        <is>
          <t xml:space="preserve">Invoice,items[],total,contractRevisionSnapshot</t>
        </is>
      </c>
      <c r="M147" s="0" t="inlineStr">
        <is>
          <t xml:space="preserve">Đọc snapshot đơn giá/phương pháp/số người; không tính lại hóa đơn lịch sử theo giá hiện tại.</t>
        </is>
      </c>
      <c r="N147" s="0" t="inlineStr">
        <is>
          <t xml:space="preserve">400 BAD_REQUEST
401 UNAUTHENTICATED
403 FORBIDDEN
404 RESOURCE_NOT_FOUND</t>
        </is>
      </c>
      <c r="O147" s="0" t="inlineStr">
        <is>
          <t xml:space="preserve"/>
        </is>
      </c>
      <c r="P147" s="0" t="inlineStr">
        <is>
          <t xml:space="preserve">Chưa làm</t>
        </is>
      </c>
      <c r="Q147" s="0" t="inlineStr">
        <is>
          <t xml:space="preserve">Chưa</t>
        </is>
      </c>
      <c r="R147" s="0" t="inlineStr">
        <is>
          <t xml:space="preserve">Chưa</t>
        </is>
      </c>
      <c r="S147" s="0" t="inlineStr">
        <is>
          <t xml:space="preserve">Chưa</t>
        </is>
      </c>
      <c r="T147" s="0" t="inlineStr">
        <is>
          <t xml:space="preserve">Chưa</t>
        </is>
      </c>
      <c r="U147" s="0" t="inlineStr">
        <is>
          <t xml:space="preserve">Chưa</t>
        </is>
      </c>
      <c r="V147" s="0" t="inlineStr">
        <is>
          <t xml:space="preserve">Chưa</t>
        </is>
      </c>
      <c r="W147" s="0" t="inlineStr">
        <is>
          <t xml:space="preserve">Chưa</t>
        </is>
      </c>
      <c r="X147" s="0" t="inlineStr">
        <is>
          <t xml:space="preserve">Chưa</t>
        </is>
      </c>
      <c r="Y147" s="3">
        <f>COUNTIF(Q147:X147,"Xong")/8</f>
        <v>0</v>
      </c>
      <c r="Z147" s="4" t="inlineStr">
        <is>
          <t xml:space="preserve"/>
        </is>
      </c>
      <c r="AA147" s="4" t="inlineStr">
        <is>
          <t xml:space="preserve"/>
        </is>
      </c>
      <c r="AB147" s="4" t="inlineStr">
        <is>
          <t xml:space="preserve"/>
        </is>
      </c>
      <c r="AC147" s="0" t="inlineStr">
        <is>
          <t xml:space="preserve"/>
        </is>
      </c>
      <c r="AD147" s="0" t="inlineStr">
        <is>
          <t xml:space="preserve">Happy path: Chi tiết dòng tiền và người trả tại kỳ lập; kiểm tra Invoice,items[],total,contractRevisionSnapshot.
Thiếu phiên/phiên revoked/actor LOCKED và actor khác chủ hoặc khác participant phải bị chặn.
Ràng buộc: Mỗi contract_id + billing_period chỉ có một hóa đơn chưa CANCELLED; kỳ là ngày đầu tháng.
Phân trang/lọc đúng scope; dữ liệu riêng tư bị loại trên server, không chỉ ẩn UI.
Kiểm tra lỗi DB/provider không để lại cập nhật dở hoặc trả thành công giả.</t>
        </is>
      </c>
      <c r="AE147" s="0" t="inlineStr">
        <is>
          <t xml:space="preserve"/>
        </is>
      </c>
      <c r="AF147" s="5" t="inlineStr">
        <is>
          <t xml:space="preserve">Mở đặc tả</t>
        </is>
      </c>
    </row>
    <row r="148" ht="70" customHeight="1">
      <c r="A148" s="2" t="inlineStr">
        <is>
          <t xml:space="preserve">API-147</t>
        </is>
      </c>
      <c r="B148" s="2" t="inlineStr">
        <is>
          <t xml:space="preserve">Dịch vụ &amp; hóa đơn</t>
        </is>
      </c>
      <c r="C148" s="2" t="inlineStr">
        <is>
          <t xml:space="preserve">bill</t>
        </is>
      </c>
      <c r="D148" s="2" t="inlineStr">
        <is>
          <t xml:space="preserve">POST</t>
        </is>
      </c>
      <c r="E148" s="2" t="inlineStr">
        <is>
          <t xml:space="preserve">/api/v1/invoices</t>
        </is>
      </c>
      <c r="F148" s="2" t="inlineStr">
        <is>
          <t xml:space="preserve">Lập hóa đơn nháp theo kỳ</t>
        </is>
      </c>
      <c r="G148" s="2" t="inlineStr">
        <is>
          <t xml:space="preserve">LANDLORD: sở hữu nhà/phòng/hợp đồng</t>
        </is>
      </c>
      <c r="H148" s="2" t="inlineStr">
        <is>
          <t xml:space="preserve">P0</t>
        </is>
      </c>
      <c r="I148" s="2" t="inlineStr">
        <is>
          <t xml:space="preserve">Middleware auth/session/role + object scope
D09: idempotency store nếu chưa có khóa tự nhiên</t>
        </is>
      </c>
      <c r="J148" s="2" t="inlineStr">
        <is>
          <t xml:space="preserve">SERVICE: cần triển khai giao dịch backend</t>
        </is>
      </c>
      <c r="K148" s="2" t="inlineStr">
        <is>
          <t xml:space="preserve">contractId: id (bắt buộc) — Hợp đồng ACTIVE thuộc chủ trọ.
billingPeriod: date (bắt buộc) — Ngày đầu tháng, không trùng hóa đơn chưa CANCELLED.
dueDate: date (bắt buộc) — Không trước ngày phát hành theo chính sách đề xuất.
items: InvoiceInputItem[] (bắt buộc) — Có tiền thuê và các dòng dịch vụ/khoản khác; tổng không âm.</t>
        </is>
      </c>
      <c r="L148" s="2" t="inlineStr">
        <is>
          <t xml:space="preserve">Invoice {id,status:DRAFT,items,total,payerId}</t>
        </is>
      </c>
      <c r="M148" s="2" t="inlineStr">
        <is>
          <t xml:space="preserve">Khóa contract/kỳ; unique non-cancelled contract+period. Snapshot representative/revision/ACTIVE count; server tính quantity và ROUND(q×price,2), tổng RENT+SERVICE+OTHER−DISCOUNT≥0.</t>
        </is>
      </c>
      <c r="N148" s="2" t="inlineStr">
        <is>
          <t xml:space="preserve">400 BAD_REQUEST
401 UNAUTHENTICATED
403 FORBIDDEN
404 RESOURCE_NOT_FOUND
409 STATE_CONFLICT
409 IDEMPOTENCY_KEY_REUSED
422 VALIDATION_ERROR
409 INVOICE_PERIOD_EXISTS
409 INVOICE_IMMUTABLE
422 INVOICE_TOTAL_INVALID</t>
        </is>
      </c>
      <c r="O148" s="2" t="inlineStr">
        <is>
          <t xml:space="preserve"/>
        </is>
      </c>
      <c r="P148" s="2" t="inlineStr">
        <is>
          <t xml:space="preserve">Chưa làm</t>
        </is>
      </c>
      <c r="Q148" s="2" t="inlineStr">
        <is>
          <t xml:space="preserve">Chưa</t>
        </is>
      </c>
      <c r="R148" s="2" t="inlineStr">
        <is>
          <t xml:space="preserve">Chưa</t>
        </is>
      </c>
      <c r="S148" s="2" t="inlineStr">
        <is>
          <t xml:space="preserve">Chưa</t>
        </is>
      </c>
      <c r="T148" s="2" t="inlineStr">
        <is>
          <t xml:space="preserve">Chưa</t>
        </is>
      </c>
      <c r="U148" s="2" t="inlineStr">
        <is>
          <t xml:space="preserve">Chưa</t>
        </is>
      </c>
      <c r="V148" s="2" t="inlineStr">
        <is>
          <t xml:space="preserve">Chưa</t>
        </is>
      </c>
      <c r="W148" s="2" t="inlineStr">
        <is>
          <t xml:space="preserve">Chưa</t>
        </is>
      </c>
      <c r="X148" s="2" t="inlineStr">
        <is>
          <t xml:space="preserve">Chưa</t>
        </is>
      </c>
      <c r="Y148" s="3">
        <f>COUNTIF(Q148:X148,"Xong")/8</f>
        <v>0</v>
      </c>
      <c r="Z148" s="4" t="inlineStr">
        <is>
          <t xml:space="preserve"/>
        </is>
      </c>
      <c r="AA148" s="4" t="inlineStr">
        <is>
          <t xml:space="preserve"/>
        </is>
      </c>
      <c r="AB148" s="4" t="inlineStr">
        <is>
          <t xml:space="preserve"/>
        </is>
      </c>
      <c r="AC148" s="2" t="inlineStr">
        <is>
          <t xml:space="preserve"/>
        </is>
      </c>
      <c r="AD148" s="2" t="inlineStr">
        <is>
          <t xml:space="preserve">Happy path: Lập hóa đơn nháp theo kỳ; kiểm tra Invoice {id,status:DRAFT,items,total,payerId}.
Thiếu phiên/phiên revoked/actor LOCKED và actor khác chủ hoặc khác participant phải bị chặn.
Ràng buộc: Mỗi contract_id + billing_period chỉ có một hóa đơn chưa CANCELLED; kỳ là ngày đầu tháng.
Gửi lặp cùng khóa trả kết quả cũ; cùng khóa khác payload trả 409; hai request tranh cùng tài nguyên không vượt hạn mức.
Kiểm tra lỗi DB/provider không để lại cập nhật dở hoặc trả thành công giả.</t>
        </is>
      </c>
      <c r="AE148" s="2" t="inlineStr">
        <is>
          <t xml:space="preserve"/>
        </is>
      </c>
      <c r="AF148" s="5" t="inlineStr">
        <is>
          <t xml:space="preserve">Mở đặc tả</t>
        </is>
      </c>
    </row>
    <row r="149" ht="70" customHeight="1">
      <c r="A149" s="0" t="inlineStr">
        <is>
          <t xml:space="preserve">API-148</t>
        </is>
      </c>
      <c r="B149" s="0" t="inlineStr">
        <is>
          <t xml:space="preserve">Dịch vụ &amp; hóa đơn</t>
        </is>
      </c>
      <c r="C149" s="0" t="inlineStr">
        <is>
          <t xml:space="preserve">bill</t>
        </is>
      </c>
      <c r="D149" s="0" t="inlineStr">
        <is>
          <t xml:space="preserve">PATCH</t>
        </is>
      </c>
      <c r="E149" s="0" t="inlineStr">
        <is>
          <t xml:space="preserve">/api/v1/invoices/{invoiceId}</t>
        </is>
      </c>
      <c r="F149" s="0" t="inlineStr">
        <is>
          <t xml:space="preserve">Sửa toàn bộ nội dung hóa đơn nháp</t>
        </is>
      </c>
      <c r="G149" s="0" t="inlineStr">
        <is>
          <t xml:space="preserve">LANDLORD: sở hữu nhà/phòng/hợp đồng</t>
        </is>
      </c>
      <c r="H149" s="0" t="inlineStr">
        <is>
          <t xml:space="preserve">P1</t>
        </is>
      </c>
      <c r="I149" s="0" t="inlineStr">
        <is>
          <t xml:space="preserve">Middleware auth/session/role + object scope
D09: idempotency store nếu chưa có khóa tự nhiên
D15: kiểm tra version trong khóa</t>
        </is>
      </c>
      <c r="J149" s="0" t="inlineStr">
        <is>
          <t xml:space="preserve">SERVICE: cần triển khai giao dịch backend</t>
        </is>
      </c>
      <c r="K149" s="0" t="inlineStr">
        <is>
          <t xml:space="preserve">dueDate: date (tùy chọn) — Không trước ngày phát hành theo chính sách đề xuất.
items: InvoiceInputItem[] (tùy chọn) — Có tiền thuê và các dòng dịch vụ/khoản khác; tổng không âm.</t>
        </is>
      </c>
      <c r="L149" s="0" t="inlineStr">
        <is>
          <t xml:space="preserve">Invoice {id,status:DRAFT,items,total}</t>
        </is>
      </c>
      <c r="M149" s="0" t="inlineStr">
        <is>
          <t xml:space="preserve">Chỉ DRAFT; contractId/billingPeriod giữ cố định (đổi kỳ tạo mới). Khóa invoice, thay dòng atomically; validate METERED/PER_PERSON/PER_ROOM và current service.</t>
        </is>
      </c>
      <c r="N149" s="0" t="inlineStr">
        <is>
          <t xml:space="preserve">400 BAD_REQUEST
401 UNAUTHENTICATED
403 FORBIDDEN
404 RESOURCE_NOT_FOUND
409 STATE_CONFLICT
409 IDEMPOTENCY_KEY_REUSED
422 VALIDATION_ERROR
409 INVOICE_PERIOD_EXISTS
409 INVOICE_IMMUTABLE
422 INVOICE_TOTAL_INVALID</t>
        </is>
      </c>
      <c r="O149" s="0" t="inlineStr">
        <is>
          <t xml:space="preserve"/>
        </is>
      </c>
      <c r="P149" s="0" t="inlineStr">
        <is>
          <t xml:space="preserve">Chưa làm</t>
        </is>
      </c>
      <c r="Q149" s="0" t="inlineStr">
        <is>
          <t xml:space="preserve">Chưa</t>
        </is>
      </c>
      <c r="R149" s="0" t="inlineStr">
        <is>
          <t xml:space="preserve">Chưa</t>
        </is>
      </c>
      <c r="S149" s="0" t="inlineStr">
        <is>
          <t xml:space="preserve">Chưa</t>
        </is>
      </c>
      <c r="T149" s="0" t="inlineStr">
        <is>
          <t xml:space="preserve">Chưa</t>
        </is>
      </c>
      <c r="U149" s="0" t="inlineStr">
        <is>
          <t xml:space="preserve">Chưa</t>
        </is>
      </c>
      <c r="V149" s="0" t="inlineStr">
        <is>
          <t xml:space="preserve">Chưa</t>
        </is>
      </c>
      <c r="W149" s="0" t="inlineStr">
        <is>
          <t xml:space="preserve">Chưa</t>
        </is>
      </c>
      <c r="X149" s="0" t="inlineStr">
        <is>
          <t xml:space="preserve">Chưa</t>
        </is>
      </c>
      <c r="Y149" s="3">
        <f>COUNTIF(Q149:X149,"Xong")/8</f>
        <v>0</v>
      </c>
      <c r="Z149" s="4" t="inlineStr">
        <is>
          <t xml:space="preserve"/>
        </is>
      </c>
      <c r="AA149" s="4" t="inlineStr">
        <is>
          <t xml:space="preserve"/>
        </is>
      </c>
      <c r="AB149" s="4" t="inlineStr">
        <is>
          <t xml:space="preserve"/>
        </is>
      </c>
      <c r="AC149" s="0" t="inlineStr">
        <is>
          <t xml:space="preserve"/>
        </is>
      </c>
      <c r="AD149" s="0" t="inlineStr">
        <is>
          <t xml:space="preserve">Happy path: Sửa toàn bộ nội dung hóa đơn nháp; kiểm tra Invoice {id,status:DRAFT,items,total}.
Thiếu phiên/phiên revoked/actor LOCKED và actor khác chủ hoặc khác participant phải bị chặn.
Ràng buộc: Mỗi contract_id + billing_period chỉ có một hóa đơn chưa CANCELLED; kỳ là ngày đầu tháng.
Gửi lặp cùng khóa trả kết quả cũ; cùng khóa khác payload trả 409; hai request tranh cùng tài nguyên không vượt hạn mức.
Kiểm tra lỗi DB/provider không để lại cập nhật dở hoặc trả thành công giả.</t>
        </is>
      </c>
      <c r="AE149" s="0" t="inlineStr">
        <is>
          <t xml:space="preserve"/>
        </is>
      </c>
      <c r="AF149" s="5" t="inlineStr">
        <is>
          <t xml:space="preserve">Mở đặc tả</t>
        </is>
      </c>
    </row>
    <row r="150" ht="70" customHeight="1">
      <c r="A150" s="2" t="inlineStr">
        <is>
          <t xml:space="preserve">API-149</t>
        </is>
      </c>
      <c r="B150" s="2" t="inlineStr">
        <is>
          <t xml:space="preserve">Dịch vụ &amp; hóa đơn</t>
        </is>
      </c>
      <c r="C150" s="2" t="inlineStr">
        <is>
          <t xml:space="preserve">pay-invoice</t>
        </is>
      </c>
      <c r="D150" s="2" t="inlineStr">
        <is>
          <t xml:space="preserve">POST</t>
        </is>
      </c>
      <c r="E150" s="2" t="inlineStr">
        <is>
          <t xml:space="preserve">/api/v1/invoices/{invoiceId}/issue</t>
        </is>
      </c>
      <c r="F150" s="2" t="inlineStr">
        <is>
          <t xml:space="preserve">Phát hành hóa đơn có dòng tiền</t>
        </is>
      </c>
      <c r="G150" s="2" t="inlineStr">
        <is>
          <t xml:space="preserve">LANDLORD: sở hữu nhà/phòng/hợp đồng</t>
        </is>
      </c>
      <c r="H150" s="2" t="inlineStr">
        <is>
          <t xml:space="preserve">P1</t>
        </is>
      </c>
      <c r="I150" s="2" t="inlineStr">
        <is>
          <t xml:space="preserve">Middleware auth/session/role + object scope
D09: idempotency store nếu chưa có khóa tự nhiên</t>
        </is>
      </c>
      <c r="J150" s="2" t="inlineStr">
        <is>
          <t xml:space="preserve">SERVICE: cần triển khai giao dịch backend</t>
        </is>
      </c>
      <c r="K150" s="2" t="inlineStr">
        <is>
          <t xml:space="preserve">Không có JSON body</t>
        </is>
      </c>
      <c r="L150" s="2" t="inlineStr">
        <is>
          <t xml:space="preserve">Invoice {id,status:UNPAID,updatedAt}</t>
        </is>
      </c>
      <c r="M150" s="2" t="inlineStr">
        <is>
          <t xml:space="preserve">Chỉ DRAFT có items và total≥0; chốt snapshot, khóa lines chống chỉnh sau phát hành, thông báo payer. SQL chưa có issued_at riêng: không giả đã lưu vĩnh viễn timestamp phát hành.</t>
        </is>
      </c>
      <c r="N150" s="2" t="inlineStr">
        <is>
          <t xml:space="preserve">400 BAD_REQUEST
401 UNAUTHENTICATED
403 FORBIDDEN
404 RESOURCE_NOT_FOUND
409 STATE_CONFLICT
409 IDEMPOTENCY_KEY_REUSED
422 VALIDATION_ERROR
409 INVOICE_STATE_CHANGED
409 INVOICE_PERIOD_EXISTS
422 INVOICE_TOTAL_INVALID</t>
        </is>
      </c>
      <c r="O150" s="2" t="inlineStr">
        <is>
          <t xml:space="preserve"/>
        </is>
      </c>
      <c r="P150" s="2" t="inlineStr">
        <is>
          <t xml:space="preserve">Chưa làm</t>
        </is>
      </c>
      <c r="Q150" s="2" t="inlineStr">
        <is>
          <t xml:space="preserve">Chưa</t>
        </is>
      </c>
      <c r="R150" s="2" t="inlineStr">
        <is>
          <t xml:space="preserve">Chưa</t>
        </is>
      </c>
      <c r="S150" s="2" t="inlineStr">
        <is>
          <t xml:space="preserve">Chưa</t>
        </is>
      </c>
      <c r="T150" s="2" t="inlineStr">
        <is>
          <t xml:space="preserve">Chưa</t>
        </is>
      </c>
      <c r="U150" s="2" t="inlineStr">
        <is>
          <t xml:space="preserve">Chưa</t>
        </is>
      </c>
      <c r="V150" s="2" t="inlineStr">
        <is>
          <t xml:space="preserve">Chưa</t>
        </is>
      </c>
      <c r="W150" s="2" t="inlineStr">
        <is>
          <t xml:space="preserve">Chưa</t>
        </is>
      </c>
      <c r="X150" s="2" t="inlineStr">
        <is>
          <t xml:space="preserve">Chưa</t>
        </is>
      </c>
      <c r="Y150" s="3">
        <f>COUNTIF(Q150:X150,"Xong")/8</f>
        <v>0</v>
      </c>
      <c r="Z150" s="4" t="inlineStr">
        <is>
          <t xml:space="preserve"/>
        </is>
      </c>
      <c r="AA150" s="4" t="inlineStr">
        <is>
          <t xml:space="preserve"/>
        </is>
      </c>
      <c r="AB150" s="4" t="inlineStr">
        <is>
          <t xml:space="preserve"/>
        </is>
      </c>
      <c r="AC150" s="2" t="inlineStr">
        <is>
          <t xml:space="preserve"/>
        </is>
      </c>
      <c r="AD150" s="2" t="inlineStr">
        <is>
          <t xml:space="preserve">Happy path: Phát hành hóa đơn có dòng tiền; kiểm tra Invoice {id,status:UNPAID,updatedAt}.
Thiếu phiên/phiên revoked/actor LOCKED và actor khác chủ hoặc khác participant phải bị chặn.
Ràng buộc: PAID cần paid_by_id và paid_at; CANCELLED cần người/thời điểm/lý do. Hóa đơn thay thế phải cùng hợp đồng/kỳ theo FK.
Gửi lặp cùng khóa trả kết quả cũ; cùng khóa khác payload trả 409; hai request tranh cùng tài nguyên không vượt hạn mức.
Kiểm tra lỗi DB/provider không để lại cập nhật dở hoặc trả thành công giả.</t>
        </is>
      </c>
      <c r="AE150" s="2" t="inlineStr">
        <is>
          <t xml:space="preserve"/>
        </is>
      </c>
      <c r="AF150" s="5" t="inlineStr">
        <is>
          <t xml:space="preserve">Mở đặc tả</t>
        </is>
      </c>
    </row>
    <row r="151" ht="70" customHeight="1">
      <c r="A151" s="0" t="inlineStr">
        <is>
          <t xml:space="preserve">API-150</t>
        </is>
      </c>
      <c r="B151" s="0" t="inlineStr">
        <is>
          <t xml:space="preserve">Dịch vụ &amp; hóa đơn</t>
        </is>
      </c>
      <c r="C151" s="0" t="inlineStr">
        <is>
          <t xml:space="preserve">pay-invoice</t>
        </is>
      </c>
      <c r="D151" s="0" t="inlineStr">
        <is>
          <t xml:space="preserve">POST</t>
        </is>
      </c>
      <c r="E151" s="0" t="inlineStr">
        <is>
          <t xml:space="preserve">/api/v1/invoices/{invoiceId}/payment-confirmation</t>
        </is>
      </c>
      <c r="F151" s="0" t="inlineStr">
        <is>
          <t xml:space="preserve">Ghi nhận chủ trọ đã thu đủ</t>
        </is>
      </c>
      <c r="G151" s="0" t="inlineStr">
        <is>
          <t xml:space="preserve">LANDLORD: sở hữu nhà/phòng/hợp đồng</t>
        </is>
      </c>
      <c r="H151" s="0" t="inlineStr">
        <is>
          <t xml:space="preserve">P1</t>
        </is>
      </c>
      <c r="I151" s="0" t="inlineStr">
        <is>
          <t xml:space="preserve">Middleware auth/session/role + object scope
D09: idempotency store nếu chưa có khóa tự nhiên
D12</t>
        </is>
      </c>
      <c r="J151" s="0" t="inlineStr">
        <is>
          <t xml:space="preserve">SERVICE: cần triển khai giao dịch backend</t>
        </is>
      </c>
      <c r="K151" s="0" t="inlineStr">
        <is>
          <t xml:space="preserve">Không có JSON body</t>
        </is>
      </c>
      <c r="L151" s="0" t="inlineStr">
        <is>
          <t xml:space="preserve">Invoice {id,status:PAID,paidAt,paidById}</t>
        </is>
      </c>
      <c r="M151" s="0" t="inlineStr">
        <is>
          <t xml:space="preserve">Chỉ UNPAID/OVERDUE; thu đủ một lần. paid_by_id theo schema là người ghi nhận; payer tách riêng. Không có cổng thanh toán/thu từng phần/transaction ledger.</t>
        </is>
      </c>
      <c r="N151" s="0" t="inlineStr">
        <is>
          <t xml:space="preserve">400 BAD_REQUEST
401 UNAUTHENTICATED
403 FORBIDDEN
404 RESOURCE_NOT_FOUND
409 STATE_CONFLICT
409 IDEMPOTENCY_KEY_REUSED
422 VALIDATION_ERROR
409 INVOICE_STATE_CHANGED
409 INVOICE_PERIOD_EXISTS
422 INVOICE_TOTAL_INVALID</t>
        </is>
      </c>
      <c r="O151" s="0" t="inlineStr">
        <is>
          <t xml:space="preserve"/>
        </is>
      </c>
      <c r="P151" s="0" t="inlineStr">
        <is>
          <t xml:space="preserve">Chưa làm</t>
        </is>
      </c>
      <c r="Q151" s="0" t="inlineStr">
        <is>
          <t xml:space="preserve">Chưa</t>
        </is>
      </c>
      <c r="R151" s="0" t="inlineStr">
        <is>
          <t xml:space="preserve">Chưa</t>
        </is>
      </c>
      <c r="S151" s="0" t="inlineStr">
        <is>
          <t xml:space="preserve">Chưa</t>
        </is>
      </c>
      <c r="T151" s="0" t="inlineStr">
        <is>
          <t xml:space="preserve">Chưa</t>
        </is>
      </c>
      <c r="U151" s="0" t="inlineStr">
        <is>
          <t xml:space="preserve">Chưa</t>
        </is>
      </c>
      <c r="V151" s="0" t="inlineStr">
        <is>
          <t xml:space="preserve">Chưa</t>
        </is>
      </c>
      <c r="W151" s="0" t="inlineStr">
        <is>
          <t xml:space="preserve">Chưa</t>
        </is>
      </c>
      <c r="X151" s="0" t="inlineStr">
        <is>
          <t xml:space="preserve">Chưa</t>
        </is>
      </c>
      <c r="Y151" s="3">
        <f>COUNTIF(Q151:X151,"Xong")/8</f>
        <v>0</v>
      </c>
      <c r="Z151" s="4" t="inlineStr">
        <is>
          <t xml:space="preserve"/>
        </is>
      </c>
      <c r="AA151" s="4" t="inlineStr">
        <is>
          <t xml:space="preserve"/>
        </is>
      </c>
      <c r="AB151" s="4" t="inlineStr">
        <is>
          <t xml:space="preserve"/>
        </is>
      </c>
      <c r="AC151" s="0" t="inlineStr">
        <is>
          <t xml:space="preserve"/>
        </is>
      </c>
      <c r="AD151" s="0" t="inlineStr">
        <is>
          <t xml:space="preserve">Happy path: Ghi nhận chủ trọ đã thu đủ; kiểm tra Invoice {id,status:PAID,paidAt,paidById}.
Thiếu phiên/phiên revoked/actor LOCKED và actor khác chủ hoặc khác participant phải bị chặn.
Ràng buộc: PAID cần paid_by_id và paid_at; CANCELLED cần người/thời điểm/lý do. Hóa đơn thay thế phải cùng hợp đồng/kỳ theo FK.
Gửi lặp cùng khóa trả kết quả cũ; cùng khóa khác payload trả 409; hai request tranh cùng tài nguyên không vượt hạn mức.
Kiểm tra lỗi DB/provider không để lại cập nhật dở hoặc trả thành công giả.</t>
        </is>
      </c>
      <c r="AE151" s="0" t="inlineStr">
        <is>
          <t xml:space="preserve"/>
        </is>
      </c>
      <c r="AF151" s="5" t="inlineStr">
        <is>
          <t xml:space="preserve">Mở đặc tả</t>
        </is>
      </c>
    </row>
    <row r="152" ht="70" customHeight="1">
      <c r="A152" s="2" t="inlineStr">
        <is>
          <t xml:space="preserve">API-151</t>
        </is>
      </c>
      <c r="B152" s="2" t="inlineStr">
        <is>
          <t xml:space="preserve">Dịch vụ &amp; hóa đơn</t>
        </is>
      </c>
      <c r="C152" s="2" t="inlineStr">
        <is>
          <t xml:space="preserve">pay-invoice</t>
        </is>
      </c>
      <c r="D152" s="2" t="inlineStr">
        <is>
          <t xml:space="preserve">POST</t>
        </is>
      </c>
      <c r="E152" s="2" t="inlineStr">
        <is>
          <t xml:space="preserve">/api/v1/invoices/{invoiceId}/cancel</t>
        </is>
      </c>
      <c r="F152" s="2" t="inlineStr">
        <is>
          <t xml:space="preserve">Hủy hóa đơn phát hành chưa thu</t>
        </is>
      </c>
      <c r="G152" s="2" t="inlineStr">
        <is>
          <t xml:space="preserve">LANDLORD: sở hữu nhà/phòng/hợp đồng</t>
        </is>
      </c>
      <c r="H152" s="2" t="inlineStr">
        <is>
          <t xml:space="preserve">P1</t>
        </is>
      </c>
      <c r="I152" s="2" t="inlineStr">
        <is>
          <t xml:space="preserve">Middleware auth/session/role + object scope
D09: idempotency store nếu chưa có khóa tự nhiên</t>
        </is>
      </c>
      <c r="J152" s="2" t="inlineStr">
        <is>
          <t xml:space="preserve">SERVICE: cần triển khai giao dịch backend</t>
        </is>
      </c>
      <c r="K152" s="2" t="inlineStr">
        <is>
          <t xml:space="preserve">reason: string (bắt buộc) — Không chỉ khoảng trắng; tối đa 1.000 ký tự.</t>
        </is>
      </c>
      <c r="L152" s="2" t="inlineStr">
        <is>
          <t xml:space="preserve">Invoice {id,status:CANCELLED,cancelledAt}</t>
        </is>
      </c>
      <c r="M152" s="2" t="inlineStr">
        <is>
          <t xml:space="preserve">UNPAID/OVERDUE chưa PAID; ghi actor/time/reason. Không DELETE hoặc sửa lines; policy hủy DRAFT nếu cần chốt thêm.</t>
        </is>
      </c>
      <c r="N152" s="2" t="inlineStr">
        <is>
          <t xml:space="preserve">400 BAD_REQUEST
401 UNAUTHENTICATED
403 FORBIDDEN
404 RESOURCE_NOT_FOUND
409 STATE_CONFLICT
409 IDEMPOTENCY_KEY_REUSED
422 VALIDATION_ERROR
409 INVOICE_STATE_CHANGED
409 INVOICE_PERIOD_EXISTS
422 INVOICE_TOTAL_INVALID</t>
        </is>
      </c>
      <c r="O152" s="2" t="inlineStr">
        <is>
          <t xml:space="preserve"/>
        </is>
      </c>
      <c r="P152" s="2" t="inlineStr">
        <is>
          <t xml:space="preserve">Chưa làm</t>
        </is>
      </c>
      <c r="Q152" s="2" t="inlineStr">
        <is>
          <t xml:space="preserve">Chưa</t>
        </is>
      </c>
      <c r="R152" s="2" t="inlineStr">
        <is>
          <t xml:space="preserve">Chưa</t>
        </is>
      </c>
      <c r="S152" s="2" t="inlineStr">
        <is>
          <t xml:space="preserve">Chưa</t>
        </is>
      </c>
      <c r="T152" s="2" t="inlineStr">
        <is>
          <t xml:space="preserve">Chưa</t>
        </is>
      </c>
      <c r="U152" s="2" t="inlineStr">
        <is>
          <t xml:space="preserve">Chưa</t>
        </is>
      </c>
      <c r="V152" s="2" t="inlineStr">
        <is>
          <t xml:space="preserve">Chưa</t>
        </is>
      </c>
      <c r="W152" s="2" t="inlineStr">
        <is>
          <t xml:space="preserve">Chưa</t>
        </is>
      </c>
      <c r="X152" s="2" t="inlineStr">
        <is>
          <t xml:space="preserve">Chưa</t>
        </is>
      </c>
      <c r="Y152" s="3">
        <f>COUNTIF(Q152:X152,"Xong")/8</f>
        <v>0</v>
      </c>
      <c r="Z152" s="4" t="inlineStr">
        <is>
          <t xml:space="preserve"/>
        </is>
      </c>
      <c r="AA152" s="4" t="inlineStr">
        <is>
          <t xml:space="preserve"/>
        </is>
      </c>
      <c r="AB152" s="4" t="inlineStr">
        <is>
          <t xml:space="preserve"/>
        </is>
      </c>
      <c r="AC152" s="2" t="inlineStr">
        <is>
          <t xml:space="preserve"/>
        </is>
      </c>
      <c r="AD152" s="2" t="inlineStr">
        <is>
          <t xml:space="preserve">Happy path: Hủy hóa đơn phát hành chưa thu; kiểm tra Invoice {id,status:CANCELLED,cancelledAt}.
Thiếu phiên/phiên revoked/actor LOCKED và actor khác chủ hoặc khác participant phải bị chặn.
Ràng buộc: PAID cần paid_by_id và paid_at; CANCELLED cần người/thời điểm/lý do. Hóa đơn thay thế phải cùng hợp đồng/kỳ theo FK.
Gửi lặp cùng khóa trả kết quả cũ; cùng khóa khác payload trả 409; hai request tranh cùng tài nguyên không vượt hạn mức.
Kiểm tra lỗi DB/provider không để lại cập nhật dở hoặc trả thành công giả.</t>
        </is>
      </c>
      <c r="AE152" s="2" t="inlineStr">
        <is>
          <t xml:space="preserve"/>
        </is>
      </c>
      <c r="AF152" s="5" t="inlineStr">
        <is>
          <t xml:space="preserve">Mở đặc tả</t>
        </is>
      </c>
    </row>
    <row r="153" ht="70" customHeight="1">
      <c r="A153" s="0" t="inlineStr">
        <is>
          <t xml:space="preserve">API-152</t>
        </is>
      </c>
      <c r="B153" s="0" t="inlineStr">
        <is>
          <t xml:space="preserve">Dịch vụ &amp; hóa đơn</t>
        </is>
      </c>
      <c r="C153" s="0" t="inlineStr">
        <is>
          <t xml:space="preserve">pay-invoice</t>
        </is>
      </c>
      <c r="D153" s="0" t="inlineStr">
        <is>
          <t xml:space="preserve">POST</t>
        </is>
      </c>
      <c r="E153" s="0" t="inlineStr">
        <is>
          <t xml:space="preserve">/api/v1/invoices/{invoiceId}/replacements</t>
        </is>
      </c>
      <c r="F153" s="0" t="inlineStr">
        <is>
          <t xml:space="preserve">Lập bản nháp thay hóa đơn đã hủy</t>
        </is>
      </c>
      <c r="G153" s="0" t="inlineStr">
        <is>
          <t xml:space="preserve">LANDLORD: sở hữu nhà/phòng/hợp đồng</t>
        </is>
      </c>
      <c r="H153" s="0" t="inlineStr">
        <is>
          <t xml:space="preserve">P1</t>
        </is>
      </c>
      <c r="I153" s="0" t="inlineStr">
        <is>
          <t xml:space="preserve">Middleware auth/session/role + object scope
D09: idempotency store nếu chưa có khóa tự nhiên</t>
        </is>
      </c>
      <c r="J153" s="0" t="inlineStr">
        <is>
          <t xml:space="preserve">SERVICE: cần triển khai giao dịch backend</t>
        </is>
      </c>
      <c r="K153" s="0" t="inlineStr">
        <is>
          <t xml:space="preserve">dueDate: date (bắt buộc) — Không trước ngày phát hành theo chính sách đề xuất.
items: InvoiceInputItem[] (bắt buộc) — Có tiền thuê và các dòng dịch vụ/khoản khác; tổng không âm.</t>
        </is>
      </c>
      <c r="L153" s="0" t="inlineStr">
        <is>
          <t xml:space="preserve">Invoice {id,status:DRAFT,replacesInvoiceId}</t>
        </is>
      </c>
      <c r="M153" s="0" t="inlineStr">
        <is>
          <t xml:space="preserve">Hóa đơn nguồn CANCELLED, cùng contract/period; unique active kỳ; links FK, giữ dữ liệu cũ. Đây là service mới chưa có UI đầy đủ.</t>
        </is>
      </c>
      <c r="N153" s="0" t="inlineStr">
        <is>
          <t xml:space="preserve">400 BAD_REQUEST
401 UNAUTHENTICATED
403 FORBIDDEN
404 RESOURCE_NOT_FOUND
409 STATE_CONFLICT
409 IDEMPOTENCY_KEY_REUSED
422 VALIDATION_ERROR
409 INVOICE_STATE_CHANGED
409 INVOICE_PERIOD_EXISTS
422 INVOICE_TOTAL_INVALID</t>
        </is>
      </c>
      <c r="O153" s="0" t="inlineStr">
        <is>
          <t xml:space="preserve"/>
        </is>
      </c>
      <c r="P153" s="0" t="inlineStr">
        <is>
          <t xml:space="preserve">Chưa làm</t>
        </is>
      </c>
      <c r="Q153" s="0" t="inlineStr">
        <is>
          <t xml:space="preserve">Chưa</t>
        </is>
      </c>
      <c r="R153" s="0" t="inlineStr">
        <is>
          <t xml:space="preserve">Chưa</t>
        </is>
      </c>
      <c r="S153" s="0" t="inlineStr">
        <is>
          <t xml:space="preserve">Chưa</t>
        </is>
      </c>
      <c r="T153" s="0" t="inlineStr">
        <is>
          <t xml:space="preserve">Chưa</t>
        </is>
      </c>
      <c r="U153" s="0" t="inlineStr">
        <is>
          <t xml:space="preserve">Chưa</t>
        </is>
      </c>
      <c r="V153" s="0" t="inlineStr">
        <is>
          <t xml:space="preserve">Chưa</t>
        </is>
      </c>
      <c r="W153" s="0" t="inlineStr">
        <is>
          <t xml:space="preserve">Chưa</t>
        </is>
      </c>
      <c r="X153" s="0" t="inlineStr">
        <is>
          <t xml:space="preserve">Chưa</t>
        </is>
      </c>
      <c r="Y153" s="3">
        <f>COUNTIF(Q153:X153,"Xong")/8</f>
        <v>0</v>
      </c>
      <c r="Z153" s="4" t="inlineStr">
        <is>
          <t xml:space="preserve"/>
        </is>
      </c>
      <c r="AA153" s="4" t="inlineStr">
        <is>
          <t xml:space="preserve"/>
        </is>
      </c>
      <c r="AB153" s="4" t="inlineStr">
        <is>
          <t xml:space="preserve"/>
        </is>
      </c>
      <c r="AC153" s="0" t="inlineStr">
        <is>
          <t xml:space="preserve"/>
        </is>
      </c>
      <c r="AD153" s="0" t="inlineStr">
        <is>
          <t xml:space="preserve">Happy path: Lập bản nháp thay hóa đơn đã hủy; kiểm tra Invoice {id,status:DRAFT,replacesInvoiceId}.
Thiếu phiên/phiên revoked/actor LOCKED và actor khác chủ hoặc khác participant phải bị chặn.
Ràng buộc: PAID cần paid_by_id và paid_at; CANCELLED cần người/thời điểm/lý do. Hóa đơn thay thế phải cùng hợp đồng/kỳ theo FK.
Gửi lặp cùng khóa trả kết quả cũ; cùng khóa khác payload trả 409; hai request tranh cùng tài nguyên không vượt hạn mức.
Kiểm tra lỗi DB/provider không để lại cập nhật dở hoặc trả thành công giả.</t>
        </is>
      </c>
      <c r="AE153" s="0" t="inlineStr">
        <is>
          <t xml:space="preserve"/>
        </is>
      </c>
      <c r="AF153" s="5" t="inlineStr">
        <is>
          <t xml:space="preserve">Mở đặc tả</t>
        </is>
      </c>
    </row>
    <row r="154" ht="70" customHeight="1">
      <c r="A154" s="2" t="inlineStr">
        <is>
          <t xml:space="preserve">API-153</t>
        </is>
      </c>
      <c r="B154" s="2" t="inlineStr">
        <is>
          <t xml:space="preserve">Đánh giá &amp; quản trị</t>
        </is>
      </c>
      <c r="C154" s="2" t="inlineStr">
        <is>
          <t xml:space="preserve">review</t>
        </is>
      </c>
      <c r="D154" s="2" t="inlineStr">
        <is>
          <t xml:space="preserve">GET</t>
        </is>
      </c>
      <c r="E154" s="2" t="inlineStr">
        <is>
          <t xml:space="preserve">/api/v1/rooms/{roomId}/reviews</t>
        </is>
      </c>
      <c r="F154" s="2" t="inlineStr">
        <is>
          <t xml:space="preserve">Đánh giá phòng được công khai</t>
        </is>
      </c>
      <c r="G154" s="2" t="inlineStr">
        <is>
          <t xml:space="preserve">PUBLIC</t>
        </is>
      </c>
      <c r="H154" s="2" t="inlineStr">
        <is>
          <t xml:space="preserve">P1</t>
        </is>
      </c>
      <c r="I154" s="2" t="inlineStr">
        <is>
          <t xml:space="preserve"/>
        </is>
      </c>
      <c r="J154" s="2" t="inlineStr">
        <is>
          <t xml:space="preserve">READ: truy vấn có scope quyền</t>
        </is>
      </c>
      <c r="K154" s="2" t="inlineStr">
        <is>
          <t xml:space="preserve">Không có JSON body</t>
        </is>
      </c>
      <c r="L154" s="2" t="inlineStr">
        <is>
          <t xml:space="preserve">Review[] {rating,content,reviewerDisplayName}; không có giấy tờ</t>
        </is>
      </c>
      <c r="M154" s="2" t="inlineStr">
        <is>
          <t xml:space="preserve">Chỉ PUBLISHED và room có quyền xem; không lộ contract/CCCD của reviewer.</t>
        </is>
      </c>
      <c r="N154" s="2" t="inlineStr">
        <is>
          <t xml:space="preserve">400 BAD_REQUEST
404 RESOURCE_NOT_FOUND
422 VALIDATION_ERROR</t>
        </is>
      </c>
      <c r="O154" s="2" t="inlineStr">
        <is>
          <t xml:space="preserve"/>
        </is>
      </c>
      <c r="P154" s="2" t="inlineStr">
        <is>
          <t xml:space="preserve">Chưa làm</t>
        </is>
      </c>
      <c r="Q154" s="2" t="inlineStr">
        <is>
          <t xml:space="preserve">Chưa</t>
        </is>
      </c>
      <c r="R154" s="2" t="inlineStr">
        <is>
          <t xml:space="preserve">Chưa</t>
        </is>
      </c>
      <c r="S154" s="2" t="inlineStr">
        <is>
          <t xml:space="preserve">Chưa</t>
        </is>
      </c>
      <c r="T154" s="2" t="inlineStr">
        <is>
          <t xml:space="preserve">Chưa</t>
        </is>
      </c>
      <c r="U154" s="2" t="inlineStr">
        <is>
          <t xml:space="preserve">Chưa</t>
        </is>
      </c>
      <c r="V154" s="2" t="inlineStr">
        <is>
          <t xml:space="preserve">Chưa</t>
        </is>
      </c>
      <c r="W154" s="2" t="inlineStr">
        <is>
          <t xml:space="preserve">Chưa</t>
        </is>
      </c>
      <c r="X154" s="2" t="inlineStr">
        <is>
          <t xml:space="preserve">Chưa</t>
        </is>
      </c>
      <c r="Y154" s="3">
        <f>COUNTIF(Q154:X154,"Xong")/8</f>
        <v>0</v>
      </c>
      <c r="Z154" s="4" t="inlineStr">
        <is>
          <t xml:space="preserve"/>
        </is>
      </c>
      <c r="AA154" s="4" t="inlineStr">
        <is>
          <t xml:space="preserve"/>
        </is>
      </c>
      <c r="AB154" s="4" t="inlineStr">
        <is>
          <t xml:space="preserve"/>
        </is>
      </c>
      <c r="AC154" s="2" t="inlineStr">
        <is>
          <t xml:space="preserve"/>
        </is>
      </c>
      <c r="AD154" s="2" t="inlineStr">
        <is>
          <t xml:space="preserve">Happy path: Đánh giá phòng được công khai; kiểm tra Review[] {rating,content,reviewerDisplayName}; không có giấy tờ.
Đầu vào sai/ID ẩn: không lộ dữ liệu riêng tư.
Ràng buộc: Rating từ 1 đến 5; UNIQUE (reviewer_id,room_id,contract_id). FK ghép tới room_tenants giữ đúng người-phòng-hợp đồng làm bằng chứng.
Phân trang/lọc đúng scope; dữ liệu riêng tư bị loại trên server, không chỉ ẩn UI.
Kiểm tra lỗi DB/provider không để lại cập nhật dở hoặc trả thành công giả.</t>
        </is>
      </c>
      <c r="AE154" s="2" t="inlineStr">
        <is>
          <t xml:space="preserve"/>
        </is>
      </c>
      <c r="AF154" s="5" t="inlineStr">
        <is>
          <t xml:space="preserve">Mở đặc tả</t>
        </is>
      </c>
    </row>
    <row r="155" ht="70" customHeight="1">
      <c r="A155" s="0" t="inlineStr">
        <is>
          <t xml:space="preserve">API-154</t>
        </is>
      </c>
      <c r="B155" s="0" t="inlineStr">
        <is>
          <t xml:space="preserve">Đánh giá &amp; quản trị</t>
        </is>
      </c>
      <c r="C155" s="0" t="inlineStr">
        <is>
          <t xml:space="preserve">review</t>
        </is>
      </c>
      <c r="D155" s="0" t="inlineStr">
        <is>
          <t xml:space="preserve">POST</t>
        </is>
      </c>
      <c r="E155" s="0" t="inlineStr">
        <is>
          <t xml:space="preserve">/api/v1/reviews</t>
        </is>
      </c>
      <c r="F155" s="0" t="inlineStr">
        <is>
          <t xml:space="preserve">Đánh giá bằng lượt cư trú thực tế</t>
        </is>
      </c>
      <c r="G155" s="0" t="inlineStr">
        <is>
          <t xml:space="preserve">TENANT: chỉ chính người thuê và tài nguyên được phép</t>
        </is>
      </c>
      <c r="H155" s="0" t="inlineStr">
        <is>
          <t xml:space="preserve">P1</t>
        </is>
      </c>
      <c r="I155" s="0" t="inlineStr">
        <is>
          <t xml:space="preserve">Middleware auth/session/role + object scope
D09: idempotency store nếu chưa có khóa tự nhiên
D13</t>
        </is>
      </c>
      <c r="J155" s="0" t="inlineStr">
        <is>
          <t xml:space="preserve">SERVICE: cần triển khai giao dịch backend</t>
        </is>
      </c>
      <c r="K155" s="0" t="inlineStr">
        <is>
          <t xml:space="preserve">roomTenantId: id (bắt buộc) — Lượt ở của actor đúng room/contract.
rating: integer (bắt buộc) — 1–5.
content: string (tùy chọn) — SQL TEXT; giới hạn API được cấu hình.</t>
        </is>
      </c>
      <c r="L155" s="0" t="inlineStr">
        <is>
          <t xml:space="preserve">Review {id,status:PUBLISHED}</t>
        </is>
      </c>
      <c r="M155" s="0" t="inlineStr">
        <is>
          <t xml:space="preserve">Lấy room/contract từ member; unique reviewer+room+contract. Chính sách đề xuất: contract TERMINATED và có ACTIVE/LEFT thật; cần chốt thời điểm/hạn sửa D13. Không chỉ dựa contractId demo.</t>
        </is>
      </c>
      <c r="N155" s="0" t="inlineStr">
        <is>
          <t xml:space="preserve">400 BAD_REQUEST
401 UNAUTHENTICATED
403 FORBIDDEN
404 RESOURCE_NOT_FOUND
409 STATE_CONFLICT
409 IDEMPOTENCY_KEY_REUSED
422 VALIDATION_ERROR
409 ALREADY_REVIEWED
422 TENANCY_EVIDENCE_REQUIRED
422 REVIEW_NOT_YET_ALLOWED</t>
        </is>
      </c>
      <c r="O155" s="0" t="inlineStr">
        <is>
          <t xml:space="preserve"/>
        </is>
      </c>
      <c r="P155" s="0" t="inlineStr">
        <is>
          <t xml:space="preserve">Chưa làm</t>
        </is>
      </c>
      <c r="Q155" s="0" t="inlineStr">
        <is>
          <t xml:space="preserve">Chưa</t>
        </is>
      </c>
      <c r="R155" s="0" t="inlineStr">
        <is>
          <t xml:space="preserve">Chưa</t>
        </is>
      </c>
      <c r="S155" s="0" t="inlineStr">
        <is>
          <t xml:space="preserve">Chưa</t>
        </is>
      </c>
      <c r="T155" s="0" t="inlineStr">
        <is>
          <t xml:space="preserve">Chưa</t>
        </is>
      </c>
      <c r="U155" s="0" t="inlineStr">
        <is>
          <t xml:space="preserve">Chưa</t>
        </is>
      </c>
      <c r="V155" s="0" t="inlineStr">
        <is>
          <t xml:space="preserve">Chưa</t>
        </is>
      </c>
      <c r="W155" s="0" t="inlineStr">
        <is>
          <t xml:space="preserve">Chưa</t>
        </is>
      </c>
      <c r="X155" s="0" t="inlineStr">
        <is>
          <t xml:space="preserve">Chưa</t>
        </is>
      </c>
      <c r="Y155" s="3">
        <f>COUNTIF(Q155:X155,"Xong")/8</f>
        <v>0</v>
      </c>
      <c r="Z155" s="4" t="inlineStr">
        <is>
          <t xml:space="preserve"/>
        </is>
      </c>
      <c r="AA155" s="4" t="inlineStr">
        <is>
          <t xml:space="preserve"/>
        </is>
      </c>
      <c r="AB155" s="4" t="inlineStr">
        <is>
          <t xml:space="preserve"/>
        </is>
      </c>
      <c r="AC155" s="0" t="inlineStr">
        <is>
          <t xml:space="preserve"/>
        </is>
      </c>
      <c r="AD155" s="0" t="inlineStr">
        <is>
          <t xml:space="preserve">Happy path: Đánh giá bằng lượt cư trú thực tế; kiểm tra Review {id,status:PUBLISHED}.
Thiếu phiên/phiên revoked/actor LOCKED và actor khác chủ hoặc khác participant phải bị chặn.
Ràng buộc: Rating từ 1 đến 5; UNIQUE (reviewer_id,room_id,contract_id). FK ghép tới room_tenants giữ đúng người-phòng-hợp đồng làm bằng chứng.
Gửi lặp cùng khóa trả kết quả cũ; cùng khóa khác payload trả 409; hai request tranh cùng tài nguyên không vượt hạn mức.
Kiểm tra lỗi DB/provider không để lại cập nhật dở hoặc trả thành công giả.</t>
        </is>
      </c>
      <c r="AE155" s="0" t="inlineStr">
        <is>
          <t xml:space="preserve"/>
        </is>
      </c>
      <c r="AF155" s="5" t="inlineStr">
        <is>
          <t xml:space="preserve">Mở đặc tả</t>
        </is>
      </c>
    </row>
    <row r="156" ht="70" customHeight="1">
      <c r="A156" s="2" t="inlineStr">
        <is>
          <t xml:space="preserve">API-155</t>
        </is>
      </c>
      <c r="B156" s="2" t="inlineStr">
        <is>
          <t xml:space="preserve">Đánh giá &amp; quản trị</t>
        </is>
      </c>
      <c r="C156" s="2" t="inlineStr">
        <is>
          <t xml:space="preserve">review</t>
        </is>
      </c>
      <c r="D156" s="2" t="inlineStr">
        <is>
          <t xml:space="preserve">POST</t>
        </is>
      </c>
      <c r="E156" s="2" t="inlineStr">
        <is>
          <t xml:space="preserve">/api/v1/admin/reviews/{reviewId}/moderation</t>
        </is>
      </c>
      <c r="F156" s="2" t="inlineStr">
        <is>
          <t xml:space="preserve">Ẩn/khôi phục/xóa mềm đánh giá</t>
        </is>
      </c>
      <c r="G156" s="2" t="inlineStr">
        <is>
          <t xml:space="preserve">ADMIN: tài khoản ACTIVE có dòng admins</t>
        </is>
      </c>
      <c r="H156" s="2" t="inlineStr">
        <is>
          <t xml:space="preserve">P1</t>
        </is>
      </c>
      <c r="I156" s="2" t="inlineStr">
        <is>
          <t xml:space="preserve">Middleware auth/session/role + object scope
D09: idempotency store nếu chưa có khóa tự nhiên
D14</t>
        </is>
      </c>
      <c r="J156" s="2" t="inlineStr">
        <is>
          <t xml:space="preserve">SERVICE: cần triển khai giao dịch backend</t>
        </is>
      </c>
      <c r="K156" s="2" t="inlineStr">
        <is>
          <t xml:space="preserve">status: enum (bắt buộc) — HIDDEN / PUBLISHED / DELETED.
reason: string (bắt buộc) — Lý do không trống, ≤1.000 ký tự.</t>
        </is>
      </c>
      <c r="L156" s="2" t="inlineStr">
        <is>
          <t xml:space="preserve">Review {id,status}</t>
        </is>
      </c>
      <c r="M156" s="2" t="inlineStr">
        <is>
          <t xml:space="preserve">Bảo toàn bằng chứng cư trú. Ghi hidden_by/reason/at; moderation_actions hiện không có target_review_id nên cần thiết kế mở rộng audit, không giả có cột.</t>
        </is>
      </c>
      <c r="N156" s="2" t="inlineStr">
        <is>
          <t xml:space="preserve">400 BAD_REQUEST
401 UNAUTHENTICATED
403 FORBIDDEN
404 RESOURCE_NOT_FOUND
409 STATE_CONFLICT
409 IDEMPOTENCY_KEY_REUSED
422 VALIDATION_ERROR
409 ALREADY_REVIEWED
422 TENANCY_EVIDENCE_REQUIRED
422 REVIEW_NOT_YET_ALLOWED</t>
        </is>
      </c>
      <c r="O156" s="2" t="inlineStr">
        <is>
          <t xml:space="preserve"/>
        </is>
      </c>
      <c r="P156" s="2" t="inlineStr">
        <is>
          <t xml:space="preserve">Chưa làm</t>
        </is>
      </c>
      <c r="Q156" s="2" t="inlineStr">
        <is>
          <t xml:space="preserve">Chưa</t>
        </is>
      </c>
      <c r="R156" s="2" t="inlineStr">
        <is>
          <t xml:space="preserve">Chưa</t>
        </is>
      </c>
      <c r="S156" s="2" t="inlineStr">
        <is>
          <t xml:space="preserve">Chưa</t>
        </is>
      </c>
      <c r="T156" s="2" t="inlineStr">
        <is>
          <t xml:space="preserve">Chưa</t>
        </is>
      </c>
      <c r="U156" s="2" t="inlineStr">
        <is>
          <t xml:space="preserve">Chưa</t>
        </is>
      </c>
      <c r="V156" s="2" t="inlineStr">
        <is>
          <t xml:space="preserve">Chưa</t>
        </is>
      </c>
      <c r="W156" s="2" t="inlineStr">
        <is>
          <t xml:space="preserve">Chưa</t>
        </is>
      </c>
      <c r="X156" s="2" t="inlineStr">
        <is>
          <t xml:space="preserve">Chưa</t>
        </is>
      </c>
      <c r="Y156" s="3">
        <f>COUNTIF(Q156:X156,"Xong")/8</f>
        <v>0</v>
      </c>
      <c r="Z156" s="4" t="inlineStr">
        <is>
          <t xml:space="preserve"/>
        </is>
      </c>
      <c r="AA156" s="4" t="inlineStr">
        <is>
          <t xml:space="preserve"/>
        </is>
      </c>
      <c r="AB156" s="4" t="inlineStr">
        <is>
          <t xml:space="preserve"/>
        </is>
      </c>
      <c r="AC156" s="2" t="inlineStr">
        <is>
          <t xml:space="preserve"/>
        </is>
      </c>
      <c r="AD156" s="2" t="inlineStr">
        <is>
          <t xml:space="preserve">Happy path: Ẩn/khôi phục/xóa mềm đánh giá; kiểm tra Review {id,status}.
Thiếu phiên/phiên revoked/actor LOCKED và actor khác chủ hoặc khác participant phải bị chặn.
Ràng buộc: Rating từ 1 đến 5; UNIQUE (reviewer_id,room_id,contract_id). FK ghép tới room_tenants giữ đúng người-phòng-hợp đồng làm bằng chứng.
Gửi lặp cùng khóa trả kết quả cũ; cùng khóa khác payload trả 409; hai request tranh cùng tài nguyên không vượt hạn mức.
Kiểm tra lỗi DB/provider không để lại cập nhật dở hoặc trả thành công giả.</t>
        </is>
      </c>
      <c r="AE156" s="2" t="inlineStr">
        <is>
          <t xml:space="preserve"/>
        </is>
      </c>
      <c r="AF156" s="5" t="inlineStr">
        <is>
          <t xml:space="preserve">Mở đặc tả</t>
        </is>
      </c>
    </row>
    <row r="157" ht="70" customHeight="1">
      <c r="A157" s="0" t="inlineStr">
        <is>
          <t xml:space="preserve">API-156</t>
        </is>
      </c>
      <c r="B157" s="0" t="inlineStr">
        <is>
          <t xml:space="preserve">Đánh giá &amp; quản trị</t>
        </is>
      </c>
      <c r="C157" s="0" t="inlineStr">
        <is>
          <t xml:space="preserve">report</t>
        </is>
      </c>
      <c r="D157" s="0" t="inlineStr">
        <is>
          <t xml:space="preserve">POST</t>
        </is>
      </c>
      <c r="E157" s="0" t="inlineStr">
        <is>
          <t xml:space="preserve">/api/v1/reports</t>
        </is>
      </c>
      <c r="F157" s="0" t="inlineStr">
        <is>
          <t xml:space="preserve">Gửi báo cáo hoặc tranh chấp</t>
        </is>
      </c>
      <c r="G157" s="0" t="inlineStr">
        <is>
          <t xml:space="preserve">TENANT: chỉ chính người thuê và tài nguyên được phép</t>
        </is>
      </c>
      <c r="H157" s="0" t="inlineStr">
        <is>
          <t xml:space="preserve">P1</t>
        </is>
      </c>
      <c r="I157" s="0" t="inlineStr">
        <is>
          <t xml:space="preserve">Middleware auth/session/role + object scope
D09: idempotency store nếu chưa có khóa tự nhiên</t>
        </is>
      </c>
      <c r="J157" s="0" t="inlineStr">
        <is>
          <t xml:space="preserve">SERVICE: cần triển khai giao dịch backend</t>
        </is>
      </c>
      <c r="K157" s="0" t="inlineStr">
        <is>
          <t xml:space="preserve">type: enum (bắt buộc) — VIOLATION / DISPUTE.
targetType: enum (bắt buộc) — POST / USER / CONTRACT / ROOMMATE_REQUEST.
targetId: id (bắt buộc) — Đối tượng actor có quyền truy cập.
reason: string (bắt buộc) — Nội dung không trống.
evidenceFileIds: id[] (tùy chọn) — REPORT_EVIDENCE PRIVATE ACTIVE của actor.</t>
        </is>
      </c>
      <c r="L157" s="0" t="inlineStr">
        <is>
          <t xml:space="preserve">Report {id,status:PENDING}</t>
        </is>
      </c>
      <c r="M157" s="0" t="inlineStr">
        <is>
          <t xml:space="preserve">Ánh xạ đúng một trong 4 FK, không nhận 4 target tùy ý; liên kết evidence cùng transaction. Không tự ẩn bài/khóa user.</t>
        </is>
      </c>
      <c r="N157" s="0" t="inlineStr">
        <is>
          <t xml:space="preserve">400 BAD_REQUEST
401 UNAUTHENTICATED
403 FORBIDDEN
404 RESOURCE_NOT_FOUND
409 STATE_CONFLICT
409 IDEMPOTENCY_KEY_REUSED
422 VALIDATION_ERROR
422 REPORT_TARGET_INVALID
409 REPORT_ALREADY_CLOSED</t>
        </is>
      </c>
      <c r="O157" s="0" t="inlineStr">
        <is>
          <t xml:space="preserve"/>
        </is>
      </c>
      <c r="P157" s="0" t="inlineStr">
        <is>
          <t xml:space="preserve">Chưa làm</t>
        </is>
      </c>
      <c r="Q157" s="0" t="inlineStr">
        <is>
          <t xml:space="preserve">Chưa</t>
        </is>
      </c>
      <c r="R157" s="0" t="inlineStr">
        <is>
          <t xml:space="preserve">Chưa</t>
        </is>
      </c>
      <c r="S157" s="0" t="inlineStr">
        <is>
          <t xml:space="preserve">Chưa</t>
        </is>
      </c>
      <c r="T157" s="0" t="inlineStr">
        <is>
          <t xml:space="preserve">Chưa</t>
        </is>
      </c>
      <c r="U157" s="0" t="inlineStr">
        <is>
          <t xml:space="preserve">Chưa</t>
        </is>
      </c>
      <c r="V157" s="0" t="inlineStr">
        <is>
          <t xml:space="preserve">Chưa</t>
        </is>
      </c>
      <c r="W157" s="0" t="inlineStr">
        <is>
          <t xml:space="preserve">Chưa</t>
        </is>
      </c>
      <c r="X157" s="0" t="inlineStr">
        <is>
          <t xml:space="preserve">Chưa</t>
        </is>
      </c>
      <c r="Y157" s="3">
        <f>COUNTIF(Q157:X157,"Xong")/8</f>
        <v>0</v>
      </c>
      <c r="Z157" s="4" t="inlineStr">
        <is>
          <t xml:space="preserve"/>
        </is>
      </c>
      <c r="AA157" s="4" t="inlineStr">
        <is>
          <t xml:space="preserve"/>
        </is>
      </c>
      <c r="AB157" s="4" t="inlineStr">
        <is>
          <t xml:space="preserve"/>
        </is>
      </c>
      <c r="AC157" s="0" t="inlineStr">
        <is>
          <t xml:space="preserve"/>
        </is>
      </c>
      <c r="AD157" s="0" t="inlineStr">
        <is>
          <t xml:space="preserve">Happy path: Gửi báo cáo hoặc tranh chấp; kiểm tra Report {id,status:PENDING}.
Thiếu phiên/phiên revoked/actor LOCKED và actor khác chủ hoặc khác participant phải bị chặn.
Ràng buộc: Một report nhắm đúng một trong reported_user_id / reported_post_id / contract_id / roommate_request_id.
Gửi lặp cùng khóa trả kết quả cũ; cùng khóa khác payload trả 409; hai request tranh cùng tài nguyên không vượt hạn mức.
Kiểm tra lỗi DB/provider không để lại cập nhật dở hoặc trả thành công giả.</t>
        </is>
      </c>
      <c r="AE157" s="0" t="inlineStr">
        <is>
          <t xml:space="preserve"/>
        </is>
      </c>
      <c r="AF157" s="5" t="inlineStr">
        <is>
          <t xml:space="preserve">Mở đặc tả</t>
        </is>
      </c>
    </row>
    <row r="158" ht="70" customHeight="1">
      <c r="A158" s="2" t="inlineStr">
        <is>
          <t xml:space="preserve">API-157</t>
        </is>
      </c>
      <c r="B158" s="2" t="inlineStr">
        <is>
          <t xml:space="preserve">Đánh giá &amp; quản trị</t>
        </is>
      </c>
      <c r="C158" s="2" t="inlineStr">
        <is>
          <t xml:space="preserve">report</t>
        </is>
      </c>
      <c r="D158" s="2" t="inlineStr">
        <is>
          <t xml:space="preserve">GET</t>
        </is>
      </c>
      <c r="E158" s="2" t="inlineStr">
        <is>
          <t xml:space="preserve">/api/v1/me/reports</t>
        </is>
      </c>
      <c r="F158" s="2" t="inlineStr">
        <is>
          <t xml:space="preserve">Báo cáo mình đã gửi và kết luận</t>
        </is>
      </c>
      <c r="G158" s="2" t="inlineStr">
        <is>
          <t xml:space="preserve">TENANT: chỉ chính người thuê và tài nguyên được phép</t>
        </is>
      </c>
      <c r="H158" s="2" t="inlineStr">
        <is>
          <t xml:space="preserve">P1</t>
        </is>
      </c>
      <c r="I158" s="2" t="inlineStr">
        <is>
          <t xml:space="preserve">Middleware auth/session/role + object scope</t>
        </is>
      </c>
      <c r="J158" s="2" t="inlineStr">
        <is>
          <t xml:space="preserve">READ: truy vấn có scope quyền</t>
        </is>
      </c>
      <c r="K158" s="2" t="inlineStr">
        <is>
          <t xml:space="preserve">Không có JSON body</t>
        </is>
      </c>
      <c r="L158" s="2" t="inlineStr">
        <is>
          <t xml:space="preserve">Report[] không lộ dữ liệu riêng tư người bị báo cáo</t>
        </is>
      </c>
      <c r="M158" s="2" t="inlineStr">
        <is>
          <t xml:space="preserve">Chỉ reporter_id=actor, không trả thông tin điều tra nội bộ không được phép.</t>
        </is>
      </c>
      <c r="N158" s="2" t="inlineStr">
        <is>
          <t xml:space="preserve">400 BAD_REQUEST
401 UNAUTHENTICATED
403 FORBIDDEN
404 RESOURCE_NOT_FOUND
422 VALIDATION_ERROR</t>
        </is>
      </c>
      <c r="O158" s="2" t="inlineStr">
        <is>
          <t xml:space="preserve"/>
        </is>
      </c>
      <c r="P158" s="2" t="inlineStr">
        <is>
          <t xml:space="preserve">Chưa làm</t>
        </is>
      </c>
      <c r="Q158" s="2" t="inlineStr">
        <is>
          <t xml:space="preserve">Chưa</t>
        </is>
      </c>
      <c r="R158" s="2" t="inlineStr">
        <is>
          <t xml:space="preserve">Chưa</t>
        </is>
      </c>
      <c r="S158" s="2" t="inlineStr">
        <is>
          <t xml:space="preserve">Chưa</t>
        </is>
      </c>
      <c r="T158" s="2" t="inlineStr">
        <is>
          <t xml:space="preserve">Chưa</t>
        </is>
      </c>
      <c r="U158" s="2" t="inlineStr">
        <is>
          <t xml:space="preserve">Chưa</t>
        </is>
      </c>
      <c r="V158" s="2" t="inlineStr">
        <is>
          <t xml:space="preserve">Chưa</t>
        </is>
      </c>
      <c r="W158" s="2" t="inlineStr">
        <is>
          <t xml:space="preserve">Chưa</t>
        </is>
      </c>
      <c r="X158" s="2" t="inlineStr">
        <is>
          <t xml:space="preserve">Chưa</t>
        </is>
      </c>
      <c r="Y158" s="3">
        <f>COUNTIF(Q158:X158,"Xong")/8</f>
        <v>0</v>
      </c>
      <c r="Z158" s="4" t="inlineStr">
        <is>
          <t xml:space="preserve"/>
        </is>
      </c>
      <c r="AA158" s="4" t="inlineStr">
        <is>
          <t xml:space="preserve"/>
        </is>
      </c>
      <c r="AB158" s="4" t="inlineStr">
        <is>
          <t xml:space="preserve"/>
        </is>
      </c>
      <c r="AC158" s="2" t="inlineStr">
        <is>
          <t xml:space="preserve"/>
        </is>
      </c>
      <c r="AD158" s="2" t="inlineStr">
        <is>
          <t xml:space="preserve">Happy path: Báo cáo mình đã gửi và kết luận; kiểm tra Report[] không lộ dữ liệu riêng tư người bị báo cáo.
Thiếu phiên/phiên revoked/actor LOCKED và actor khác chủ hoặc khác participant phải bị chặn.
Ràng buộc: Một report nhắm đúng một trong reported_user_id / reported_post_id / contract_id / roommate_request_id.
Phân trang/lọc đúng scope; dữ liệu riêng tư bị loại trên server, không chỉ ẩn UI.
Kiểm tra lỗi DB/provider không để lại cập nhật dở hoặc trả thành công giả.</t>
        </is>
      </c>
      <c r="AE158" s="2" t="inlineStr">
        <is>
          <t xml:space="preserve"/>
        </is>
      </c>
      <c r="AF158" s="5" t="inlineStr">
        <is>
          <t xml:space="preserve">Mở đặc tả</t>
        </is>
      </c>
    </row>
    <row r="159" ht="70" customHeight="1">
      <c r="A159" s="0" t="inlineStr">
        <is>
          <t xml:space="preserve">API-158</t>
        </is>
      </c>
      <c r="B159" s="0" t="inlineStr">
        <is>
          <t xml:space="preserve">Đánh giá &amp; quản trị</t>
        </is>
      </c>
      <c r="C159" s="0" t="inlineStr">
        <is>
          <t xml:space="preserve">report</t>
        </is>
      </c>
      <c r="D159" s="0" t="inlineStr">
        <is>
          <t xml:space="preserve">GET</t>
        </is>
      </c>
      <c r="E159" s="0" t="inlineStr">
        <is>
          <t xml:space="preserve">/api/v1/admin/reports</t>
        </is>
      </c>
      <c r="F159" s="0" t="inlineStr">
        <is>
          <t xml:space="preserve">Hàng đợi báo cáo</t>
        </is>
      </c>
      <c r="G159" s="0" t="inlineStr">
        <is>
          <t xml:space="preserve">ADMIN: tài khoản ACTIVE có dòng admins</t>
        </is>
      </c>
      <c r="H159" s="0" t="inlineStr">
        <is>
          <t xml:space="preserve">P1</t>
        </is>
      </c>
      <c r="I159" s="0" t="inlineStr">
        <is>
          <t xml:space="preserve">Middleware auth/session/role + object scope</t>
        </is>
      </c>
      <c r="J159" s="0" t="inlineStr">
        <is>
          <t xml:space="preserve">READ: truy vấn có scope quyền</t>
        </is>
      </c>
      <c r="K159" s="0" t="inlineStr">
        <is>
          <t xml:space="preserve">Không có JSON body</t>
        </is>
      </c>
      <c r="L159" s="0" t="inlineStr">
        <is>
          <t xml:space="preserve">Report[] và target summary</t>
        </is>
      </c>
      <c r="M159" s="0" t="inlineStr">
        <is>
          <t xml:space="preserve">Lọc type/status; giữ target gốc dù bài mất quyền công khai.</t>
        </is>
      </c>
      <c r="N159" s="0" t="inlineStr">
        <is>
          <t xml:space="preserve">400 BAD_REQUEST
401 UNAUTHENTICATED
403 FORBIDDEN
404 RESOURCE_NOT_FOUND
422 VALIDATION_ERROR</t>
        </is>
      </c>
      <c r="O159" s="0" t="inlineStr">
        <is>
          <t xml:space="preserve"/>
        </is>
      </c>
      <c r="P159" s="0" t="inlineStr">
        <is>
          <t xml:space="preserve">Chưa làm</t>
        </is>
      </c>
      <c r="Q159" s="0" t="inlineStr">
        <is>
          <t xml:space="preserve">Chưa</t>
        </is>
      </c>
      <c r="R159" s="0" t="inlineStr">
        <is>
          <t xml:space="preserve">Chưa</t>
        </is>
      </c>
      <c r="S159" s="0" t="inlineStr">
        <is>
          <t xml:space="preserve">Chưa</t>
        </is>
      </c>
      <c r="T159" s="0" t="inlineStr">
        <is>
          <t xml:space="preserve">Chưa</t>
        </is>
      </c>
      <c r="U159" s="0" t="inlineStr">
        <is>
          <t xml:space="preserve">Chưa</t>
        </is>
      </c>
      <c r="V159" s="0" t="inlineStr">
        <is>
          <t xml:space="preserve">Chưa</t>
        </is>
      </c>
      <c r="W159" s="0" t="inlineStr">
        <is>
          <t xml:space="preserve">Chưa</t>
        </is>
      </c>
      <c r="X159" s="0" t="inlineStr">
        <is>
          <t xml:space="preserve">Chưa</t>
        </is>
      </c>
      <c r="Y159" s="3">
        <f>COUNTIF(Q159:X159,"Xong")/8</f>
        <v>0</v>
      </c>
      <c r="Z159" s="4" t="inlineStr">
        <is>
          <t xml:space="preserve"/>
        </is>
      </c>
      <c r="AA159" s="4" t="inlineStr">
        <is>
          <t xml:space="preserve"/>
        </is>
      </c>
      <c r="AB159" s="4" t="inlineStr">
        <is>
          <t xml:space="preserve"/>
        </is>
      </c>
      <c r="AC159" s="0" t="inlineStr">
        <is>
          <t xml:space="preserve"/>
        </is>
      </c>
      <c r="AD159" s="0" t="inlineStr">
        <is>
          <t xml:space="preserve">Happy path: Hàng đợi báo cáo; kiểm tra Report[] và target summary.
Thiếu phiên/phiên revoked/actor LOCKED và actor khác chủ hoặc khác participant phải bị chặn.
Ràng buộc: Một report nhắm đúng một trong reported_user_id / reported_post_id / contract_id / roommate_request_id.
Phân trang/lọc đúng scope; dữ liệu riêng tư bị loại trên server, không chỉ ẩn UI.
Kiểm tra lỗi DB/provider không để lại cập nhật dở hoặc trả thành công giả.</t>
        </is>
      </c>
      <c r="AE159" s="0" t="inlineStr">
        <is>
          <t xml:space="preserve"/>
        </is>
      </c>
      <c r="AF159" s="5" t="inlineStr">
        <is>
          <t xml:space="preserve">Mở đặc tả</t>
        </is>
      </c>
    </row>
    <row r="160" ht="70" customHeight="1">
      <c r="A160" s="2" t="inlineStr">
        <is>
          <t xml:space="preserve">API-159</t>
        </is>
      </c>
      <c r="B160" s="2" t="inlineStr">
        <is>
          <t xml:space="preserve">Đánh giá &amp; quản trị</t>
        </is>
      </c>
      <c r="C160" s="2" t="inlineStr">
        <is>
          <t xml:space="preserve">report</t>
        </is>
      </c>
      <c r="D160" s="2" t="inlineStr">
        <is>
          <t xml:space="preserve">GET</t>
        </is>
      </c>
      <c r="E160" s="2" t="inlineStr">
        <is>
          <t xml:space="preserve">/api/v1/admin/reports/{reportId}</t>
        </is>
      </c>
      <c r="F160" s="2" t="inlineStr">
        <is>
          <t xml:space="preserve">Chi tiết báo cáo và bằng chứng</t>
        </is>
      </c>
      <c r="G160" s="2" t="inlineStr">
        <is>
          <t xml:space="preserve">ADMIN: tài khoản ACTIVE có dòng admins</t>
        </is>
      </c>
      <c r="H160" s="2" t="inlineStr">
        <is>
          <t xml:space="preserve">P1</t>
        </is>
      </c>
      <c r="I160" s="2" t="inlineStr">
        <is>
          <t xml:space="preserve">Middleware auth/session/role + object scope</t>
        </is>
      </c>
      <c r="J160" s="2" t="inlineStr">
        <is>
          <t xml:space="preserve">READ: truy vấn có scope quyền</t>
        </is>
      </c>
      <c r="K160" s="2" t="inlineStr">
        <is>
          <t xml:space="preserve">Không có JSON body</t>
        </is>
      </c>
      <c r="L160" s="2" t="inlineStr">
        <is>
          <t xml:space="preserve">Report,evidenceFileIds,targetSnapshotIfAvailable</t>
        </is>
      </c>
      <c r="M160" s="2" t="inlineStr">
        <is>
          <t xml:space="preserve">Xét quyền mở tệp riêng; không tạo URL công khai.</t>
        </is>
      </c>
      <c r="N160" s="2" t="inlineStr">
        <is>
          <t xml:space="preserve">400 BAD_REQUEST
401 UNAUTHENTICATED
403 FORBIDDEN
404 RESOURCE_NOT_FOUND</t>
        </is>
      </c>
      <c r="O160" s="2" t="inlineStr">
        <is>
          <t xml:space="preserve"/>
        </is>
      </c>
      <c r="P160" s="2" t="inlineStr">
        <is>
          <t xml:space="preserve">Chưa làm</t>
        </is>
      </c>
      <c r="Q160" s="2" t="inlineStr">
        <is>
          <t xml:space="preserve">Chưa</t>
        </is>
      </c>
      <c r="R160" s="2" t="inlineStr">
        <is>
          <t xml:space="preserve">Chưa</t>
        </is>
      </c>
      <c r="S160" s="2" t="inlineStr">
        <is>
          <t xml:space="preserve">Chưa</t>
        </is>
      </c>
      <c r="T160" s="2" t="inlineStr">
        <is>
          <t xml:space="preserve">Chưa</t>
        </is>
      </c>
      <c r="U160" s="2" t="inlineStr">
        <is>
          <t xml:space="preserve">Chưa</t>
        </is>
      </c>
      <c r="V160" s="2" t="inlineStr">
        <is>
          <t xml:space="preserve">Chưa</t>
        </is>
      </c>
      <c r="W160" s="2" t="inlineStr">
        <is>
          <t xml:space="preserve">Chưa</t>
        </is>
      </c>
      <c r="X160" s="2" t="inlineStr">
        <is>
          <t xml:space="preserve">Chưa</t>
        </is>
      </c>
      <c r="Y160" s="3">
        <f>COUNTIF(Q160:X160,"Xong")/8</f>
        <v>0</v>
      </c>
      <c r="Z160" s="4" t="inlineStr">
        <is>
          <t xml:space="preserve"/>
        </is>
      </c>
      <c r="AA160" s="4" t="inlineStr">
        <is>
          <t xml:space="preserve"/>
        </is>
      </c>
      <c r="AB160" s="4" t="inlineStr">
        <is>
          <t xml:space="preserve"/>
        </is>
      </c>
      <c r="AC160" s="2" t="inlineStr">
        <is>
          <t xml:space="preserve"/>
        </is>
      </c>
      <c r="AD160" s="2" t="inlineStr">
        <is>
          <t xml:space="preserve">Happy path: Chi tiết báo cáo và bằng chứng; kiểm tra Report,evidenceFileIds,targetSnapshotIfAvailable.
Thiếu phiên/phiên revoked/actor LOCKED và actor khác chủ hoặc khác participant phải bị chặn.
Ràng buộc: Một report nhắm đúng một trong reported_user_id / reported_post_id / contract_id / roommate_request_id.
Phân trang/lọc đúng scope; dữ liệu riêng tư bị loại trên server, không chỉ ẩn UI.
Kiểm tra lỗi DB/provider không để lại cập nhật dở hoặc trả thành công giả.</t>
        </is>
      </c>
      <c r="AE160" s="2" t="inlineStr">
        <is>
          <t xml:space="preserve"/>
        </is>
      </c>
      <c r="AF160" s="5" t="inlineStr">
        <is>
          <t xml:space="preserve">Mở đặc tả</t>
        </is>
      </c>
    </row>
    <row r="161" ht="70" customHeight="1">
      <c r="A161" s="0" t="inlineStr">
        <is>
          <t xml:space="preserve">API-160</t>
        </is>
      </c>
      <c r="B161" s="0" t="inlineStr">
        <is>
          <t xml:space="preserve">Đánh giá &amp; quản trị</t>
        </is>
      </c>
      <c r="C161" s="0" t="inlineStr">
        <is>
          <t xml:space="preserve">report</t>
        </is>
      </c>
      <c r="D161" s="0" t="inlineStr">
        <is>
          <t xml:space="preserve">POST</t>
        </is>
      </c>
      <c r="E161" s="0" t="inlineStr">
        <is>
          <t xml:space="preserve">/api/v1/admin/reports/{reportId}/decision</t>
        </is>
      </c>
      <c r="F161" s="0" t="inlineStr">
        <is>
          <t xml:space="preserve">Điều tra hoặc kết luận báo cáo</t>
        </is>
      </c>
      <c r="G161" s="0" t="inlineStr">
        <is>
          <t xml:space="preserve">ADMIN: tài khoản ACTIVE có dòng admins</t>
        </is>
      </c>
      <c r="H161" s="0" t="inlineStr">
        <is>
          <t xml:space="preserve">P1</t>
        </is>
      </c>
      <c r="I161" s="0" t="inlineStr">
        <is>
          <t xml:space="preserve">Middleware auth/session/role + object scope
D09: idempotency store nếu chưa có khóa tự nhiên</t>
        </is>
      </c>
      <c r="J161" s="0" t="inlineStr">
        <is>
          <t xml:space="preserve">SERVICE: cần triển khai giao dịch backend</t>
        </is>
      </c>
      <c r="K161" s="0" t="inlineStr">
        <is>
          <t xml:space="preserve">status: enum (bắt buộc) — INVESTIGATING / RESOLVED / DISMISSED.
resolution: string (tùy chọn) — RESOLVED/DISMISSED bắt buộc nội dung kết luận.</t>
        </is>
      </c>
      <c r="L161" s="0" t="inlineStr">
        <is>
          <t xml:space="preserve">Report sau xử lý</t>
        </is>
      </c>
      <c r="M161" s="0" t="inlineStr">
        <is>
          <t xml:space="preserve">Khóa trạng thái nguồn, không mở lại bản đóng bằng form cũ; đóng có handled_by/time/resolution; audit. Ẩn/khóa dùng endpoint quyết định riêng.</t>
        </is>
      </c>
      <c r="N161" s="0" t="inlineStr">
        <is>
          <t xml:space="preserve">400 BAD_REQUEST
401 UNAUTHENTICATED
403 FORBIDDEN
404 RESOURCE_NOT_FOUND
409 STATE_CONFLICT
409 IDEMPOTENCY_KEY_REUSED
422 VALIDATION_ERROR
422 REPORT_TARGET_INVALID
409 REPORT_ALREADY_CLOSED</t>
        </is>
      </c>
      <c r="O161" s="0" t="inlineStr">
        <is>
          <t xml:space="preserve"/>
        </is>
      </c>
      <c r="P161" s="0" t="inlineStr">
        <is>
          <t xml:space="preserve">Chưa làm</t>
        </is>
      </c>
      <c r="Q161" s="0" t="inlineStr">
        <is>
          <t xml:space="preserve">Chưa</t>
        </is>
      </c>
      <c r="R161" s="0" t="inlineStr">
        <is>
          <t xml:space="preserve">Chưa</t>
        </is>
      </c>
      <c r="S161" s="0" t="inlineStr">
        <is>
          <t xml:space="preserve">Chưa</t>
        </is>
      </c>
      <c r="T161" s="0" t="inlineStr">
        <is>
          <t xml:space="preserve">Chưa</t>
        </is>
      </c>
      <c r="U161" s="0" t="inlineStr">
        <is>
          <t xml:space="preserve">Chưa</t>
        </is>
      </c>
      <c r="V161" s="0" t="inlineStr">
        <is>
          <t xml:space="preserve">Chưa</t>
        </is>
      </c>
      <c r="W161" s="0" t="inlineStr">
        <is>
          <t xml:space="preserve">Chưa</t>
        </is>
      </c>
      <c r="X161" s="0" t="inlineStr">
        <is>
          <t xml:space="preserve">Chưa</t>
        </is>
      </c>
      <c r="Y161" s="3">
        <f>COUNTIF(Q161:X161,"Xong")/8</f>
        <v>0</v>
      </c>
      <c r="Z161" s="4" t="inlineStr">
        <is>
          <t xml:space="preserve"/>
        </is>
      </c>
      <c r="AA161" s="4" t="inlineStr">
        <is>
          <t xml:space="preserve"/>
        </is>
      </c>
      <c r="AB161" s="4" t="inlineStr">
        <is>
          <t xml:space="preserve"/>
        </is>
      </c>
      <c r="AC161" s="0" t="inlineStr">
        <is>
          <t xml:space="preserve"/>
        </is>
      </c>
      <c r="AD161" s="0" t="inlineStr">
        <is>
          <t xml:space="preserve">Happy path: Điều tra hoặc kết luận báo cáo; kiểm tra Report sau xử lý.
Thiếu phiên/phiên revoked/actor LOCKED và actor khác chủ hoặc khác participant phải bị chặn.
Ràng buộc: Một report nhắm đúng một trong reported_user_id / reported_post_id / contract_id / roommate_request_id.
Gửi lặp cùng khóa trả kết quả cũ; cùng khóa khác payload trả 409; hai request tranh cùng tài nguyên không vượt hạn mức.
Kiểm tra lỗi DB/provider không để lại cập nhật dở hoặc trả thành công giả.</t>
        </is>
      </c>
      <c r="AE161" s="0" t="inlineStr">
        <is>
          <t xml:space="preserve"/>
        </is>
      </c>
      <c r="AF161" s="5" t="inlineStr">
        <is>
          <t xml:space="preserve">Mở đặc tả</t>
        </is>
      </c>
    </row>
    <row r="162" ht="70" customHeight="1">
      <c r="A162" s="2" t="inlineStr">
        <is>
          <t xml:space="preserve">API-161</t>
        </is>
      </c>
      <c r="B162" s="2" t="inlineStr">
        <is>
          <t xml:space="preserve">Đánh giá &amp; quản trị</t>
        </is>
      </c>
      <c r="C162" s="2" t="inlineStr">
        <is>
          <t xml:space="preserve">lock-account</t>
        </is>
      </c>
      <c r="D162" s="2" t="inlineStr">
        <is>
          <t xml:space="preserve">GET</t>
        </is>
      </c>
      <c r="E162" s="2" t="inlineStr">
        <is>
          <t xml:space="preserve">/api/v1/admin/users</t>
        </is>
      </c>
      <c r="F162" s="2" t="inlineStr">
        <is>
          <t xml:space="preserve">Quản lý tài khoản và vai trò</t>
        </is>
      </c>
      <c r="G162" s="2" t="inlineStr">
        <is>
          <t xml:space="preserve">ADMIN: tài khoản ACTIVE có dòng admins</t>
        </is>
      </c>
      <c r="H162" s="2" t="inlineStr">
        <is>
          <t xml:space="preserve">P1</t>
        </is>
      </c>
      <c r="I162" s="2" t="inlineStr">
        <is>
          <t xml:space="preserve">Middleware auth/session/role + object scope</t>
        </is>
      </c>
      <c r="J162" s="2" t="inlineStr">
        <is>
          <t xml:space="preserve">READ: truy vấn có scope quyền</t>
        </is>
      </c>
      <c r="K162" s="2" t="inlineStr">
        <is>
          <t xml:space="preserve">Không có JSON body</t>
        </is>
      </c>
      <c r="L162" s="2" t="inlineStr">
        <is>
          <t xml:space="preserve">User[] với thông tin tối thiểu</t>
        </is>
      </c>
      <c r="M162" s="2" t="inlineStr">
        <is>
          <t xml:space="preserve">Lọc role/status/q; không trả password/refresh/OTP hash.</t>
        </is>
      </c>
      <c r="N162" s="2" t="inlineStr">
        <is>
          <t xml:space="preserve">400 BAD_REQUEST
401 UNAUTHENTICATED
403 FORBIDDEN
404 RESOURCE_NOT_FOUND
422 VALIDATION_ERROR</t>
        </is>
      </c>
      <c r="O162" s="2" t="inlineStr">
        <is>
          <t xml:space="preserve"/>
        </is>
      </c>
      <c r="P162" s="2" t="inlineStr">
        <is>
          <t xml:space="preserve">Chưa làm</t>
        </is>
      </c>
      <c r="Q162" s="2" t="inlineStr">
        <is>
          <t xml:space="preserve">Chưa</t>
        </is>
      </c>
      <c r="R162" s="2" t="inlineStr">
        <is>
          <t xml:space="preserve">Chưa</t>
        </is>
      </c>
      <c r="S162" s="2" t="inlineStr">
        <is>
          <t xml:space="preserve">Chưa</t>
        </is>
      </c>
      <c r="T162" s="2" t="inlineStr">
        <is>
          <t xml:space="preserve">Chưa</t>
        </is>
      </c>
      <c r="U162" s="2" t="inlineStr">
        <is>
          <t xml:space="preserve">Chưa</t>
        </is>
      </c>
      <c r="V162" s="2" t="inlineStr">
        <is>
          <t xml:space="preserve">Chưa</t>
        </is>
      </c>
      <c r="W162" s="2" t="inlineStr">
        <is>
          <t xml:space="preserve">Chưa</t>
        </is>
      </c>
      <c r="X162" s="2" t="inlineStr">
        <is>
          <t xml:space="preserve">Chưa</t>
        </is>
      </c>
      <c r="Y162" s="3">
        <f>COUNTIF(Q162:X162,"Xong")/8</f>
        <v>0</v>
      </c>
      <c r="Z162" s="4" t="inlineStr">
        <is>
          <t xml:space="preserve"/>
        </is>
      </c>
      <c r="AA162" s="4" t="inlineStr">
        <is>
          <t xml:space="preserve"/>
        </is>
      </c>
      <c r="AB162" s="4" t="inlineStr">
        <is>
          <t xml:space="preserve"/>
        </is>
      </c>
      <c r="AC162" s="2" t="inlineStr">
        <is>
          <t xml:space="preserve"/>
        </is>
      </c>
      <c r="AD162" s="2" t="inlineStr">
        <is>
          <t xml:space="preserve">Happy path: Quản lý tài khoản và vai trò; kiểm tra User[] với thông tin tối thiểu.
Thiếu phiên/phiên revoked/actor LOCKED và actor khác chủ hoặc khác participant phải bị chặn.
Ràng buộc: users lưu locked_at, locked_by_id, lock_reason và trạng thái hợp lệ.
Phân trang/lọc đúng scope; dữ liệu riêng tư bị loại trên server, không chỉ ẩn UI.
Kiểm tra lỗi DB/provider không để lại cập nhật dở hoặc trả thành công giả.</t>
        </is>
      </c>
      <c r="AE162" s="2" t="inlineStr">
        <is>
          <t xml:space="preserve"/>
        </is>
      </c>
      <c r="AF162" s="5" t="inlineStr">
        <is>
          <t xml:space="preserve">Mở đặc tả</t>
        </is>
      </c>
    </row>
    <row r="163" ht="70" customHeight="1">
      <c r="A163" s="0" t="inlineStr">
        <is>
          <t xml:space="preserve">API-162</t>
        </is>
      </c>
      <c r="B163" s="0" t="inlineStr">
        <is>
          <t xml:space="preserve">Đánh giá &amp; quản trị</t>
        </is>
      </c>
      <c r="C163" s="0" t="inlineStr">
        <is>
          <t xml:space="preserve">lock-account</t>
        </is>
      </c>
      <c r="D163" s="0" t="inlineStr">
        <is>
          <t xml:space="preserve">GET</t>
        </is>
      </c>
      <c r="E163" s="0" t="inlineStr">
        <is>
          <t xml:space="preserve">/api/v1/admin/users/{userId}</t>
        </is>
      </c>
      <c r="F163" s="0" t="inlineStr">
        <is>
          <t xml:space="preserve">Chi tiết trạng thái tài khoản</t>
        </is>
      </c>
      <c r="G163" s="0" t="inlineStr">
        <is>
          <t xml:space="preserve">ADMIN: tài khoản ACTIVE có dòng admins</t>
        </is>
      </c>
      <c r="H163" s="0" t="inlineStr">
        <is>
          <t xml:space="preserve">P1</t>
        </is>
      </c>
      <c r="I163" s="0" t="inlineStr">
        <is>
          <t xml:space="preserve">Middleware auth/session/role + object scope</t>
        </is>
      </c>
      <c r="J163" s="0" t="inlineStr">
        <is>
          <t xml:space="preserve">READ: truy vấn có scope quyền</t>
        </is>
      </c>
      <c r="K163" s="0" t="inlineStr">
        <is>
          <t xml:space="preserve">Không có JSON body</t>
        </is>
      </c>
      <c r="L163" s="0" t="inlineStr">
        <is>
          <t xml:space="preserve">User,roles,verificationSummary</t>
        </is>
      </c>
      <c r="M163" s="0" t="inlineStr">
        <is>
          <t xml:space="preserve">Chỉ metadata cần quản trị; giấy tờ mở riêng theo quyền.</t>
        </is>
      </c>
      <c r="N163" s="0" t="inlineStr">
        <is>
          <t xml:space="preserve">400 BAD_REQUEST
401 UNAUTHENTICATED
403 FORBIDDEN
404 RESOURCE_NOT_FOUND</t>
        </is>
      </c>
      <c r="O163" s="0" t="inlineStr">
        <is>
          <t xml:space="preserve"/>
        </is>
      </c>
      <c r="P163" s="0" t="inlineStr">
        <is>
          <t xml:space="preserve">Chưa làm</t>
        </is>
      </c>
      <c r="Q163" s="0" t="inlineStr">
        <is>
          <t xml:space="preserve">Chưa</t>
        </is>
      </c>
      <c r="R163" s="0" t="inlineStr">
        <is>
          <t xml:space="preserve">Chưa</t>
        </is>
      </c>
      <c r="S163" s="0" t="inlineStr">
        <is>
          <t xml:space="preserve">Chưa</t>
        </is>
      </c>
      <c r="T163" s="0" t="inlineStr">
        <is>
          <t xml:space="preserve">Chưa</t>
        </is>
      </c>
      <c r="U163" s="0" t="inlineStr">
        <is>
          <t xml:space="preserve">Chưa</t>
        </is>
      </c>
      <c r="V163" s="0" t="inlineStr">
        <is>
          <t xml:space="preserve">Chưa</t>
        </is>
      </c>
      <c r="W163" s="0" t="inlineStr">
        <is>
          <t xml:space="preserve">Chưa</t>
        </is>
      </c>
      <c r="X163" s="0" t="inlineStr">
        <is>
          <t xml:space="preserve">Chưa</t>
        </is>
      </c>
      <c r="Y163" s="3">
        <f>COUNTIF(Q163:X163,"Xong")/8</f>
        <v>0</v>
      </c>
      <c r="Z163" s="4" t="inlineStr">
        <is>
          <t xml:space="preserve"/>
        </is>
      </c>
      <c r="AA163" s="4" t="inlineStr">
        <is>
          <t xml:space="preserve"/>
        </is>
      </c>
      <c r="AB163" s="4" t="inlineStr">
        <is>
          <t xml:space="preserve"/>
        </is>
      </c>
      <c r="AC163" s="0" t="inlineStr">
        <is>
          <t xml:space="preserve"/>
        </is>
      </c>
      <c r="AD163" s="0" t="inlineStr">
        <is>
          <t xml:space="preserve">Happy path: Chi tiết trạng thái tài khoản; kiểm tra User,roles,verificationSummary.
Thiếu phiên/phiên revoked/actor LOCKED và actor khác chủ hoặc khác participant phải bị chặn.
Ràng buộc: users lưu locked_at, locked_by_id, lock_reason và trạng thái hợp lệ.
Phân trang/lọc đúng scope; dữ liệu riêng tư bị loại trên server, không chỉ ẩn UI.
Kiểm tra lỗi DB/provider không để lại cập nhật dở hoặc trả thành công giả.</t>
        </is>
      </c>
      <c r="AE163" s="0" t="inlineStr">
        <is>
          <t xml:space="preserve"/>
        </is>
      </c>
      <c r="AF163" s="5" t="inlineStr">
        <is>
          <t xml:space="preserve">Mở đặc tả</t>
        </is>
      </c>
    </row>
    <row r="164" ht="70" customHeight="1">
      <c r="A164" s="2" t="inlineStr">
        <is>
          <t xml:space="preserve">API-163</t>
        </is>
      </c>
      <c r="B164" s="2" t="inlineStr">
        <is>
          <t xml:space="preserve">Đánh giá &amp; quản trị</t>
        </is>
      </c>
      <c r="C164" s="2" t="inlineStr">
        <is>
          <t xml:space="preserve">lock-account</t>
        </is>
      </c>
      <c r="D164" s="2" t="inlineStr">
        <is>
          <t xml:space="preserve">POST</t>
        </is>
      </c>
      <c r="E164" s="2" t="inlineStr">
        <is>
          <t xml:space="preserve">/api/v1/admin/users/{userId}/lock</t>
        </is>
      </c>
      <c r="F164" s="2" t="inlineStr">
        <is>
          <t xml:space="preserve">Khóa tài khoản có lý do</t>
        </is>
      </c>
      <c r="G164" s="2" t="inlineStr">
        <is>
          <t xml:space="preserve">ADMIN: tài khoản ACTIVE có dòng admins</t>
        </is>
      </c>
      <c r="H164" s="2" t="inlineStr">
        <is>
          <t xml:space="preserve">P1</t>
        </is>
      </c>
      <c r="I164" s="2" t="inlineStr">
        <is>
          <t xml:space="preserve">Middleware auth/session/role + object scope
D09: idempotency store nếu chưa có khóa tự nhiên</t>
        </is>
      </c>
      <c r="J164" s="2" t="inlineStr">
        <is>
          <t xml:space="preserve">SERVICE: cần triển khai giao dịch backend</t>
        </is>
      </c>
      <c r="K164" s="2" t="inlineStr">
        <is>
          <t xml:space="preserve">reason: string (bắt buộc) — Không chỉ khoảng trắng; tối đa 1.000 ký tự.</t>
        </is>
      </c>
      <c r="L164" s="2" t="inlineStr">
        <is>
          <t xml:space="preserve">User {id,status:LOCKED,lockedAt}</t>
        </is>
      </c>
      <c r="M164" s="2" t="inlineStr">
        <is>
          <t xml:space="preserve">Khóa user, ghi reason/admin/time, revoke sessions và audit trong transaction. Không tự cho cư dân LEFT hoặc xóa nghĩa vụ/hợp đồng; view quyền nhà hết hiệu lực nếu landlord bị khóa.</t>
        </is>
      </c>
      <c r="N164" s="2" t="inlineStr">
        <is>
          <t xml:space="preserve">400 BAD_REQUEST
401 UNAUTHENTICATED
403 FORBIDDEN
404 RESOURCE_NOT_FOUND
409 STATE_CONFLICT
409 IDEMPOTENCY_KEY_REUSED
422 VALIDATION_ERROR
409 ACCOUNT_STATE_CHANGED</t>
        </is>
      </c>
      <c r="O164" s="2" t="inlineStr">
        <is>
          <t xml:space="preserve"/>
        </is>
      </c>
      <c r="P164" s="2" t="inlineStr">
        <is>
          <t xml:space="preserve">Chưa làm</t>
        </is>
      </c>
      <c r="Q164" s="2" t="inlineStr">
        <is>
          <t xml:space="preserve">Chưa</t>
        </is>
      </c>
      <c r="R164" s="2" t="inlineStr">
        <is>
          <t xml:space="preserve">Chưa</t>
        </is>
      </c>
      <c r="S164" s="2" t="inlineStr">
        <is>
          <t xml:space="preserve">Chưa</t>
        </is>
      </c>
      <c r="T164" s="2" t="inlineStr">
        <is>
          <t xml:space="preserve">Chưa</t>
        </is>
      </c>
      <c r="U164" s="2" t="inlineStr">
        <is>
          <t xml:space="preserve">Chưa</t>
        </is>
      </c>
      <c r="V164" s="2" t="inlineStr">
        <is>
          <t xml:space="preserve">Chưa</t>
        </is>
      </c>
      <c r="W164" s="2" t="inlineStr">
        <is>
          <t xml:space="preserve">Chưa</t>
        </is>
      </c>
      <c r="X164" s="2" t="inlineStr">
        <is>
          <t xml:space="preserve">Chưa</t>
        </is>
      </c>
      <c r="Y164" s="3">
        <f>COUNTIF(Q164:X164,"Xong")/8</f>
        <v>0</v>
      </c>
      <c r="Z164" s="4" t="inlineStr">
        <is>
          <t xml:space="preserve"/>
        </is>
      </c>
      <c r="AA164" s="4" t="inlineStr">
        <is>
          <t xml:space="preserve"/>
        </is>
      </c>
      <c r="AB164" s="4" t="inlineStr">
        <is>
          <t xml:space="preserve"/>
        </is>
      </c>
      <c r="AC164" s="2" t="inlineStr">
        <is>
          <t xml:space="preserve"/>
        </is>
      </c>
      <c r="AD164" s="2" t="inlineStr">
        <is>
          <t xml:space="preserve">Happy path: Khóa tài khoản có lý do; kiểm tra User {id,status:LOCKED,lockedAt}.
Thiếu phiên/phiên revoked/actor LOCKED và actor khác chủ hoặc khác participant phải bị chặn.
Ràng buộc: users lưu locked_at, locked_by_id, lock_reason và trạng thái hợp lệ.
Gửi lặp cùng khóa trả kết quả cũ; cùng khóa khác payload trả 409; hai request tranh cùng tài nguyên không vượt hạn mức.
Kiểm tra lỗi DB/provider không để lại cập nhật dở hoặc trả thành công giả.</t>
        </is>
      </c>
      <c r="AE164" s="2" t="inlineStr">
        <is>
          <t xml:space="preserve"/>
        </is>
      </c>
      <c r="AF164" s="5" t="inlineStr">
        <is>
          <t xml:space="preserve">Mở đặc tả</t>
        </is>
      </c>
    </row>
    <row r="165" ht="70" customHeight="1">
      <c r="A165" s="0" t="inlineStr">
        <is>
          <t xml:space="preserve">API-164</t>
        </is>
      </c>
      <c r="B165" s="0" t="inlineStr">
        <is>
          <t xml:space="preserve">Đánh giá &amp; quản trị</t>
        </is>
      </c>
      <c r="C165" s="0" t="inlineStr">
        <is>
          <t xml:space="preserve">lock-account</t>
        </is>
      </c>
      <c r="D165" s="0" t="inlineStr">
        <is>
          <t xml:space="preserve">POST</t>
        </is>
      </c>
      <c r="E165" s="0" t="inlineStr">
        <is>
          <t xml:space="preserve">/api/v1/admin/users/{userId}/unlock</t>
        </is>
      </c>
      <c r="F165" s="0" t="inlineStr">
        <is>
          <t xml:space="preserve">Mở khóa tài khoản</t>
        </is>
      </c>
      <c r="G165" s="0" t="inlineStr">
        <is>
          <t xml:space="preserve">ADMIN: tài khoản ACTIVE có dòng admins</t>
        </is>
      </c>
      <c r="H165" s="0" t="inlineStr">
        <is>
          <t xml:space="preserve">P1</t>
        </is>
      </c>
      <c r="I165" s="0" t="inlineStr">
        <is>
          <t xml:space="preserve">Middleware auth/session/role + object scope
D09: idempotency store nếu chưa có khóa tự nhiên</t>
        </is>
      </c>
      <c r="J165" s="0" t="inlineStr">
        <is>
          <t xml:space="preserve">SERVICE: cần triển khai giao dịch backend</t>
        </is>
      </c>
      <c r="K165" s="0" t="inlineStr">
        <is>
          <t xml:space="preserve">reason: string (bắt buộc) — Không chỉ khoảng trắng; tối đa 1.000 ký tự.</t>
        </is>
      </c>
      <c r="L165" s="0" t="inlineStr">
        <is>
          <t xml:space="preserve">User {id,status:ACTIVE}</t>
        </is>
      </c>
      <c r="M165" s="0" t="inlineStr">
        <is>
          <t xml:space="preserve">Chỉ LOCKED; ghi audit, xóa metadata lock theo schema. Không tự khôi phục phiên đã thu hồi hoặc cấp thêm vai trò.</t>
        </is>
      </c>
      <c r="N165" s="0" t="inlineStr">
        <is>
          <t xml:space="preserve">400 BAD_REQUEST
401 UNAUTHENTICATED
403 FORBIDDEN
404 RESOURCE_NOT_FOUND
409 STATE_CONFLICT
409 IDEMPOTENCY_KEY_REUSED
422 VALIDATION_ERROR
409 ACCOUNT_STATE_CHANGED</t>
        </is>
      </c>
      <c r="O165" s="0" t="inlineStr">
        <is>
          <t xml:space="preserve"/>
        </is>
      </c>
      <c r="P165" s="0" t="inlineStr">
        <is>
          <t xml:space="preserve">Chưa làm</t>
        </is>
      </c>
      <c r="Q165" s="0" t="inlineStr">
        <is>
          <t xml:space="preserve">Chưa</t>
        </is>
      </c>
      <c r="R165" s="0" t="inlineStr">
        <is>
          <t xml:space="preserve">Chưa</t>
        </is>
      </c>
      <c r="S165" s="0" t="inlineStr">
        <is>
          <t xml:space="preserve">Chưa</t>
        </is>
      </c>
      <c r="T165" s="0" t="inlineStr">
        <is>
          <t xml:space="preserve">Chưa</t>
        </is>
      </c>
      <c r="U165" s="0" t="inlineStr">
        <is>
          <t xml:space="preserve">Chưa</t>
        </is>
      </c>
      <c r="V165" s="0" t="inlineStr">
        <is>
          <t xml:space="preserve">Chưa</t>
        </is>
      </c>
      <c r="W165" s="0" t="inlineStr">
        <is>
          <t xml:space="preserve">Chưa</t>
        </is>
      </c>
      <c r="X165" s="0" t="inlineStr">
        <is>
          <t xml:space="preserve">Chưa</t>
        </is>
      </c>
      <c r="Y165" s="3">
        <f>COUNTIF(Q165:X165,"Xong")/8</f>
        <v>0</v>
      </c>
      <c r="Z165" s="4" t="inlineStr">
        <is>
          <t xml:space="preserve"/>
        </is>
      </c>
      <c r="AA165" s="4" t="inlineStr">
        <is>
          <t xml:space="preserve"/>
        </is>
      </c>
      <c r="AB165" s="4" t="inlineStr">
        <is>
          <t xml:space="preserve"/>
        </is>
      </c>
      <c r="AC165" s="0" t="inlineStr">
        <is>
          <t xml:space="preserve"/>
        </is>
      </c>
      <c r="AD165" s="0" t="inlineStr">
        <is>
          <t xml:space="preserve">Happy path: Mở khóa tài khoản; kiểm tra User {id,status:ACTIVE}.
Thiếu phiên/phiên revoked/actor LOCKED và actor khác chủ hoặc khác participant phải bị chặn.
Ràng buộc: users lưu locked_at, locked_by_id, lock_reason và trạng thái hợp lệ.
Gửi lặp cùng khóa trả kết quả cũ; cùng khóa khác payload trả 409; hai request tranh cùng tài nguyên không vượt hạn mức.
Kiểm tra lỗi DB/provider không để lại cập nhật dở hoặc trả thành công giả.</t>
        </is>
      </c>
      <c r="AE165" s="0" t="inlineStr">
        <is>
          <t xml:space="preserve"/>
        </is>
      </c>
      <c r="AF165" s="5" t="inlineStr">
        <is>
          <t xml:space="preserve">Mở đặc tả</t>
        </is>
      </c>
    </row>
    <row r="166" ht="70" customHeight="1">
      <c r="A166" s="2" t="inlineStr">
        <is>
          <t xml:space="preserve">API-165</t>
        </is>
      </c>
      <c r="B166" s="2" t="inlineStr">
        <is>
          <t xml:space="preserve">Đánh giá &amp; quản trị</t>
        </is>
      </c>
      <c r="C166" s="2" t="inlineStr">
        <is>
          <t xml:space="preserve">templates</t>
        </is>
      </c>
      <c r="D166" s="2" t="inlineStr">
        <is>
          <t xml:space="preserve">GET</t>
        </is>
      </c>
      <c r="E166" s="2" t="inlineStr">
        <is>
          <t xml:space="preserve">/api/v1/contract-templates</t>
        </is>
      </c>
      <c r="F166" s="2" t="inlineStr">
        <is>
          <t xml:space="preserve">Mẫu hợp đồng theo phiên bản</t>
        </is>
      </c>
      <c r="G166" s="2" t="inlineStr">
        <is>
          <t xml:space="preserve">LANDLORD: sở hữu nhà/phòng/hợp đồng hoặc ADMIN</t>
        </is>
      </c>
      <c r="H166" s="2" t="inlineStr">
        <is>
          <t xml:space="preserve">P1</t>
        </is>
      </c>
      <c r="I166" s="2" t="inlineStr">
        <is>
          <t xml:space="preserve">Middleware auth/session/role + object scope</t>
        </is>
      </c>
      <c r="J166" s="2" t="inlineStr">
        <is>
          <t xml:space="preserve">READ: truy vấn có scope quyền</t>
        </is>
      </c>
      <c r="K166" s="2" t="inlineStr">
        <is>
          <t xml:space="preserve">Không có JSON body</t>
        </is>
      </c>
      <c r="L166" s="2" t="inlineStr">
        <is>
          <t xml:space="preserve">ContractTemplate[]</t>
        </is>
      </c>
      <c r="M166" s="2" t="inlineStr">
        <is>
          <t xml:space="preserve">Chủ chỉ active, admin xem tất cả; từng row là một version.</t>
        </is>
      </c>
      <c r="N166" s="2" t="inlineStr">
        <is>
          <t xml:space="preserve">400 BAD_REQUEST
401 UNAUTHENTICATED
403 FORBIDDEN
404 RESOURCE_NOT_FOUND
422 VALIDATION_ERROR</t>
        </is>
      </c>
      <c r="O166" s="2" t="inlineStr">
        <is>
          <t xml:space="preserve"/>
        </is>
      </c>
      <c r="P166" s="2" t="inlineStr">
        <is>
          <t xml:space="preserve">Chưa làm</t>
        </is>
      </c>
      <c r="Q166" s="2" t="inlineStr">
        <is>
          <t xml:space="preserve">Chưa</t>
        </is>
      </c>
      <c r="R166" s="2" t="inlineStr">
        <is>
          <t xml:space="preserve">Chưa</t>
        </is>
      </c>
      <c r="S166" s="2" t="inlineStr">
        <is>
          <t xml:space="preserve">Chưa</t>
        </is>
      </c>
      <c r="T166" s="2" t="inlineStr">
        <is>
          <t xml:space="preserve">Chưa</t>
        </is>
      </c>
      <c r="U166" s="2" t="inlineStr">
        <is>
          <t xml:space="preserve">Chưa</t>
        </is>
      </c>
      <c r="V166" s="2" t="inlineStr">
        <is>
          <t xml:space="preserve">Chưa</t>
        </is>
      </c>
      <c r="W166" s="2" t="inlineStr">
        <is>
          <t xml:space="preserve">Chưa</t>
        </is>
      </c>
      <c r="X166" s="2" t="inlineStr">
        <is>
          <t xml:space="preserve">Chưa</t>
        </is>
      </c>
      <c r="Y166" s="3">
        <f>COUNTIF(Q166:X166,"Xong")/8</f>
        <v>0</v>
      </c>
      <c r="Z166" s="4" t="inlineStr">
        <is>
          <t xml:space="preserve"/>
        </is>
      </c>
      <c r="AA166" s="4" t="inlineStr">
        <is>
          <t xml:space="preserve"/>
        </is>
      </c>
      <c r="AB166" s="4" t="inlineStr">
        <is>
          <t xml:space="preserve"/>
        </is>
      </c>
      <c r="AC166" s="2" t="inlineStr">
        <is>
          <t xml:space="preserve"/>
        </is>
      </c>
      <c r="AD166" s="2" t="inlineStr">
        <is>
          <t xml:space="preserve">Happy path: Mẫu hợp đồng theo phiên bản; kiểm tra ContractTemplate[].
Thiếu phiên/phiên revoked/actor LOCKED và actor khác chủ hoặc khác participant phải bị chặn.
Ràng buộc: Mẫu có tên/phiên bản duy nhất, phiên bản &gt; 0 và nội dung, các hợp đồng tham chiếu mẫu/phiên bản qua contract_revisions.
Phân trang/lọc đúng scope; dữ liệu riêng tư bị loại trên server, không chỉ ẩn UI.
Kiểm tra lỗi DB/provider không để lại cập nhật dở hoặc trả thành công giả.</t>
        </is>
      </c>
      <c r="AE166" s="2" t="inlineStr">
        <is>
          <t xml:space="preserve"/>
        </is>
      </c>
      <c r="AF166" s="5" t="inlineStr">
        <is>
          <t xml:space="preserve">Mở đặc tả</t>
        </is>
      </c>
    </row>
    <row r="167" ht="70" customHeight="1">
      <c r="A167" s="0" t="inlineStr">
        <is>
          <t xml:space="preserve">API-166</t>
        </is>
      </c>
      <c r="B167" s="0" t="inlineStr">
        <is>
          <t xml:space="preserve">Đánh giá &amp; quản trị</t>
        </is>
      </c>
      <c r="C167" s="0" t="inlineStr">
        <is>
          <t xml:space="preserve">templates</t>
        </is>
      </c>
      <c r="D167" s="0" t="inlineStr">
        <is>
          <t xml:space="preserve">POST</t>
        </is>
      </c>
      <c r="E167" s="0" t="inlineStr">
        <is>
          <t xml:space="preserve">/api/v1/admin/contract-templates</t>
        </is>
      </c>
      <c r="F167" s="0" t="inlineStr">
        <is>
          <t xml:space="preserve">Tạo mẫu hoặc phiên bản tiếp theo</t>
        </is>
      </c>
      <c r="G167" s="0" t="inlineStr">
        <is>
          <t xml:space="preserve">ADMIN: tài khoản ACTIVE có dòng admins</t>
        </is>
      </c>
      <c r="H167" s="0" t="inlineStr">
        <is>
          <t xml:space="preserve">P1</t>
        </is>
      </c>
      <c r="I167" s="0" t="inlineStr">
        <is>
          <t xml:space="preserve">Middleware auth/session/role + object scope
D09: idempotency store nếu chưa có khóa tự nhiên</t>
        </is>
      </c>
      <c r="J167" s="0" t="inlineStr">
        <is>
          <t xml:space="preserve">SERVICE: cần triển khai giao dịch backend</t>
        </is>
      </c>
      <c r="K167" s="0" t="inlineStr">
        <is>
          <t xml:space="preserve">name: string (bắt buộc) — 1–200 ký tự.
content: string (bắt buộc) — Không trống.
active: boolean (bắt buộc) — Bật cho hợp đồng mới.</t>
        </is>
      </c>
      <c r="L167" s="0" t="inlineStr">
        <is>
          <t xml:space="preserve">ContractTemplate {id,name,version,active}</t>
        </is>
      </c>
      <c r="M167" s="0" t="inlineStr">
        <is>
          <t xml:space="preserve">Khóa nhóm name khi cấp version, unique name+version, version&gt;0. Bản nội dung mới tạo row mới, không ghi đè template đã dùng.</t>
        </is>
      </c>
      <c r="N167" s="0" t="inlineStr">
        <is>
          <t xml:space="preserve">400 BAD_REQUEST
401 UNAUTHENTICATED
403 FORBIDDEN
404 RESOURCE_NOT_FOUND
409 STATE_CONFLICT
409 IDEMPOTENCY_KEY_REUSED
422 VALIDATION_ERROR
409 TEMPLATE_VERSION_EXISTS
422 TEMPLATE_INVALID</t>
        </is>
      </c>
      <c r="O167" s="0" t="inlineStr">
        <is>
          <t xml:space="preserve"/>
        </is>
      </c>
      <c r="P167" s="0" t="inlineStr">
        <is>
          <t xml:space="preserve">Chưa làm</t>
        </is>
      </c>
      <c r="Q167" s="0" t="inlineStr">
        <is>
          <t xml:space="preserve">Chưa</t>
        </is>
      </c>
      <c r="R167" s="0" t="inlineStr">
        <is>
          <t xml:space="preserve">Chưa</t>
        </is>
      </c>
      <c r="S167" s="0" t="inlineStr">
        <is>
          <t xml:space="preserve">Chưa</t>
        </is>
      </c>
      <c r="T167" s="0" t="inlineStr">
        <is>
          <t xml:space="preserve">Chưa</t>
        </is>
      </c>
      <c r="U167" s="0" t="inlineStr">
        <is>
          <t xml:space="preserve">Chưa</t>
        </is>
      </c>
      <c r="V167" s="0" t="inlineStr">
        <is>
          <t xml:space="preserve">Chưa</t>
        </is>
      </c>
      <c r="W167" s="0" t="inlineStr">
        <is>
          <t xml:space="preserve">Chưa</t>
        </is>
      </c>
      <c r="X167" s="0" t="inlineStr">
        <is>
          <t xml:space="preserve">Chưa</t>
        </is>
      </c>
      <c r="Y167" s="3">
        <f>COUNTIF(Q167:X167,"Xong")/8</f>
        <v>0</v>
      </c>
      <c r="Z167" s="4" t="inlineStr">
        <is>
          <t xml:space="preserve"/>
        </is>
      </c>
      <c r="AA167" s="4" t="inlineStr">
        <is>
          <t xml:space="preserve"/>
        </is>
      </c>
      <c r="AB167" s="4" t="inlineStr">
        <is>
          <t xml:space="preserve"/>
        </is>
      </c>
      <c r="AC167" s="0" t="inlineStr">
        <is>
          <t xml:space="preserve"/>
        </is>
      </c>
      <c r="AD167" s="0" t="inlineStr">
        <is>
          <t xml:space="preserve">Happy path: Tạo mẫu hoặc phiên bản tiếp theo; kiểm tra ContractTemplate {id,name,version,active}.
Thiếu phiên/phiên revoked/actor LOCKED và actor khác chủ hoặc khác participant phải bị chặn.
Ràng buộc: Mẫu có tên/phiên bản duy nhất, phiên bản &gt; 0 và nội dung, các hợp đồng tham chiếu mẫu/phiên bản qua contract_revisions.
Gửi lặp cùng khóa trả kết quả cũ; cùng khóa khác payload trả 409; hai request tranh cùng tài nguyên không vượt hạn mức.
Kiểm tra lỗi DB/provider không để lại cập nhật dở hoặc trả thành công giả.</t>
        </is>
      </c>
      <c r="AE167" s="0" t="inlineStr">
        <is>
          <t xml:space="preserve"/>
        </is>
      </c>
      <c r="AF167" s="5" t="inlineStr">
        <is>
          <t xml:space="preserve">Mở đặc tả</t>
        </is>
      </c>
    </row>
    <row r="168" ht="70" customHeight="1">
      <c r="A168" s="2" t="inlineStr">
        <is>
          <t xml:space="preserve">API-167</t>
        </is>
      </c>
      <c r="B168" s="2" t="inlineStr">
        <is>
          <t xml:space="preserve">Đánh giá &amp; quản trị</t>
        </is>
      </c>
      <c r="C168" s="2" t="inlineStr">
        <is>
          <t xml:space="preserve">templates</t>
        </is>
      </c>
      <c r="D168" s="2" t="inlineStr">
        <is>
          <t xml:space="preserve">PATCH</t>
        </is>
      </c>
      <c r="E168" s="2" t="inlineStr">
        <is>
          <t xml:space="preserve">/api/v1/admin/contract-templates/{templateId}</t>
        </is>
      </c>
      <c r="F168" s="2" t="inlineStr">
        <is>
          <t xml:space="preserve">Bật/ngừng phiên bản mẫu</t>
        </is>
      </c>
      <c r="G168" s="2" t="inlineStr">
        <is>
          <t xml:space="preserve">ADMIN: tài khoản ACTIVE có dòng admins</t>
        </is>
      </c>
      <c r="H168" s="2" t="inlineStr">
        <is>
          <t xml:space="preserve">P1</t>
        </is>
      </c>
      <c r="I168" s="2" t="inlineStr">
        <is>
          <t xml:space="preserve">Middleware auth/session/role + object scope
D09: idempotency store nếu chưa có khóa tự nhiên
D14</t>
        </is>
      </c>
      <c r="J168" s="2" t="inlineStr">
        <is>
          <t xml:space="preserve">SERVICE: cần triển khai giao dịch backend</t>
        </is>
      </c>
      <c r="K168" s="2" t="inlineStr">
        <is>
          <t xml:space="preserve">active: boolean (tùy chọn) — Không đổi nội dung phiên bản đã lưu.</t>
        </is>
      </c>
      <c r="L168" s="2" t="inlineStr">
        <is>
          <t xml:space="preserve">ContractTemplate</t>
        </is>
      </c>
      <c r="M168" s="2" t="inlineStr">
        <is>
          <t xml:space="preserve">Chỉ active; hợp đồng đã gửi giữ nội dung riêng trong revision; audit mẫu cần mở rộng D14 nếu muốn lưu moderation_actions.</t>
        </is>
      </c>
      <c r="N168" s="2" t="inlineStr">
        <is>
          <t xml:space="preserve">400 BAD_REQUEST
401 UNAUTHENTICATED
403 FORBIDDEN
404 RESOURCE_NOT_FOUND
409 STATE_CONFLICT
409 IDEMPOTENCY_KEY_REUSED
422 VALIDATION_ERROR
409 TEMPLATE_VERSION_EXISTS
422 TEMPLATE_INVALID</t>
        </is>
      </c>
      <c r="O168" s="2" t="inlineStr">
        <is>
          <t xml:space="preserve"/>
        </is>
      </c>
      <c r="P168" s="2" t="inlineStr">
        <is>
          <t xml:space="preserve">Chưa làm</t>
        </is>
      </c>
      <c r="Q168" s="2" t="inlineStr">
        <is>
          <t xml:space="preserve">Chưa</t>
        </is>
      </c>
      <c r="R168" s="2" t="inlineStr">
        <is>
          <t xml:space="preserve">Chưa</t>
        </is>
      </c>
      <c r="S168" s="2" t="inlineStr">
        <is>
          <t xml:space="preserve">Chưa</t>
        </is>
      </c>
      <c r="T168" s="2" t="inlineStr">
        <is>
          <t xml:space="preserve">Chưa</t>
        </is>
      </c>
      <c r="U168" s="2" t="inlineStr">
        <is>
          <t xml:space="preserve">Chưa</t>
        </is>
      </c>
      <c r="V168" s="2" t="inlineStr">
        <is>
          <t xml:space="preserve">Chưa</t>
        </is>
      </c>
      <c r="W168" s="2" t="inlineStr">
        <is>
          <t xml:space="preserve">Chưa</t>
        </is>
      </c>
      <c r="X168" s="2" t="inlineStr">
        <is>
          <t xml:space="preserve">Chưa</t>
        </is>
      </c>
      <c r="Y168" s="3">
        <f>COUNTIF(Q168:X168,"Xong")/8</f>
        <v>0</v>
      </c>
      <c r="Z168" s="4" t="inlineStr">
        <is>
          <t xml:space="preserve"/>
        </is>
      </c>
      <c r="AA168" s="4" t="inlineStr">
        <is>
          <t xml:space="preserve"/>
        </is>
      </c>
      <c r="AB168" s="4" t="inlineStr">
        <is>
          <t xml:space="preserve"/>
        </is>
      </c>
      <c r="AC168" s="2" t="inlineStr">
        <is>
          <t xml:space="preserve"/>
        </is>
      </c>
      <c r="AD168" s="2" t="inlineStr">
        <is>
          <t xml:space="preserve">Happy path: Bật/ngừng phiên bản mẫu; kiểm tra ContractTemplate.
Thiếu phiên/phiên revoked/actor LOCKED và actor khác chủ hoặc khác participant phải bị chặn.
Ràng buộc: Mẫu có tên/phiên bản duy nhất, phiên bản &gt; 0 và nội dung, các hợp đồng tham chiếu mẫu/phiên bản qua contract_revisions.
Gửi lặp cùng khóa trả kết quả cũ; cùng khóa khác payload trả 409; hai request tranh cùng tài nguyên không vượt hạn mức.
Kiểm tra lỗi DB/provider không để lại cập nhật dở hoặc trả thành công giả.</t>
        </is>
      </c>
      <c r="AE168" s="2" t="inlineStr">
        <is>
          <t xml:space="preserve"/>
        </is>
      </c>
      <c r="AF168" s="5" t="inlineStr">
        <is>
          <t xml:space="preserve">Mở đặc tả</t>
        </is>
      </c>
    </row>
    <row r="169" ht="70" customHeight="1">
      <c r="A169" s="0" t="inlineStr">
        <is>
          <t xml:space="preserve">API-168</t>
        </is>
      </c>
      <c r="B169" s="0" t="inlineStr">
        <is>
          <t xml:space="preserve">Đánh giá &amp; quản trị</t>
        </is>
      </c>
      <c r="C169" s="0" t="inlineStr">
        <is>
          <t xml:space="preserve">audit</t>
        </is>
      </c>
      <c r="D169" s="0" t="inlineStr">
        <is>
          <t xml:space="preserve">GET</t>
        </is>
      </c>
      <c r="E169" s="0" t="inlineStr">
        <is>
          <t xml:space="preserve">/api/v1/admin/moderation-actions</t>
        </is>
      </c>
      <c r="F169" s="0" t="inlineStr">
        <is>
          <t xml:space="preserve">Tra nhật ký quyết định</t>
        </is>
      </c>
      <c r="G169" s="0" t="inlineStr">
        <is>
          <t xml:space="preserve">ADMIN: tài khoản ACTIVE có dòng admins</t>
        </is>
      </c>
      <c r="H169" s="0" t="inlineStr">
        <is>
          <t xml:space="preserve">P1</t>
        </is>
      </c>
      <c r="I169" s="0" t="inlineStr">
        <is>
          <t xml:space="preserve">Middleware auth/session/role + object scope</t>
        </is>
      </c>
      <c r="J169" s="0" t="inlineStr">
        <is>
          <t xml:space="preserve">READ: truy vấn có scope quyền</t>
        </is>
      </c>
      <c r="K169" s="0" t="inlineStr">
        <is>
          <t xml:space="preserve">Không có JSON body</t>
        </is>
      </c>
      <c r="L169" s="0" t="inlineStr">
        <is>
          <t xml:space="preserve">ModerationAction[] {actor,action,target,reason,occurredAt}</t>
        </is>
      </c>
      <c r="M169" s="0" t="inlineStr">
        <is>
          <t xml:space="preserve">Lọc actor/action/target/from/to; chỉ đọc, không có endpoint sửa/xóa audit. Snapshot che dữ liệu nhạy cảm.</t>
        </is>
      </c>
      <c r="N169" s="0" t="inlineStr">
        <is>
          <t xml:space="preserve">400 BAD_REQUEST
401 UNAUTHENTICATED
403 FORBIDDEN
404 RESOURCE_NOT_FOUND
422 VALIDATION_ERROR</t>
        </is>
      </c>
      <c r="O169" s="0" t="inlineStr">
        <is>
          <t xml:space="preserve"/>
        </is>
      </c>
      <c r="P169" s="0" t="inlineStr">
        <is>
          <t xml:space="preserve">Chưa làm</t>
        </is>
      </c>
      <c r="Q169" s="0" t="inlineStr">
        <is>
          <t xml:space="preserve">Chưa</t>
        </is>
      </c>
      <c r="R169" s="0" t="inlineStr">
        <is>
          <t xml:space="preserve">Chưa</t>
        </is>
      </c>
      <c r="S169" s="0" t="inlineStr">
        <is>
          <t xml:space="preserve">Chưa</t>
        </is>
      </c>
      <c r="T169" s="0" t="inlineStr">
        <is>
          <t xml:space="preserve">Chưa</t>
        </is>
      </c>
      <c r="U169" s="0" t="inlineStr">
        <is>
          <t xml:space="preserve">Chưa</t>
        </is>
      </c>
      <c r="V169" s="0" t="inlineStr">
        <is>
          <t xml:space="preserve">Chưa</t>
        </is>
      </c>
      <c r="W169" s="0" t="inlineStr">
        <is>
          <t xml:space="preserve">Chưa</t>
        </is>
      </c>
      <c r="X169" s="0" t="inlineStr">
        <is>
          <t xml:space="preserve">Chưa</t>
        </is>
      </c>
      <c r="Y169" s="3">
        <f>COUNTIF(Q169:X169,"Xong")/8</f>
        <v>0</v>
      </c>
      <c r="Z169" s="4" t="inlineStr">
        <is>
          <t xml:space="preserve"/>
        </is>
      </c>
      <c r="AA169" s="4" t="inlineStr">
        <is>
          <t xml:space="preserve"/>
        </is>
      </c>
      <c r="AB169" s="4" t="inlineStr">
        <is>
          <t xml:space="preserve"/>
        </is>
      </c>
      <c r="AC169" s="0" t="inlineStr">
        <is>
          <t xml:space="preserve"/>
        </is>
      </c>
      <c r="AD169" s="0" t="inlineStr">
        <is>
          <t xml:space="preserve">Happy path: Tra nhật ký quyết định; kiểm tra ModerationAction[] {actor,action,target,reason,occurredAt}.
Thiếu phiên/phiên revoked/actor LOCKED và actor khác chủ hoặc khác participant phải bị chặn.
Ràng buộc: moderation_actions nhắm đúng một loại đối tượng; các FK giữ liên kết với đối tượng hợp lệ.
Phân trang/lọc đúng scope; dữ liệu riêng tư bị loại trên server, không chỉ ẩn UI.
Kiểm tra lỗi DB/provider không để lại cập nhật dở hoặc trả thành công giả.</t>
        </is>
      </c>
      <c r="AE169" s="0" t="inlineStr">
        <is>
          <t xml:space="preserve"/>
        </is>
      </c>
      <c r="AF169" s="5" t="inlineStr">
        <is>
          <t xml:space="preserve">Mở đặc tả</t>
        </is>
      </c>
    </row>
    <row r="170" ht="70" customHeight="1">
      <c r="A170" s="2" t="inlineStr">
        <is>
          <t xml:space="preserve">API-169</t>
        </is>
      </c>
      <c r="B170" s="2" t="inlineStr">
        <is>
          <t xml:space="preserve">Đánh giá &amp; quản trị</t>
        </is>
      </c>
      <c r="C170" s="2" t="inlineStr">
        <is>
          <t xml:space="preserve">audit</t>
        </is>
      </c>
      <c r="D170" s="2" t="inlineStr">
        <is>
          <t xml:space="preserve">GET</t>
        </is>
      </c>
      <c r="E170" s="2" t="inlineStr">
        <is>
          <t xml:space="preserve">/api/v1/admin/moderation-actions/{actionId}</t>
        </is>
      </c>
      <c r="F170" s="2" t="inlineStr">
        <is>
          <t xml:space="preserve">Chi tiết quyết định trước/sau</t>
        </is>
      </c>
      <c r="G170" s="2" t="inlineStr">
        <is>
          <t xml:space="preserve">ADMIN: tài khoản ACTIVE có dòng admins</t>
        </is>
      </c>
      <c r="H170" s="2" t="inlineStr">
        <is>
          <t xml:space="preserve">P1</t>
        </is>
      </c>
      <c r="I170" s="2" t="inlineStr">
        <is>
          <t xml:space="preserve">Middleware auth/session/role + object scope</t>
        </is>
      </c>
      <c r="J170" s="2" t="inlineStr">
        <is>
          <t xml:space="preserve">READ: truy vấn có scope quyền</t>
        </is>
      </c>
      <c r="K170" s="2" t="inlineStr">
        <is>
          <t xml:space="preserve">Không có JSON body</t>
        </is>
      </c>
      <c r="L170" s="2" t="inlineStr">
        <is>
          <t xml:space="preserve">ModerationAction với beforeSnapshot/afterSnapshot đã lọc</t>
        </is>
      </c>
      <c r="M170" s="2" t="inlineStr">
        <is>
          <t xml:space="preserve">Không trả secrets trong snapshots; house decision hiện dùng target_user_id + house/verification ID trong JSON, không có target_house_id.</t>
        </is>
      </c>
      <c r="N170" s="2" t="inlineStr">
        <is>
          <t xml:space="preserve">400 BAD_REQUEST
401 UNAUTHENTICATED
403 FORBIDDEN
404 RESOURCE_NOT_FOUND</t>
        </is>
      </c>
      <c r="O170" s="2" t="inlineStr">
        <is>
          <t xml:space="preserve"/>
        </is>
      </c>
      <c r="P170" s="2" t="inlineStr">
        <is>
          <t xml:space="preserve">Chưa làm</t>
        </is>
      </c>
      <c r="Q170" s="2" t="inlineStr">
        <is>
          <t xml:space="preserve">Chưa</t>
        </is>
      </c>
      <c r="R170" s="2" t="inlineStr">
        <is>
          <t xml:space="preserve">Chưa</t>
        </is>
      </c>
      <c r="S170" s="2" t="inlineStr">
        <is>
          <t xml:space="preserve">Chưa</t>
        </is>
      </c>
      <c r="T170" s="2" t="inlineStr">
        <is>
          <t xml:space="preserve">Chưa</t>
        </is>
      </c>
      <c r="U170" s="2" t="inlineStr">
        <is>
          <t xml:space="preserve">Chưa</t>
        </is>
      </c>
      <c r="V170" s="2" t="inlineStr">
        <is>
          <t xml:space="preserve">Chưa</t>
        </is>
      </c>
      <c r="W170" s="2" t="inlineStr">
        <is>
          <t xml:space="preserve">Chưa</t>
        </is>
      </c>
      <c r="X170" s="2" t="inlineStr">
        <is>
          <t xml:space="preserve">Chưa</t>
        </is>
      </c>
      <c r="Y170" s="3">
        <f>COUNTIF(Q170:X170,"Xong")/8</f>
        <v>0</v>
      </c>
      <c r="Z170" s="4" t="inlineStr">
        <is>
          <t xml:space="preserve"/>
        </is>
      </c>
      <c r="AA170" s="4" t="inlineStr">
        <is>
          <t xml:space="preserve"/>
        </is>
      </c>
      <c r="AB170" s="4" t="inlineStr">
        <is>
          <t xml:space="preserve"/>
        </is>
      </c>
      <c r="AC170" s="2" t="inlineStr">
        <is>
          <t xml:space="preserve"/>
        </is>
      </c>
      <c r="AD170" s="2" t="inlineStr">
        <is>
          <t xml:space="preserve">Happy path: Chi tiết quyết định trước/sau; kiểm tra ModerationAction với beforeSnapshot/afterSnapshot đã lọc.
Thiếu phiên/phiên revoked/actor LOCKED và actor khác chủ hoặc khác participant phải bị chặn.
Ràng buộc: moderation_actions nhắm đúng một loại đối tượng; các FK giữ liên kết với đối tượng hợp lệ.
Phân trang/lọc đúng scope; dữ liệu riêng tư bị loại trên server, không chỉ ẩn UI.
Kiểm tra lỗi DB/provider không để lại cập nhật dở hoặc trả thành công giả.</t>
        </is>
      </c>
      <c r="AE170" s="2" t="inlineStr">
        <is>
          <t xml:space="preserve"/>
        </is>
      </c>
      <c r="AF170" s="5" t="inlineStr">
        <is>
          <t xml:space="preserve">Mở đặc tả</t>
        </is>
      </c>
    </row>
    <row r="171" ht="70" customHeight="1">
      <c r="A171" s="0" t="inlineStr">
        <is>
          <t xml:space="preserve">API-170</t>
        </is>
      </c>
      <c r="B171" s="0" t="inlineStr">
        <is>
          <t xml:space="preserve">Dữ liệu &amp; tích hợp</t>
        </is>
      </c>
      <c r="C171" s="0" t="inlineStr">
        <is>
          <t xml:space="preserve">file-storage</t>
        </is>
      </c>
      <c r="D171" s="0" t="inlineStr">
        <is>
          <t xml:space="preserve">POST</t>
        </is>
      </c>
      <c r="E171" s="0" t="inlineStr">
        <is>
          <t xml:space="preserve">/api/v1/files/upload-sessions</t>
        </is>
      </c>
      <c r="F171" s="0" t="inlineStr">
        <is>
          <t xml:space="preserve">Xin phiên upload theo mục đích</t>
        </is>
      </c>
      <c r="G171" s="0" t="inlineStr">
        <is>
          <t xml:space="preserve">USER: tài khoản ACTIVE; chỉ dữ liệu của mình</t>
        </is>
      </c>
      <c r="H171" s="0" t="inlineStr">
        <is>
          <t xml:space="preserve">P1</t>
        </is>
      </c>
      <c r="I171" s="0" t="inlineStr">
        <is>
          <t xml:space="preserve">Middleware auth/session/role + object scope
D09: idempotency store nếu chưa có khóa tự nhiên
D05</t>
        </is>
      </c>
      <c r="J171" s="0" t="inlineStr">
        <is>
          <t xml:space="preserve">SERVICE: cần triển khai giao dịch backend</t>
        </is>
      </c>
      <c r="K171" s="0" t="inlineStr">
        <is>
          <t xml:space="preserve">purpose: enum (bắt buộc) — AVATAR/POST_IMAGE/IDENTITY/LANDLORD_PROOF/CONTRACT/REPORT_EVIDENCE/CHAT_IMAGE.
originalName: string (bắt buộc) — ≤255 ký tự; không dùng làm storage key.
mimeType: string (bắt buộc) — Allowlist theo purpose, kiểm tra lại bytes.
sizeBytes: integer (bắt buộc) — Proof nhà: 1–5.242.880 bytes; mục đích khác theo D05.
sha256: string (bắt buộc) — 64 ký tự hex; xác minh sau upload.</t>
        </is>
      </c>
      <c r="L171" s="0" t="inlineStr">
        <is>
          <t xml:space="preserve">{fileId,status:STAGED,uploadUrl,expiresAt,requiredHeaders}</t>
        </is>
      </c>
      <c r="M171" s="0" t="inlineStr">
        <is>
          <t xml:space="preserve">Server tự owner/storage_key/PRIVATE cho giấy tờ, URL ký ngắn hạn; không tin visibility client. Chưa có object storage thật; PUT bytes tới uploadUrl là giao thức kho, không endpoint nghiệp vụ mới.</t>
        </is>
      </c>
      <c r="N171" s="0" t="inlineStr">
        <is>
          <t xml:space="preserve">400 BAD_REQUEST
401 UNAUTHENTICATED
403 FORBIDDEN
404 RESOURCE_NOT_FOUND
409 STATE_CONFLICT
409 IDEMPOTENCY_KEY_REUSED
422 VALIDATION_ERROR
422 FILE_INVALID
403 FILE_CONTEXT_FORBIDDEN
409 EVIDENCE_IMMUTABLE</t>
        </is>
      </c>
      <c r="O171" s="0" t="inlineStr">
        <is>
          <t xml:space="preserve"/>
        </is>
      </c>
      <c r="P171" s="0" t="inlineStr">
        <is>
          <t xml:space="preserve">Chưa làm</t>
        </is>
      </c>
      <c r="Q171" s="0" t="inlineStr">
        <is>
          <t xml:space="preserve">Chưa</t>
        </is>
      </c>
      <c r="R171" s="0" t="inlineStr">
        <is>
          <t xml:space="preserve">Chưa</t>
        </is>
      </c>
      <c r="S171" s="0" t="inlineStr">
        <is>
          <t xml:space="preserve">Chưa</t>
        </is>
      </c>
      <c r="T171" s="0" t="inlineStr">
        <is>
          <t xml:space="preserve">Chưa</t>
        </is>
      </c>
      <c r="U171" s="0" t="inlineStr">
        <is>
          <t xml:space="preserve">Chưa</t>
        </is>
      </c>
      <c r="V171" s="0" t="inlineStr">
        <is>
          <t xml:space="preserve">Chưa</t>
        </is>
      </c>
      <c r="W171" s="0" t="inlineStr">
        <is>
          <t xml:space="preserve">Chưa</t>
        </is>
      </c>
      <c r="X171" s="0" t="inlineStr">
        <is>
          <t xml:space="preserve">Chưa</t>
        </is>
      </c>
      <c r="Y171" s="3">
        <f>COUNTIF(Q171:X171,"Xong")/8</f>
        <v>0</v>
      </c>
      <c r="Z171" s="4" t="inlineStr">
        <is>
          <t xml:space="preserve"/>
        </is>
      </c>
      <c r="AA171" s="4" t="inlineStr">
        <is>
          <t xml:space="preserve"/>
        </is>
      </c>
      <c r="AB171" s="4" t="inlineStr">
        <is>
          <t xml:space="preserve"/>
        </is>
      </c>
      <c r="AC171" s="0" t="inlineStr">
        <is>
          <t xml:space="preserve"/>
        </is>
      </c>
      <c r="AD171" s="0" t="inlineStr">
        <is>
          <t xml:space="preserve">Happy path: Xin phiên upload theo mục đích; kiểm tra {fileId,status:STAGED,uploadUrl,expiresAt,requiredHeaders}.
Thiếu phiên/phiên revoked/actor LOCKED và actor khác chủ hoặc khác participant phải bị chặn.
Ràng buộc: storage_key duy nhất; size_bytes ≥ 0; ngoài AVATAR/POST_IMAGE, tài liệu bắt buộc PRIVATE.
Gửi lặp cùng khóa trả kết quả cũ; cùng khóa khác payload trả 409; hai request tranh cùng tài nguyên không vượt hạn mức.
Kiểm tra lỗi DB/provider không để lại cập nhật dở hoặc trả thành công giả.</t>
        </is>
      </c>
      <c r="AE171" s="0" t="inlineStr">
        <is>
          <t xml:space="preserve"/>
        </is>
      </c>
      <c r="AF171" s="5" t="inlineStr">
        <is>
          <t xml:space="preserve">Mở đặc tả</t>
        </is>
      </c>
    </row>
    <row r="172" ht="70" customHeight="1">
      <c r="A172" s="2" t="inlineStr">
        <is>
          <t xml:space="preserve">API-171</t>
        </is>
      </c>
      <c r="B172" s="2" t="inlineStr">
        <is>
          <t xml:space="preserve">Dữ liệu &amp; tích hợp</t>
        </is>
      </c>
      <c r="C172" s="2" t="inlineStr">
        <is>
          <t xml:space="preserve">file-storage</t>
        </is>
      </c>
      <c r="D172" s="2" t="inlineStr">
        <is>
          <t xml:space="preserve">POST</t>
        </is>
      </c>
      <c r="E172" s="2" t="inlineStr">
        <is>
          <t xml:space="preserve">/api/v1/files/{fileId}/complete</t>
        </is>
      </c>
      <c r="F172" s="2" t="inlineStr">
        <is>
          <t xml:space="preserve">Xác minh tệp upload hoàn tất</t>
        </is>
      </c>
      <c r="G172" s="2" t="inlineStr">
        <is>
          <t xml:space="preserve">USER: tài khoản ACTIVE; chỉ dữ liệu của mình</t>
        </is>
      </c>
      <c r="H172" s="2" t="inlineStr">
        <is>
          <t xml:space="preserve">P1</t>
        </is>
      </c>
      <c r="I172" s="2" t="inlineStr">
        <is>
          <t xml:space="preserve">Middleware auth/session/role + object scope
D09: idempotency store nếu chưa có khóa tự nhiên</t>
        </is>
      </c>
      <c r="J172" s="2" t="inlineStr">
        <is>
          <t xml:space="preserve">SERVICE: cần triển khai giao dịch backend</t>
        </is>
      </c>
      <c r="K172" s="2" t="inlineStr">
        <is>
          <t xml:space="preserve">Không có JSON body</t>
        </is>
      </c>
      <c r="L172" s="2" t="inlineStr">
        <is>
          <t xml:space="preserve">File {id,status:ACTIVE,purpose,sizeBytes}</t>
        </is>
      </c>
      <c r="M172" s="2" t="inlineStr">
        <is>
          <t xml:space="preserve">Chỉ chủ tệp STAGED; HEAD/checksum/MIME magic/quét nội dung từ kho; chỉ ACTIVE khi đạt. Không coi tên tệp client là đã upload.</t>
        </is>
      </c>
      <c r="N172" s="2" t="inlineStr">
        <is>
          <t xml:space="preserve">400 BAD_REQUEST
401 UNAUTHENTICATED
403 FORBIDDEN
404 RESOURCE_NOT_FOUND
409 STATE_CONFLICT
409 IDEMPOTENCY_KEY_REUSED
422 VALIDATION_ERROR
422 FILE_INVALID
403 FILE_CONTEXT_FORBIDDEN
409 EVIDENCE_IMMUTABLE</t>
        </is>
      </c>
      <c r="O172" s="2" t="inlineStr">
        <is>
          <t xml:space="preserve"/>
        </is>
      </c>
      <c r="P172" s="2" t="inlineStr">
        <is>
          <t xml:space="preserve">Chưa làm</t>
        </is>
      </c>
      <c r="Q172" s="2" t="inlineStr">
        <is>
          <t xml:space="preserve">Chưa</t>
        </is>
      </c>
      <c r="R172" s="2" t="inlineStr">
        <is>
          <t xml:space="preserve">Chưa</t>
        </is>
      </c>
      <c r="S172" s="2" t="inlineStr">
        <is>
          <t xml:space="preserve">Chưa</t>
        </is>
      </c>
      <c r="T172" s="2" t="inlineStr">
        <is>
          <t xml:space="preserve">Chưa</t>
        </is>
      </c>
      <c r="U172" s="2" t="inlineStr">
        <is>
          <t xml:space="preserve">Chưa</t>
        </is>
      </c>
      <c r="V172" s="2" t="inlineStr">
        <is>
          <t xml:space="preserve">Chưa</t>
        </is>
      </c>
      <c r="W172" s="2" t="inlineStr">
        <is>
          <t xml:space="preserve">Chưa</t>
        </is>
      </c>
      <c r="X172" s="2" t="inlineStr">
        <is>
          <t xml:space="preserve">Chưa</t>
        </is>
      </c>
      <c r="Y172" s="3">
        <f>COUNTIF(Q172:X172,"Xong")/8</f>
        <v>0</v>
      </c>
      <c r="Z172" s="4" t="inlineStr">
        <is>
          <t xml:space="preserve"/>
        </is>
      </c>
      <c r="AA172" s="4" t="inlineStr">
        <is>
          <t xml:space="preserve"/>
        </is>
      </c>
      <c r="AB172" s="4" t="inlineStr">
        <is>
          <t xml:space="preserve"/>
        </is>
      </c>
      <c r="AC172" s="2" t="inlineStr">
        <is>
          <t xml:space="preserve"/>
        </is>
      </c>
      <c r="AD172" s="2" t="inlineStr">
        <is>
          <t xml:space="preserve">Happy path: Xác minh tệp upload hoàn tất; kiểm tra File {id,status:ACTIVE,purpose,sizeBytes}.
Thiếu phiên/phiên revoked/actor LOCKED và actor khác chủ hoặc khác participant phải bị chặn.
Ràng buộc: storage_key duy nhất; size_bytes ≥ 0; ngoài AVATAR/POST_IMAGE, tài liệu bắt buộc PRIVATE.
Gửi lặp cùng khóa trả kết quả cũ; cùng khóa khác payload trả 409; hai request tranh cùng tài nguyên không vượt hạn mức.
Kiểm tra lỗi DB/provider không để lại cập nhật dở hoặc trả thành công giả.</t>
        </is>
      </c>
      <c r="AE172" s="2" t="inlineStr">
        <is>
          <t xml:space="preserve"/>
        </is>
      </c>
      <c r="AF172" s="5" t="inlineStr">
        <is>
          <t xml:space="preserve">Mở đặc tả</t>
        </is>
      </c>
    </row>
    <row r="173" ht="70" customHeight="1">
      <c r="A173" s="0" t="inlineStr">
        <is>
          <t xml:space="preserve">API-172</t>
        </is>
      </c>
      <c r="B173" s="0" t="inlineStr">
        <is>
          <t xml:space="preserve">Dữ liệu &amp; tích hợp</t>
        </is>
      </c>
      <c r="C173" s="0" t="inlineStr">
        <is>
          <t xml:space="preserve">file-storage</t>
        </is>
      </c>
      <c r="D173" s="0" t="inlineStr">
        <is>
          <t xml:space="preserve">GET</t>
        </is>
      </c>
      <c r="E173" s="0" t="inlineStr">
        <is>
          <t xml:space="preserve">/api/v1/files/{fileId}</t>
        </is>
      </c>
      <c r="F173" s="0" t="inlineStr">
        <is>
          <t xml:space="preserve">Metadata tệp được phép xem</t>
        </is>
      </c>
      <c r="G173" s="0" t="inlineStr">
        <is>
          <t xml:space="preserve">USER: tài khoản ACTIVE; chỉ dữ liệu của mình</t>
        </is>
      </c>
      <c r="H173" s="0" t="inlineStr">
        <is>
          <t xml:space="preserve">P1</t>
        </is>
      </c>
      <c r="I173" s="0" t="inlineStr">
        <is>
          <t xml:space="preserve">Middleware auth/session/role + object scope</t>
        </is>
      </c>
      <c r="J173" s="0" t="inlineStr">
        <is>
          <t xml:space="preserve">READ: truy vấn có scope quyền</t>
        </is>
      </c>
      <c r="K173" s="0" t="inlineStr">
        <is>
          <t xml:space="preserve">Không có JSON body</t>
        </is>
      </c>
      <c r="L173" s="0" t="inlineStr">
        <is>
          <t xml:space="preserve">File metadata an toàn; không storageKey/raw bucket URL</t>
        </is>
      </c>
      <c r="M173" s="0" t="inlineStr">
        <is>
          <t xml:space="preserve">Chủ hoặc người có quyền qua hồ sơ/report/contract/chat; kiểm tra cả purpose/context/status/hạn lưu. Đoán ID không cấp quyền.</t>
        </is>
      </c>
      <c r="N173" s="0" t="inlineStr">
        <is>
          <t xml:space="preserve">400 BAD_REQUEST
401 UNAUTHENTICATED
403 FORBIDDEN
404 RESOURCE_NOT_FOUND</t>
        </is>
      </c>
      <c r="O173" s="0" t="inlineStr">
        <is>
          <t xml:space="preserve"/>
        </is>
      </c>
      <c r="P173" s="0" t="inlineStr">
        <is>
          <t xml:space="preserve">Chưa làm</t>
        </is>
      </c>
      <c r="Q173" s="0" t="inlineStr">
        <is>
          <t xml:space="preserve">Chưa</t>
        </is>
      </c>
      <c r="R173" s="0" t="inlineStr">
        <is>
          <t xml:space="preserve">Chưa</t>
        </is>
      </c>
      <c r="S173" s="0" t="inlineStr">
        <is>
          <t xml:space="preserve">Chưa</t>
        </is>
      </c>
      <c r="T173" s="0" t="inlineStr">
        <is>
          <t xml:space="preserve">Chưa</t>
        </is>
      </c>
      <c r="U173" s="0" t="inlineStr">
        <is>
          <t xml:space="preserve">Chưa</t>
        </is>
      </c>
      <c r="V173" s="0" t="inlineStr">
        <is>
          <t xml:space="preserve">Chưa</t>
        </is>
      </c>
      <c r="W173" s="0" t="inlineStr">
        <is>
          <t xml:space="preserve">Chưa</t>
        </is>
      </c>
      <c r="X173" s="0" t="inlineStr">
        <is>
          <t xml:space="preserve">Chưa</t>
        </is>
      </c>
      <c r="Y173" s="3">
        <f>COUNTIF(Q173:X173,"Xong")/8</f>
        <v>0</v>
      </c>
      <c r="Z173" s="4" t="inlineStr">
        <is>
          <t xml:space="preserve"/>
        </is>
      </c>
      <c r="AA173" s="4" t="inlineStr">
        <is>
          <t xml:space="preserve"/>
        </is>
      </c>
      <c r="AB173" s="4" t="inlineStr">
        <is>
          <t xml:space="preserve"/>
        </is>
      </c>
      <c r="AC173" s="0" t="inlineStr">
        <is>
          <t xml:space="preserve"/>
        </is>
      </c>
      <c r="AD173" s="0" t="inlineStr">
        <is>
          <t xml:space="preserve">Happy path: Metadata tệp được phép xem; kiểm tra File metadata an toàn; không storageKey/raw bucket URL.
Thiếu phiên/phiên revoked/actor LOCKED và actor khác chủ hoặc khác participant phải bị chặn.
Ràng buộc: storage_key duy nhất; size_bytes ≥ 0; ngoài AVATAR/POST_IMAGE, tài liệu bắt buộc PRIVATE.
Phân trang/lọc đúng scope; dữ liệu riêng tư bị loại trên server, không chỉ ẩn UI.
Kiểm tra lỗi DB/provider không để lại cập nhật dở hoặc trả thành công giả.</t>
        </is>
      </c>
      <c r="AE173" s="0" t="inlineStr">
        <is>
          <t xml:space="preserve"/>
        </is>
      </c>
      <c r="AF173" s="5" t="inlineStr">
        <is>
          <t xml:space="preserve">Mở đặc tả</t>
        </is>
      </c>
    </row>
    <row r="174" ht="70" customHeight="1">
      <c r="A174" s="2" t="inlineStr">
        <is>
          <t xml:space="preserve">API-173</t>
        </is>
      </c>
      <c r="B174" s="2" t="inlineStr">
        <is>
          <t xml:space="preserve">Dữ liệu &amp; tích hợp</t>
        </is>
      </c>
      <c r="C174" s="2" t="inlineStr">
        <is>
          <t xml:space="preserve">file-storage</t>
        </is>
      </c>
      <c r="D174" s="2" t="inlineStr">
        <is>
          <t xml:space="preserve">POST</t>
        </is>
      </c>
      <c r="E174" s="2" t="inlineStr">
        <is>
          <t xml:space="preserve">/api/v1/files/{fileId}/download-links</t>
        </is>
      </c>
      <c r="F174" s="2" t="inlineStr">
        <is>
          <t xml:space="preserve">Cấp URL đọc riêng tư có hạn</t>
        </is>
      </c>
      <c r="G174" s="2" t="inlineStr">
        <is>
          <t xml:space="preserve">USER: tài khoản ACTIVE; chỉ dữ liệu của mình</t>
        </is>
      </c>
      <c r="H174" s="2" t="inlineStr">
        <is>
          <t xml:space="preserve">P1</t>
        </is>
      </c>
      <c r="I174" s="2" t="inlineStr">
        <is>
          <t xml:space="preserve">Middleware auth/session/role + object scope
D09: idempotency store nếu chưa có khóa tự nhiên</t>
        </is>
      </c>
      <c r="J174" s="2" t="inlineStr">
        <is>
          <t xml:space="preserve">SERVICE: cần triển khai giao dịch backend</t>
        </is>
      </c>
      <c r="K174" s="2" t="inlineStr">
        <is>
          <t xml:space="preserve">Không có JSON body</t>
        </is>
      </c>
      <c r="L174" s="2" t="inlineStr">
        <is>
          <t xml:space="preserve">{downloadUrl,expiresAt}</t>
        </is>
      </c>
      <c r="M174" s="2" t="inlineStr">
        <is>
          <t xml:space="preserve">Kiểm tra role + liên kết nghiệp vụ tại thời điểm cấp; TTL ngắn, không cache công khai; admin được đọc hồ sơ phục vụ xét duyệt.</t>
        </is>
      </c>
      <c r="N174" s="2" t="inlineStr">
        <is>
          <t xml:space="preserve">400 BAD_REQUEST
401 UNAUTHENTICATED
403 FORBIDDEN
404 RESOURCE_NOT_FOUND
409 STATE_CONFLICT
409 IDEMPOTENCY_KEY_REUSED
422 VALIDATION_ERROR
422 FILE_INVALID
403 FILE_CONTEXT_FORBIDDEN
409 EVIDENCE_IMMUTABLE</t>
        </is>
      </c>
      <c r="O174" s="2" t="inlineStr">
        <is>
          <t xml:space="preserve"/>
        </is>
      </c>
      <c r="P174" s="2" t="inlineStr">
        <is>
          <t xml:space="preserve">Chưa làm</t>
        </is>
      </c>
      <c r="Q174" s="2" t="inlineStr">
        <is>
          <t xml:space="preserve">Chưa</t>
        </is>
      </c>
      <c r="R174" s="2" t="inlineStr">
        <is>
          <t xml:space="preserve">Chưa</t>
        </is>
      </c>
      <c r="S174" s="2" t="inlineStr">
        <is>
          <t xml:space="preserve">Chưa</t>
        </is>
      </c>
      <c r="T174" s="2" t="inlineStr">
        <is>
          <t xml:space="preserve">Chưa</t>
        </is>
      </c>
      <c r="U174" s="2" t="inlineStr">
        <is>
          <t xml:space="preserve">Chưa</t>
        </is>
      </c>
      <c r="V174" s="2" t="inlineStr">
        <is>
          <t xml:space="preserve">Chưa</t>
        </is>
      </c>
      <c r="W174" s="2" t="inlineStr">
        <is>
          <t xml:space="preserve">Chưa</t>
        </is>
      </c>
      <c r="X174" s="2" t="inlineStr">
        <is>
          <t xml:space="preserve">Chưa</t>
        </is>
      </c>
      <c r="Y174" s="3">
        <f>COUNTIF(Q174:X174,"Xong")/8</f>
        <v>0</v>
      </c>
      <c r="Z174" s="4" t="inlineStr">
        <is>
          <t xml:space="preserve"/>
        </is>
      </c>
      <c r="AA174" s="4" t="inlineStr">
        <is>
          <t xml:space="preserve"/>
        </is>
      </c>
      <c r="AB174" s="4" t="inlineStr">
        <is>
          <t xml:space="preserve"/>
        </is>
      </c>
      <c r="AC174" s="2" t="inlineStr">
        <is>
          <t xml:space="preserve"/>
        </is>
      </c>
      <c r="AD174" s="2" t="inlineStr">
        <is>
          <t xml:space="preserve">Happy path: Cấp URL đọc riêng tư có hạn; kiểm tra {downloadUrl,expiresAt}.
Thiếu phiên/phiên revoked/actor LOCKED và actor khác chủ hoặc khác participant phải bị chặn.
Ràng buộc: storage_key duy nhất; size_bytes ≥ 0; ngoài AVATAR/POST_IMAGE, tài liệu bắt buộc PRIVATE.
Gửi lặp cùng khóa trả kết quả cũ; cùng khóa khác payload trả 409; hai request tranh cùng tài nguyên không vượt hạn mức.
Kiểm tra lỗi DB/provider không để lại cập nhật dở hoặc trả thành công giả.</t>
        </is>
      </c>
      <c r="AE174" s="2" t="inlineStr">
        <is>
          <t xml:space="preserve"/>
        </is>
      </c>
      <c r="AF174" s="5" t="inlineStr">
        <is>
          <t xml:space="preserve">Mở đặc tả</t>
        </is>
      </c>
    </row>
    <row r="175" ht="70" customHeight="1">
      <c r="A175" s="0" t="inlineStr">
        <is>
          <t xml:space="preserve">API-174</t>
        </is>
      </c>
      <c r="B175" s="0" t="inlineStr">
        <is>
          <t xml:space="preserve">Dữ liệu &amp; tích hợp</t>
        </is>
      </c>
      <c r="C175" s="0" t="inlineStr">
        <is>
          <t xml:space="preserve">file-storage</t>
        </is>
      </c>
      <c r="D175" s="0" t="inlineStr">
        <is>
          <t xml:space="preserve">DELETE</t>
        </is>
      </c>
      <c r="E175" s="0" t="inlineStr">
        <is>
          <t xml:space="preserve">/api/v1/files/{fileId}</t>
        </is>
      </c>
      <c r="F175" s="0" t="inlineStr">
        <is>
          <t xml:space="preserve">Xóa mềm tệp chưa bị giữ làm chứng cứ</t>
        </is>
      </c>
      <c r="G175" s="0" t="inlineStr">
        <is>
          <t xml:space="preserve">USER: tài khoản ACTIVE; chỉ dữ liệu của mình</t>
        </is>
      </c>
      <c r="H175" s="0" t="inlineStr">
        <is>
          <t xml:space="preserve">P1</t>
        </is>
      </c>
      <c r="I175" s="0" t="inlineStr">
        <is>
          <t xml:space="preserve">Middleware auth/session/role + object scope
D09: idempotency store nếu chưa có khóa tự nhiên
D05</t>
        </is>
      </c>
      <c r="J175" s="0" t="inlineStr">
        <is>
          <t xml:space="preserve">SERVICE: cần triển khai giao dịch backend</t>
        </is>
      </c>
      <c r="K175" s="0" t="inlineStr">
        <is>
          <t xml:space="preserve">Không có JSON body</t>
        </is>
      </c>
      <c r="L175" s="0" t="inlineStr">
        <is>
          <t xml:space="preserve">File {id,status:DELETED}</t>
        </is>
      </c>
      <c r="M175" s="0" t="inlineStr">
        <is>
          <t xml:space="preserve">Chỉ chủ, kiểm tra tham chiếu/retention. Proof nhà đã nộp bất biến, không cho đổi bytes/visibility/xóa; tệp hợp đồng/giấy tờ giữ theo policy D05. Không xóa thẳng object trước khi DB cho phép.</t>
        </is>
      </c>
      <c r="N175" s="0" t="inlineStr">
        <is>
          <t xml:space="preserve">400 BAD_REQUEST
401 UNAUTHENTICATED
403 FORBIDDEN
404 RESOURCE_NOT_FOUND
409 STATE_CONFLICT
409 IDEMPOTENCY_KEY_REUSED
422 VALIDATION_ERROR
422 FILE_INVALID
403 FILE_CONTEXT_FORBIDDEN
409 EVIDENCE_IMMUTABLE</t>
        </is>
      </c>
      <c r="O175" s="0" t="inlineStr">
        <is>
          <t xml:space="preserve"/>
        </is>
      </c>
      <c r="P175" s="0" t="inlineStr">
        <is>
          <t xml:space="preserve">Chưa làm</t>
        </is>
      </c>
      <c r="Q175" s="0" t="inlineStr">
        <is>
          <t xml:space="preserve">Chưa</t>
        </is>
      </c>
      <c r="R175" s="0" t="inlineStr">
        <is>
          <t xml:space="preserve">Chưa</t>
        </is>
      </c>
      <c r="S175" s="0" t="inlineStr">
        <is>
          <t xml:space="preserve">Chưa</t>
        </is>
      </c>
      <c r="T175" s="0" t="inlineStr">
        <is>
          <t xml:space="preserve">Chưa</t>
        </is>
      </c>
      <c r="U175" s="0" t="inlineStr">
        <is>
          <t xml:space="preserve">Chưa</t>
        </is>
      </c>
      <c r="V175" s="0" t="inlineStr">
        <is>
          <t xml:space="preserve">Chưa</t>
        </is>
      </c>
      <c r="W175" s="0" t="inlineStr">
        <is>
          <t xml:space="preserve">Chưa</t>
        </is>
      </c>
      <c r="X175" s="0" t="inlineStr">
        <is>
          <t xml:space="preserve">Chưa</t>
        </is>
      </c>
      <c r="Y175" s="3">
        <f>COUNTIF(Q175:X175,"Xong")/8</f>
        <v>0</v>
      </c>
      <c r="Z175" s="4" t="inlineStr">
        <is>
          <t xml:space="preserve"/>
        </is>
      </c>
      <c r="AA175" s="4" t="inlineStr">
        <is>
          <t xml:space="preserve"/>
        </is>
      </c>
      <c r="AB175" s="4" t="inlineStr">
        <is>
          <t xml:space="preserve"/>
        </is>
      </c>
      <c r="AC175" s="0" t="inlineStr">
        <is>
          <t xml:space="preserve"/>
        </is>
      </c>
      <c r="AD175" s="0" t="inlineStr">
        <is>
          <t xml:space="preserve">Happy path: Xóa mềm tệp chưa bị giữ làm chứng cứ; kiểm tra File {id,status:DELETED}.
Thiếu phiên/phiên revoked/actor LOCKED và actor khác chủ hoặc khác participant phải bị chặn.
Ràng buộc: storage_key duy nhất; size_bytes ≥ 0; ngoài AVATAR/POST_IMAGE, tài liệu bắt buộc PRIVATE.
Gửi lặp cùng khóa trả kết quả cũ; cùng khóa khác payload trả 409; hai request tranh cùng tài nguyên không vượt hạn mức.
Kiểm tra lỗi DB/provider không để lại cập nhật dở hoặc trả thành công giả.</t>
        </is>
      </c>
      <c r="AE175" s="0" t="inlineStr">
        <is>
          <t xml:space="preserve"/>
        </is>
      </c>
      <c r="AF175" s="5" t="inlineStr">
        <is>
          <t xml:space="preserve">Mở đặc tả</t>
        </is>
      </c>
    </row>
    <row r="176" ht="70" customHeight="1">
      <c r="A176" s="2" t="inlineStr">
        <is>
          <t xml:space="preserve">API-175</t>
        </is>
      </c>
      <c r="B176" s="2" t="inlineStr">
        <is>
          <t xml:space="preserve">Nhà, quyền cho thuê &amp; phòng</t>
        </is>
      </c>
      <c r="C176" s="2" t="inlineStr">
        <is>
          <t xml:space="preserve">rooms</t>
        </is>
      </c>
      <c r="D176" s="2" t="inlineStr">
        <is>
          <t xml:space="preserve">GET</t>
        </is>
      </c>
      <c r="E176" s="2" t="inlineStr">
        <is>
          <t xml:space="preserve">/api/v1/landlord/dashboard</t>
        </is>
      </c>
      <c r="F176" s="2" t="inlineStr">
        <is>
          <t xml:space="preserve">Tổng quan quản lý nhà trọ</t>
        </is>
      </c>
      <c r="G176" s="2" t="inlineStr">
        <is>
          <t xml:space="preserve">LANDLORD: sở hữu nhà/phòng/hợp đồng</t>
        </is>
      </c>
      <c r="H176" s="2" t="inlineStr">
        <is>
          <t xml:space="preserve">P0</t>
        </is>
      </c>
      <c r="I176" s="2" t="inlineStr">
        <is>
          <t xml:space="preserve">Middleware auth/session/role + object scope</t>
        </is>
      </c>
      <c r="J176" s="2" t="inlineStr">
        <is>
          <t xml:space="preserve">READ: truy vấn có scope quyền</t>
        </is>
      </c>
      <c r="K176" s="2" t="inlineStr">
        <is>
          <t xml:space="preserve">Không có JSON body</t>
        </is>
      </c>
      <c r="L176" s="2" t="inlineStr">
        <is>
          <t xml:space="preserve">{houseCount,roomCount,occupiedRoomCount,upcomingViewingCount,unpaidInvoiceCount,unpaidAmount,pendingContractCount,pendingJoinCount,upcomingViewings}</t>
        </is>
      </c>
      <c r="M176" s="2" t="inlineStr">
        <is>
          <t xml:space="preserve">Scope tất cả số liệu theo actor. Occupied từ ACTIVE, lịch SCHEDULED ends_at&gt;now, hóa đơn chưa thu UNPAID/OVERDUE. Không tính phòng RESERVED là đang có người; trả asOf cho số liệu tổng hợp.</t>
        </is>
      </c>
      <c r="N176" s="2" t="inlineStr">
        <is>
          <t xml:space="preserve">400 BAD_REQUEST
401 UNAUTHENTICATED
403 FORBIDDEN
404 RESOURCE_NOT_FOUND</t>
        </is>
      </c>
      <c r="O176" s="2" t="inlineStr">
        <is>
          <t xml:space="preserve"/>
        </is>
      </c>
      <c r="P176" s="2" t="inlineStr">
        <is>
          <t xml:space="preserve">Chưa làm</t>
        </is>
      </c>
      <c r="Q176" s="2" t="inlineStr">
        <is>
          <t xml:space="preserve">Chưa</t>
        </is>
      </c>
      <c r="R176" s="2" t="inlineStr">
        <is>
          <t xml:space="preserve">Chưa</t>
        </is>
      </c>
      <c r="S176" s="2" t="inlineStr">
        <is>
          <t xml:space="preserve">Chưa</t>
        </is>
      </c>
      <c r="T176" s="2" t="inlineStr">
        <is>
          <t xml:space="preserve">Chưa</t>
        </is>
      </c>
      <c r="U176" s="2" t="inlineStr">
        <is>
          <t xml:space="preserve">Chưa</t>
        </is>
      </c>
      <c r="V176" s="2" t="inlineStr">
        <is>
          <t xml:space="preserve">Chưa</t>
        </is>
      </c>
      <c r="W176" s="2" t="inlineStr">
        <is>
          <t xml:space="preserve">Chưa</t>
        </is>
      </c>
      <c r="X176" s="2" t="inlineStr">
        <is>
          <t xml:space="preserve">Chưa</t>
        </is>
      </c>
      <c r="Y176" s="3">
        <f>COUNTIF(Q176:X176,"Xong")/8</f>
        <v>0</v>
      </c>
      <c r="Z176" s="4" t="inlineStr">
        <is>
          <t xml:space="preserve"/>
        </is>
      </c>
      <c r="AA176" s="4" t="inlineStr">
        <is>
          <t xml:space="preserve"/>
        </is>
      </c>
      <c r="AB176" s="4" t="inlineStr">
        <is>
          <t xml:space="preserve"/>
        </is>
      </c>
      <c r="AC176" s="2" t="inlineStr">
        <is>
          <t xml:space="preserve"/>
        </is>
      </c>
      <c r="AD176" s="2" t="inlineStr">
        <is>
          <t xml:space="preserve">Happy path: Tổng quan quản lý nhà trọ; kiểm tra {houseCount,roomCount,occupiedRoomCount,upcomingViewingCount,unpaidInvoiceCount,unpaidAmount,pendingContractCount,pendingJoinCount,upcomingViewings}.
Thiếu phiên/phiên revoked/actor LOCKED và actor khác chủ hoặc khác participant phải bị chặn.
Ràng buộc: Mã phòng duy nhất trong cùng nhà; sức chứa nguyên dương, giá/cọc không âm, diện tích dương.
Phân trang/lọc đúng scope; dữ liệu riêng tư bị loại trên server, không chỉ ẩn UI.
Kiểm tra lỗi DB/provider không để lại cập nhật dở hoặc trả thành công giả.</t>
        </is>
      </c>
      <c r="AE176" s="2" t="inlineStr">
        <is>
          <t xml:space="preserve"/>
        </is>
      </c>
      <c r="AF176" s="5" t="inlineStr">
        <is>
          <t xml:space="preserve">Mở đặc tả</t>
        </is>
      </c>
    </row>
    <row r="177" ht="70" customHeight="1">
      <c r="A177" s="0" t="inlineStr">
        <is>
          <t xml:space="preserve">API-176</t>
        </is>
      </c>
      <c r="B177" s="0" t="inlineStr">
        <is>
          <t xml:space="preserve">Đánh giá &amp; quản trị</t>
        </is>
      </c>
      <c r="C177" s="0" t="inlineStr">
        <is>
          <t xml:space="preserve">audit</t>
        </is>
      </c>
      <c r="D177" s="0" t="inlineStr">
        <is>
          <t xml:space="preserve">GET</t>
        </is>
      </c>
      <c r="E177" s="0" t="inlineStr">
        <is>
          <t xml:space="preserve">/api/v1/admin/dashboard</t>
        </is>
      </c>
      <c r="F177" s="0" t="inlineStr">
        <is>
          <t xml:space="preserve">Tổng quan hàng đợi quản trị</t>
        </is>
      </c>
      <c r="G177" s="0" t="inlineStr">
        <is>
          <t xml:space="preserve">ADMIN: tài khoản ACTIVE có dòng admins</t>
        </is>
      </c>
      <c r="H177" s="0" t="inlineStr">
        <is>
          <t xml:space="preserve">P1</t>
        </is>
      </c>
      <c r="I177" s="0" t="inlineStr">
        <is>
          <t xml:space="preserve">Middleware auth/session/role + object scope</t>
        </is>
      </c>
      <c r="J177" s="0" t="inlineStr">
        <is>
          <t xml:space="preserve">READ: truy vấn có scope quyền</t>
        </is>
      </c>
      <c r="K177" s="0" t="inlineStr">
        <is>
          <t xml:space="preserve">Không có JSON body</t>
        </is>
      </c>
      <c r="L177" s="0" t="inlineStr">
        <is>
          <t xml:space="preserve">{pendingIdentityCount,pendingLandlordCount,pendingHouseProofCount,pendingPostCount,pendingReportCount,userCount}</t>
        </is>
      </c>
      <c r="M177" s="0" t="inlineStr">
        <is>
          <t xml:space="preserve">Đếm các loại hồ sơ riêng, không cộng nhầm xác minh tài khoản và quyền nhà. Phân loại PENDING/INVESTIGATING cho báo cáo; chỉ tổng số liệu, không trả giấy tờ.</t>
        </is>
      </c>
      <c r="N177" s="0" t="inlineStr">
        <is>
          <t xml:space="preserve">400 BAD_REQUEST
401 UNAUTHENTICATED
403 FORBIDDEN
404 RESOURCE_NOT_FOUND</t>
        </is>
      </c>
      <c r="O177" s="0" t="inlineStr">
        <is>
          <t xml:space="preserve"/>
        </is>
      </c>
      <c r="P177" s="0" t="inlineStr">
        <is>
          <t xml:space="preserve">Chưa làm</t>
        </is>
      </c>
      <c r="Q177" s="0" t="inlineStr">
        <is>
          <t xml:space="preserve">Chưa</t>
        </is>
      </c>
      <c r="R177" s="0" t="inlineStr">
        <is>
          <t xml:space="preserve">Chưa</t>
        </is>
      </c>
      <c r="S177" s="0" t="inlineStr">
        <is>
          <t xml:space="preserve">Chưa</t>
        </is>
      </c>
      <c r="T177" s="0" t="inlineStr">
        <is>
          <t xml:space="preserve">Chưa</t>
        </is>
      </c>
      <c r="U177" s="0" t="inlineStr">
        <is>
          <t xml:space="preserve">Chưa</t>
        </is>
      </c>
      <c r="V177" s="0" t="inlineStr">
        <is>
          <t xml:space="preserve">Chưa</t>
        </is>
      </c>
      <c r="W177" s="0" t="inlineStr">
        <is>
          <t xml:space="preserve">Chưa</t>
        </is>
      </c>
      <c r="X177" s="0" t="inlineStr">
        <is>
          <t xml:space="preserve">Chưa</t>
        </is>
      </c>
      <c r="Y177" s="3">
        <f>COUNTIF(Q177:X177,"Xong")/8</f>
        <v>0</v>
      </c>
      <c r="Z177" s="4" t="inlineStr">
        <is>
          <t xml:space="preserve"/>
        </is>
      </c>
      <c r="AA177" s="4" t="inlineStr">
        <is>
          <t xml:space="preserve"/>
        </is>
      </c>
      <c r="AB177" s="4" t="inlineStr">
        <is>
          <t xml:space="preserve"/>
        </is>
      </c>
      <c r="AC177" s="0" t="inlineStr">
        <is>
          <t xml:space="preserve"/>
        </is>
      </c>
      <c r="AD177" s="0" t="inlineStr">
        <is>
          <t xml:space="preserve">Happy path: Tổng quan hàng đợi quản trị; kiểm tra {pendingIdentityCount,pendingLandlordCount,pendingHouseProofCount,pendingPostCount,pendingReportCount,userCount}.
Thiếu phiên/phiên revoked/actor LOCKED và actor khác chủ hoặc khác participant phải bị chặn.
Ràng buộc: moderation_actions nhắm đúng một loại đối tượng; các FK giữ liên kết với đối tượng hợp lệ.
Phân trang/lọc đúng scope; dữ liệu riêng tư bị loại trên server, không chỉ ẩn UI.
Kiểm tra lỗi DB/provider không để lại cập nhật dở hoặc trả thành công giả.</t>
        </is>
      </c>
      <c r="AE177" s="0" t="inlineStr">
        <is>
          <t xml:space="preserve"/>
        </is>
      </c>
      <c r="AF177" s="5" t="inlineStr">
        <is>
          <t xml:space="preserve">Mở đặc tả</t>
        </is>
      </c>
    </row>
  </sheetData>
  <autoFilter ref="A1:AF177"/>
  <conditionalFormatting sqref="Y2:Y177">
    <cfRule type="dataBar" priority="1">
      <dataBar>
        <cfvo type="num" val="0"/>
        <cfvo type="num" val="1"/>
        <color rgb="FF087D72"/>
      </dataBar>
    </cfRule>
  </conditionalFormatting>
  <conditionalFormatting sqref="P2:P177">
    <cfRule type="containsText" dxfId="0" priority="2" operator="containsText" text="Hoàn thành">
      <formula>NOT(ISERROR(SEARCH("Hoàn thành",P2)))</formula>
    </cfRule>
    <cfRule type="containsText" dxfId="1" priority="3" operator="containsText" text="Bị chặn">
      <formula>NOT(ISERROR(SEARCH("Bị chặn",P2)))</formula>
    </cfRule>
  </conditionalFormatting>
  <dataValidations count="4">
    <dataValidation type="list" allowBlank="1" showErrorMessage="1" errorTitle="Giá trị không hợp lệ" error="Chọn một giá trị trong danh sách." sqref="H2:H177">
      <formula1>"P0,P1,P2"</formula1>
    </dataValidation>
    <dataValidation type="list" allowBlank="1" showErrorMessage="1" errorTitle="Giá trị không hợp lệ" error="Chọn một giá trị trong danh sách." sqref="P2:P177">
      <formula1>"Chưa làm,Đang làm,Chờ review,Bị chặn,Hoàn thành"</formula1>
    </dataValidation>
    <dataValidation type="list" allowBlank="1" showErrorMessage="1" errorTitle="Giá trị không hợp lệ" error="Chọn một giá trị trong danh sách." sqref="Q2:X177">
      <formula1>"Chưa,Đang làm,Xong,Không áp dụng"</formula1>
    </dataValidation>
    <dataValidation type="date" operator="between" allowBlank="1" showErrorMessage="1" sqref="Z2:AB177">
      <formula1>43831</formula1>
      <formula2>73050</formula2>
    </dataValidation>
  </dataValidations>
  <hyperlinks>
    <hyperlink ref="AF2" r:id="rId1"/>
    <hyperlink ref="AF3" r:id="rId2"/>
    <hyperlink ref="AF4" r:id="rId3"/>
    <hyperlink ref="AF5" r:id="rId4"/>
    <hyperlink ref="AF6" r:id="rId5"/>
    <hyperlink ref="AF7" r:id="rId6"/>
    <hyperlink ref="AF8" r:id="rId7"/>
    <hyperlink ref="AF9" r:id="rId8"/>
    <hyperlink ref="AF10" r:id="rId9"/>
    <hyperlink ref="AF11" r:id="rId10"/>
    <hyperlink ref="AF12" r:id="rId11"/>
    <hyperlink ref="AF13" r:id="rId12"/>
    <hyperlink ref="AF14" r:id="rId13"/>
    <hyperlink ref="AF15" r:id="rId14"/>
    <hyperlink ref="AF16" r:id="rId15"/>
    <hyperlink ref="AF17" r:id="rId16"/>
    <hyperlink ref="AF18" r:id="rId17"/>
    <hyperlink ref="AF19" r:id="rId18"/>
    <hyperlink ref="AF20" r:id="rId19"/>
    <hyperlink ref="AF21" r:id="rId20"/>
    <hyperlink ref="AF22" r:id="rId21"/>
    <hyperlink ref="AF23" r:id="rId22"/>
    <hyperlink ref="AF24" r:id="rId23"/>
    <hyperlink ref="AF25" r:id="rId24"/>
    <hyperlink ref="AF26" r:id="rId25"/>
    <hyperlink ref="AF27" r:id="rId26"/>
    <hyperlink ref="AF28" r:id="rId27"/>
    <hyperlink ref="AF29" r:id="rId28"/>
    <hyperlink ref="AF30" r:id="rId29"/>
    <hyperlink ref="AF31" r:id="rId30"/>
    <hyperlink ref="AF32" r:id="rId31"/>
    <hyperlink ref="AF33" r:id="rId32"/>
    <hyperlink ref="AF34" r:id="rId33"/>
    <hyperlink ref="AF35" r:id="rId34"/>
    <hyperlink ref="AF36" r:id="rId35"/>
    <hyperlink ref="AF37" r:id="rId36"/>
    <hyperlink ref="AF38" r:id="rId37"/>
    <hyperlink ref="AF39" r:id="rId38"/>
    <hyperlink ref="AF40" r:id="rId39"/>
    <hyperlink ref="AF41" r:id="rId40"/>
    <hyperlink ref="AF42" r:id="rId41"/>
    <hyperlink ref="AF43" r:id="rId42"/>
    <hyperlink ref="AF44" r:id="rId43"/>
    <hyperlink ref="AF45" r:id="rId44"/>
    <hyperlink ref="AF46" r:id="rId45"/>
    <hyperlink ref="AF47" r:id="rId46"/>
    <hyperlink ref="AF48" r:id="rId47"/>
    <hyperlink ref="AF49" r:id="rId48"/>
    <hyperlink ref="AF50" r:id="rId49"/>
    <hyperlink ref="AF51" r:id="rId50"/>
    <hyperlink ref="AF52" r:id="rId51"/>
    <hyperlink ref="AF53" r:id="rId52"/>
    <hyperlink ref="AF54" r:id="rId53"/>
    <hyperlink ref="AF55" r:id="rId54"/>
    <hyperlink ref="AF56" r:id="rId55"/>
    <hyperlink ref="AF57" r:id="rId56"/>
    <hyperlink ref="AF58" r:id="rId57"/>
    <hyperlink ref="AF59" r:id="rId58"/>
    <hyperlink ref="AF60" r:id="rId59"/>
    <hyperlink ref="AF61" r:id="rId60"/>
    <hyperlink ref="AF62" r:id="rId61"/>
    <hyperlink ref="AF63" r:id="rId62"/>
    <hyperlink ref="AF64" r:id="rId63"/>
    <hyperlink ref="AF65" r:id="rId64"/>
    <hyperlink ref="AF66" r:id="rId65"/>
    <hyperlink ref="AF67" r:id="rId66"/>
    <hyperlink ref="AF68" r:id="rId67"/>
    <hyperlink ref="AF69" r:id="rId68"/>
    <hyperlink ref="AF70" r:id="rId69"/>
    <hyperlink ref="AF71" r:id="rId70"/>
    <hyperlink ref="AF72" r:id="rId71"/>
    <hyperlink ref="AF73" r:id="rId72"/>
    <hyperlink ref="AF74" r:id="rId73"/>
    <hyperlink ref="AF75" r:id="rId74"/>
    <hyperlink ref="AF76" r:id="rId75"/>
    <hyperlink ref="AF77" r:id="rId76"/>
    <hyperlink ref="AF78" r:id="rId77"/>
    <hyperlink ref="AF79" r:id="rId78"/>
    <hyperlink ref="AF80" r:id="rId79"/>
    <hyperlink ref="AF81" r:id="rId80"/>
    <hyperlink ref="AF82" r:id="rId81"/>
    <hyperlink ref="AF83" r:id="rId82"/>
    <hyperlink ref="AF84" r:id="rId83"/>
    <hyperlink ref="AF85" r:id="rId84"/>
    <hyperlink ref="AF86" r:id="rId85"/>
    <hyperlink ref="AF87" r:id="rId86"/>
    <hyperlink ref="AF88" r:id="rId87"/>
    <hyperlink ref="AF89" r:id="rId88"/>
    <hyperlink ref="AF90" r:id="rId89"/>
    <hyperlink ref="AF91" r:id="rId90"/>
    <hyperlink ref="AF92" r:id="rId91"/>
    <hyperlink ref="AF93" r:id="rId92"/>
    <hyperlink ref="AF94" r:id="rId93"/>
    <hyperlink ref="AF95" r:id="rId94"/>
    <hyperlink ref="AF96" r:id="rId95"/>
    <hyperlink ref="AF97" r:id="rId96"/>
    <hyperlink ref="AF98" r:id="rId97"/>
    <hyperlink ref="AF99" r:id="rId98"/>
    <hyperlink ref="AF100" r:id="rId99"/>
    <hyperlink ref="AF101" r:id="rId100"/>
    <hyperlink ref="AF102" r:id="rId101"/>
    <hyperlink ref="AF103" r:id="rId102"/>
    <hyperlink ref="AF104" r:id="rId103"/>
    <hyperlink ref="AF105" r:id="rId104"/>
    <hyperlink ref="AF106" r:id="rId105"/>
    <hyperlink ref="AF107" r:id="rId106"/>
    <hyperlink ref="AF108" r:id="rId107"/>
    <hyperlink ref="AF109" r:id="rId108"/>
    <hyperlink ref="AF110" r:id="rId109"/>
    <hyperlink ref="AF111" r:id="rId110"/>
    <hyperlink ref="AF112" r:id="rId111"/>
    <hyperlink ref="AF113" r:id="rId112"/>
    <hyperlink ref="AF114" r:id="rId113"/>
    <hyperlink ref="AF115" r:id="rId114"/>
    <hyperlink ref="AF116" r:id="rId115"/>
    <hyperlink ref="AF117" r:id="rId116"/>
    <hyperlink ref="AF118" r:id="rId117"/>
    <hyperlink ref="AF119" r:id="rId118"/>
    <hyperlink ref="AF120" r:id="rId119"/>
    <hyperlink ref="AF121" r:id="rId120"/>
    <hyperlink ref="AF122" r:id="rId121"/>
    <hyperlink ref="AF123" r:id="rId122"/>
    <hyperlink ref="AF124" r:id="rId123"/>
    <hyperlink ref="AF125" r:id="rId124"/>
    <hyperlink ref="AF126" r:id="rId125"/>
    <hyperlink ref="AF127" r:id="rId126"/>
    <hyperlink ref="AF128" r:id="rId127"/>
    <hyperlink ref="AF129" r:id="rId128"/>
    <hyperlink ref="AF130" r:id="rId129"/>
    <hyperlink ref="AF131" r:id="rId130"/>
    <hyperlink ref="AF132" r:id="rId131"/>
    <hyperlink ref="AF133" r:id="rId132"/>
    <hyperlink ref="AF134" r:id="rId133"/>
    <hyperlink ref="AF135" r:id="rId134"/>
    <hyperlink ref="AF136" r:id="rId135"/>
    <hyperlink ref="AF137" r:id="rId136"/>
    <hyperlink ref="AF138" r:id="rId137"/>
    <hyperlink ref="AF139" r:id="rId138"/>
    <hyperlink ref="AF140" r:id="rId139"/>
    <hyperlink ref="AF141" r:id="rId140"/>
    <hyperlink ref="AF142" r:id="rId141"/>
    <hyperlink ref="AF143" r:id="rId142"/>
    <hyperlink ref="AF144" r:id="rId143"/>
    <hyperlink ref="AF145" r:id="rId144"/>
    <hyperlink ref="AF146" r:id="rId145"/>
    <hyperlink ref="AF147" r:id="rId146"/>
    <hyperlink ref="AF148" r:id="rId147"/>
    <hyperlink ref="AF149" r:id="rId148"/>
    <hyperlink ref="AF150" r:id="rId149"/>
    <hyperlink ref="AF151" r:id="rId150"/>
    <hyperlink ref="AF152" r:id="rId151"/>
    <hyperlink ref="AF153" r:id="rId152"/>
    <hyperlink ref="AF154" r:id="rId153"/>
    <hyperlink ref="AF155" r:id="rId154"/>
    <hyperlink ref="AF156" r:id="rId155"/>
    <hyperlink ref="AF157" r:id="rId156"/>
    <hyperlink ref="AF158" r:id="rId157"/>
    <hyperlink ref="AF159" r:id="rId158"/>
    <hyperlink ref="AF160" r:id="rId159"/>
    <hyperlink ref="AF161" r:id="rId160"/>
    <hyperlink ref="AF162" r:id="rId161"/>
    <hyperlink ref="AF163" r:id="rId162"/>
    <hyperlink ref="AF164" r:id="rId163"/>
    <hyperlink ref="AF165" r:id="rId164"/>
    <hyperlink ref="AF166" r:id="rId165"/>
    <hyperlink ref="AF167" r:id="rId166"/>
    <hyperlink ref="AF168" r:id="rId167"/>
    <hyperlink ref="AF169" r:id="rId168"/>
    <hyperlink ref="AF170" r:id="rId169"/>
    <hyperlink ref="AF171" r:id="rId170"/>
    <hyperlink ref="AF172" r:id="rId171"/>
    <hyperlink ref="AF173" r:id="rId172"/>
    <hyperlink ref="AF174" r:id="rId173"/>
    <hyperlink ref="AF175" r:id="rId174"/>
    <hyperlink ref="AF176" r:id="rId175"/>
    <hyperlink ref="AF177" r:id="rId176"/>
  </hyperlinks>
  <pageMargins left="0.25" right="0.25" top="0.5" bottom="0.5" header="0.2" footer="0.2"/>
  <pageSetup orientation="landscape" paperSize="9"/>
</worksheet>
</file>

<file path=xl/worksheets/sheet4.xml><?xml version="1.0" encoding="utf-8"?>
<worksheet xmlns="http://schemas.openxmlformats.org/spreadsheetml/2006/main" xmlns:r="http://schemas.openxmlformats.org/officeDocument/2006/relationships">
  <dimension ref="A1:J48"/>
  <sheetViews>
    <sheetView workbookViewId="0">
      <pane xSplit="0" ySplit="1" topLeftCell="A2" activePane="bottomRight" state="frozen"/>
    </sheetView>
  </sheetViews>
  <sheetFormatPr defaultRowHeight="20"/>
  <cols>
    <col min="1" max="1" width="24" customWidth="1"/>
    <col min="2" max="2" width="24" customWidth="1"/>
    <col min="3" max="3" width="55" customWidth="1"/>
    <col min="4" max="4" width="24" customWidth="1"/>
    <col min="5" max="5" width="75" customWidth="1"/>
    <col min="6" max="6" width="35" customWidth="1"/>
    <col min="7" max="7" width="24" customWidth="1"/>
    <col min="8" max="8" width="85" customWidth="1"/>
    <col min="9" max="9" width="100" customWidth="1"/>
    <col min="10" max="10" width="55" customWidth="1"/>
  </cols>
  <sheetData>
    <row r="1" ht="36" customHeight="1">
      <c r="A1" s="1" t="inlineStr">
        <is>
          <t xml:space="preserve">ID luồng</t>
        </is>
      </c>
      <c r="B1" s="1" t="inlineStr">
        <is>
          <t xml:space="preserve">Nhóm</t>
        </is>
      </c>
      <c r="C1" s="1" t="inlineStr">
        <is>
          <t xml:space="preserve">Tên luồng</t>
        </is>
      </c>
      <c r="D1" s="1" t="inlineStr">
        <is>
          <t xml:space="preserve">Vai trò</t>
        </is>
      </c>
      <c r="E1" s="1" t="inlineStr">
        <is>
          <t xml:space="preserve">Điểm vào wireframe</t>
        </is>
      </c>
      <c r="F1" s="1" t="inlineStr">
        <is>
          <t xml:space="preserve">API liên quan</t>
        </is>
      </c>
      <c r="G1" s="1" t="inlineStr">
        <is>
          <t xml:space="preserve">Job / vận hành</t>
        </is>
      </c>
      <c r="H1" s="1" t="inlineStr">
        <is>
          <t xml:space="preserve">Trạng thái</t>
        </is>
      </c>
      <c r="I1" s="1" t="inlineStr">
        <is>
          <t xml:space="preserve">Giới hạn</t>
        </is>
      </c>
      <c r="J1" s="1" t="inlineStr">
        <is>
          <t xml:space="preserve">Bảng dữ liệu</t>
        </is>
      </c>
    </row>
    <row r="2" ht="70" customHeight="1">
      <c r="A2" s="2" t="inlineStr">
        <is>
          <t xml:space="preserve">account-access</t>
        </is>
      </c>
      <c r="B2" s="2" t="inlineStr">
        <is>
          <t xml:space="preserve">Tài khoản &amp; xác minh</t>
        </is>
      </c>
      <c r="C2" s="2" t="inlineStr">
        <is>
          <t xml:space="preserve">Tài khoản, đăng nhập và vai trò</t>
        </is>
      </c>
      <c r="D2" s="2" t="inlineStr">
        <is>
          <t xml:space="preserve">tenant, landlord, admin</t>
        </is>
      </c>
      <c r="E2" s="2" t="inlineStr">
        <is>
          <t xml:space="preserve">Thanh trên → chọn Người thuê / Chủ trọ / Quản trị</t>
        </is>
      </c>
      <c r="F2" s="2" t="inlineStr">
        <is>
          <t xml:space="preserve">API-001
API-002
API-003</t>
        </is>
      </c>
      <c r="G2" s="2" t="inlineStr">
        <is>
          <t xml:space="preserve"/>
        </is>
      </c>
      <c r="H2" s="2" t="inlineStr">
        <is>
          <t xml:space="preserve">ACTIVE: hoạt động
LOCKED: bị khóa
DISABLED: vô hiệu hóa</t>
        </is>
      </c>
      <c r="I2" s="2" t="inlineStr">
        <is>
          <t xml:space="preserve">Wireframe chưa có đăng ký/đăng nhập thật. Nút chọn vai trò dùng cho trình diễn, không phải cơ chế bảo mật.</t>
        </is>
      </c>
      <c r="J2" s="2" t="inlineStr">
        <is>
          <t xml:space="preserve">users, tenants, landlords, admins</t>
        </is>
      </c>
    </row>
    <row r="3" ht="70" customHeight="1">
      <c r="A3" s="0" t="inlineStr">
        <is>
          <t xml:space="preserve">profile</t>
        </is>
      </c>
      <c r="B3" s="0" t="inlineStr">
        <is>
          <t xml:space="preserve">Tài khoản &amp; xác minh</t>
        </is>
      </c>
      <c r="C3" s="0" t="inlineStr">
        <is>
          <t xml:space="preserve">Cập nhật hồ sơ cá nhân</t>
        </is>
      </c>
      <c r="D3" s="0" t="inlineStr">
        <is>
          <t xml:space="preserve">tenant, landlord, admin</t>
        </is>
      </c>
      <c r="E3" s="0" t="inlineStr">
        <is>
          <t xml:space="preserve">Tài khoản → thông tin cá nhân → Lưu</t>
        </is>
      </c>
      <c r="F3" s="0" t="inlineStr">
        <is>
          <t xml:space="preserve">API-004
API-005</t>
        </is>
      </c>
      <c r="G3" s="0" t="inlineStr">
        <is>
          <t xml:space="preserve"/>
        </is>
      </c>
      <c r="H3" s="0" t="inlineStr">
        <is>
          <t xml:space="preserve">Thông tin hiện tại → cập nhật thông tin</t>
        </is>
      </c>
      <c r="I3" s="0" t="inlineStr">
        <is>
          <t xml:space="preserve">Không dùng hồ sơ cá nhân để xác nhận đã thuê phòng hoặc có quyền cho thuê nhà.</t>
        </is>
      </c>
      <c r="J3" s="0" t="inlineStr">
        <is>
          <t xml:space="preserve">users, personal_profiles, files</t>
        </is>
      </c>
    </row>
    <row r="4" ht="70" customHeight="1">
      <c r="A4" s="2" t="inlineStr">
        <is>
          <t xml:space="preserve">identity</t>
        </is>
      </c>
      <c r="B4" s="2" t="inlineStr">
        <is>
          <t xml:space="preserve">Tài khoản &amp; xác minh</t>
        </is>
      </c>
      <c r="C4" s="2" t="inlineStr">
        <is>
          <t xml:space="preserve">Xác minh danh tính và hồ sơ tài khoản</t>
        </is>
      </c>
      <c r="D4" s="2" t="inlineStr">
        <is>
          <t xml:space="preserve">tenant, landlord, admin</t>
        </is>
      </c>
      <c r="E4" s="2" t="inlineStr">
        <is>
          <t xml:space="preserve">Người thuê: Tài khoản → Xác minh · Quản trị: Xác minh hồ sơ</t>
        </is>
      </c>
      <c r="F4" s="2" t="inlineStr">
        <is>
          <t xml:space="preserve">API-006
API-007
API-008
API-009
API-010
API-011
API-012
API-013
API-014
API-015
API-016
API-017</t>
        </is>
      </c>
      <c r="G4" s="2" t="inlineStr">
        <is>
          <t xml:space="preserve"/>
        </is>
      </c>
      <c r="H4" s="2" t="inlineStr">
        <is>
          <t xml:space="preserve">PENDING: chờ duyệt → APPROVED: chấp thuận
PENDING → REJECTED: từ chối
WITHDRAWN: đã rút (CSDL)</t>
        </is>
      </c>
      <c r="I4" s="2" t="inlineStr">
        <is>
          <t xml:space="preserve">Form xác minh người thuê hiện lưu tên tệp, chưa tải giấy tờ lên máy chủ. Khác với minh chứng nhà đang lưu Blob trong IndexedDB.
Duyệt tài khoản không tự xác minh tất cả các nhà của chủ trọ.</t>
        </is>
      </c>
      <c r="J4" s="2" t="inlineStr">
        <is>
          <t xml:space="preserve">tenant_identity_verifications, landlord_verifications, files, moderation_actions</t>
        </is>
      </c>
    </row>
    <row r="5" ht="70" customHeight="1">
      <c r="A5" s="0" t="inlineStr">
        <is>
          <t xml:space="preserve">sessions</t>
        </is>
      </c>
      <c r="B5" s="0" t="inlineStr">
        <is>
          <t xml:space="preserve">Tài khoản &amp; xác minh</t>
        </is>
      </c>
      <c r="C5" s="0" t="inlineStr">
        <is>
          <t xml:space="preserve">OTP, quên mật khẩu, phiên và liên kết tài khoản cư trú</t>
        </is>
      </c>
      <c r="D5" s="0" t="inlineStr">
        <is>
          <t xml:space="preserve">tenant, landlord, admin, system</t>
        </is>
      </c>
      <c r="E5" s="0" t="inlineStr">
        <is>
          <t xml:space="preserve">Thiết kế CSDL · Tài khoản → Phiên đăng nhập (màn hình mô phỏng)</t>
        </is>
      </c>
      <c r="F5" s="0" t="inlineStr">
        <is>
          <t xml:space="preserve">API-018
API-019
API-020
API-021
API-022
API-023
API-024
API-025
API-026
API-027
API-028</t>
        </is>
      </c>
      <c r="G5" s="0" t="inlineStr">
        <is>
          <t xml:space="preserve">JOB05</t>
        </is>
      </c>
      <c r="H5" s="0" t="inlineStr">
        <is>
          <t xml:space="preserve">Mã còn hạn → consumed / revoked / hết hạn
Phiên còn hạn → revoked / hết hạn</t>
        </is>
      </c>
      <c r="I5" s="0" t="inlineStr">
        <is>
          <t xml:space="preserve">Chưa có OTP/đổi mật khẩu/liên kết tài khoản thật. Nút thu hồi phiên trong demo chỉ báo thành công.</t>
        </is>
      </c>
      <c r="J5" s="0" t="inlineStr">
        <is>
          <t xml:space="preserve">auth_sessions, verification_tokens, room_tenants</t>
        </is>
      </c>
    </row>
    <row r="6" ht="70" customHeight="1">
      <c r="A6" s="2" t="inlineStr">
        <is>
          <t xml:space="preserve">create-house</t>
        </is>
      </c>
      <c r="B6" s="2" t="inlineStr">
        <is>
          <t xml:space="preserve">Nhà, quyền cho thuê &amp; phòng</t>
        </is>
      </c>
      <c r="C6" s="2" t="inlineStr">
        <is>
          <t xml:space="preserve">Thêm và sửa nhà trọ</t>
        </is>
      </c>
      <c r="D6" s="2" t="inlineStr">
        <is>
          <t xml:space="preserve">landlord</t>
        </is>
      </c>
      <c r="E6" s="2" t="inlineStr">
        <is>
          <t xml:space="preserve">Chủ trọ → Nhà &amp; phòng → Thêm nhà trọ / Sửa thông tin nhà</t>
        </is>
      </c>
      <c r="F6" s="2" t="inlineStr">
        <is>
          <t xml:space="preserve">API-029
API-030
API-031
API-032</t>
        </is>
      </c>
      <c r="G6" s="2" t="inlineStr">
        <is>
          <t xml:space="preserve"/>
        </is>
      </c>
      <c r="H6" s="2" t="inlineStr">
        <is>
          <t xml:space="preserve">Chưa có nhà → nhà nháp / chưa xác minh
Sửa thông tin → tăng phiên bản</t>
        </is>
      </c>
      <c r="I6" s="2" t="inlineStr">
        <is>
          <t xml:space="preserve">Lưu nhà chưa cho phép công khai tin hoặc lập hợp đồng mới. Không có chức năng chuyển quyền sở hữu nhà trên giao diện.</t>
        </is>
      </c>
      <c r="J6" s="2" t="inlineStr">
        <is>
          <t xml:space="preserve">rental_houses</t>
        </is>
      </c>
    </row>
    <row r="7" ht="70" customHeight="1">
      <c r="A7" s="0" t="inlineStr">
        <is>
          <t xml:space="preserve">house-proof</t>
        </is>
      </c>
      <c r="B7" s="0" t="inlineStr">
        <is>
          <t xml:space="preserve">Nhà, quyền cho thuê &amp; phòng</t>
        </is>
      </c>
      <c r="C7" s="0" t="inlineStr">
        <is>
          <t xml:space="preserve">Nộp và xét duyệt quyền cho thuê từng nhà</t>
        </is>
      </c>
      <c r="D7" s="0" t="inlineStr">
        <is>
          <t xml:space="preserve">landlord, admin</t>
        </is>
      </c>
      <c r="E7" s="0" t="inlineStr">
        <is>
          <t xml:space="preserve">Nhà &amp; phòng → Xác minh quyền cho thuê · Quản trị → Xác minh hồ sơ → Quyền cho thuê từng nhà</t>
        </is>
      </c>
      <c r="F7" s="0" t="inlineStr">
        <is>
          <t xml:space="preserve">API-033
API-034
API-035
API-036
API-037
API-038
API-039</t>
        </is>
      </c>
      <c r="G7" s="0" t="inlineStr">
        <is>
          <t xml:space="preserve"/>
        </is>
      </c>
      <c r="H7" s="0" t="inlineStr">
        <is>
          <t xml:space="preserve">PENDING → APPROVED / REJECTED / WITHDRAWN
APPROVED → SUPERSEDED / REVOKED / EXPIRED</t>
        </is>
      </c>
      <c r="I7" s="0" t="inlineStr">
        <is>
          <t xml:space="preserve">Tệp wireframe nằm trong IndexedDB cùng trình duyệt. Hai nhà mẫu có hồ sơ giả lập được gắn nhãn, không phải xác minh giấy tờ thực.
Phê duyệt hiện áp dụng cả nhà; quản trị phải kiểm tra phạm vi bao phủ các phòng. Chưa có quyền cho thuê giới hạn một số phòng.</t>
        </is>
      </c>
      <c r="J7" s="0" t="inlineStr">
        <is>
          <t xml:space="preserve">rental_house_verifications, house_verification_documents, files, notifications, moderation_actions</t>
        </is>
      </c>
    </row>
    <row r="8" ht="70" customHeight="1">
      <c r="A8" s="2" t="inlineStr">
        <is>
          <t xml:space="preserve">house-rights-expiry</t>
        </is>
      </c>
      <c r="B8" s="2" t="inlineStr">
        <is>
          <t xml:space="preserve">Nhà, quyền cho thuê &amp; phòng</t>
        </is>
      </c>
      <c r="C8" s="2" t="inlineStr">
        <is>
          <t xml:space="preserve">Hết quyền, thu hồi hoặc đổi định danh nhà</t>
        </is>
      </c>
      <c r="D8" s="2" t="inlineStr">
        <is>
          <t xml:space="preserve">landlord, admin, system</t>
        </is>
      </c>
      <c r="E8" s="2" t="inlineStr">
        <is>
          <t xml:space="preserve">Nhà &amp; phòng → Sửa nhà / Lịch sử xác minh · Quản trị → Hồ sơ nhà → Thu hồi</t>
        </is>
      </c>
      <c r="F8" s="2" t="inlineStr">
        <is>
          <t xml:space="preserve">API-040
API-041</t>
        </is>
      </c>
      <c r="G8" s="2" t="inlineStr">
        <is>
          <t xml:space="preserve">JOB03</t>
        </is>
      </c>
      <c r="H8" s="2" t="inlineStr">
        <is>
          <t xml:space="preserve">Đã xác minh → cần xác minh lại / hết hạn / bị thu hồi
Phê duyệt mới → phê duyệt cũ SUPERSEDED</t>
        </is>
      </c>
      <c r="I8" s="2" t="inlineStr">
        <is>
          <t xml:space="preserve">Migration không tự duyệt nhà cũ. API phải sử dụng view công khai cùng thời điểm triển khai migration.</t>
        </is>
      </c>
      <c r="J8" s="2" t="inlineStr">
        <is>
          <t xml:space="preserve">rental_houses, rental_house_verifications, posts, contracts</t>
        </is>
      </c>
    </row>
    <row r="9" ht="70" customHeight="1">
      <c r="A9" s="0" t="inlineStr">
        <is>
          <t xml:space="preserve">rooms</t>
        </is>
      </c>
      <c r="B9" s="0" t="inlineStr">
        <is>
          <t xml:space="preserve">Nhà, quyền cho thuê &amp; phòng</t>
        </is>
      </c>
      <c r="C9" s="0" t="inlineStr">
        <is>
          <t xml:space="preserve">Thêm phòng, sức chứa và tình trạng phòng</t>
        </is>
      </c>
      <c r="D9" s="0" t="inlineStr">
        <is>
          <t xml:space="preserve">landlord, system</t>
        </is>
      </c>
      <c r="E9" s="0" t="inlineStr">
        <is>
          <t xml:space="preserve">Chủ trọ → Nhà &amp; phòng → chọn nhà → Thêm phòng / Sửa</t>
        </is>
      </c>
      <c r="F9" s="0" t="inlineStr">
        <is>
          <t xml:space="preserve">API-042
API-043
API-044
API-045
API-175</t>
        </is>
      </c>
      <c r="G9" s="0" t="inlineStr">
        <is>
          <t xml:space="preserve"/>
        </is>
      </c>
      <c r="H9" s="0" t="inlineStr">
        <is>
          <t xml:space="preserve">AVAILABLE: trống
RESERVED: giữ bởi hợp đồng mở
OCCUPIED: có người ACTIVE
MAINTENANCE: bảo trì</t>
        </is>
      </c>
      <c r="I9" s="0" t="inlineStr">
        <is>
          <t xml:space="preserve">Tình trạng phòng không thay thế chứng cứ người đang ở. Dữ liệu mâu thuẫn cần đối soát, không tự bỏ cư dân.</t>
        </is>
      </c>
      <c r="J9" s="0" t="inlineStr">
        <is>
          <t xml:space="preserve">rooms, room_tenants, contracts, occupant_join_requests</t>
        </is>
      </c>
    </row>
    <row r="10" ht="70" customHeight="1">
      <c r="A10" s="2" t="inlineStr">
        <is>
          <t xml:space="preserve">room-detail</t>
        </is>
      </c>
      <c r="B10" s="2" t="inlineStr">
        <is>
          <t xml:space="preserve">Nhà, quyền cho thuê &amp; phòng</t>
        </is>
      </c>
      <c r="C10" s="2" t="inlineStr">
        <is>
          <t xml:space="preserve">Chi tiết phòng: Bài đăng, Người ở, Dịch vụ</t>
        </is>
      </c>
      <c r="D10" s="2" t="inlineStr">
        <is>
          <t xml:space="preserve">tenant, landlord, admin</t>
        </is>
      </c>
      <c r="E10" s="2" t="inlineStr">
        <is>
          <t xml:space="preserve">Nhà &amp; phòng → Xem chi tiết · Chi tiết tin → thông tin phòng</t>
        </is>
      </c>
      <c r="F10" s="2" t="inlineStr">
        <is>
          <t xml:space="preserve">API-046
API-047
API-048
API-049</t>
        </is>
      </c>
      <c r="G10" s="2" t="inlineStr">
        <is>
          <t xml:space="preserve"/>
        </is>
      </c>
      <c r="H10" s="2" t="inlineStr">
        <is>
          <t xml:space="preserve">Bài đăng ↔ Người ở ↔ Dịch vụ; ghi nhớ tab</t>
        </is>
      </c>
      <c r="I10" s="2" t="inlineStr">
        <is>
          <t xml:space="preserve">Người ngoài chỉ mở được phòng có tin công khai còn đủ quyền cho thuê.</t>
        </is>
      </c>
      <c r="J10" s="2" t="inlineStr">
        <is>
          <t xml:space="preserve">rooms, posts, room_tenants, room_services, house_services</t>
        </is>
      </c>
    </row>
    <row r="11" ht="70" customHeight="1">
      <c r="A11" s="0" t="inlineStr">
        <is>
          <t xml:space="preserve">submit-post</t>
        </is>
      </c>
      <c r="B11" s="0" t="inlineStr">
        <is>
          <t xml:space="preserve">Tin đăng &amp; tìm phòng</t>
        </is>
      </c>
      <c r="C11" s="0" t="inlineStr">
        <is>
          <t xml:space="preserve">Tạo, sửa và gửi duyệt tin đăng</t>
        </is>
      </c>
      <c r="D11" s="0" t="inlineStr">
        <is>
          <t xml:space="preserve">landlord</t>
        </is>
      </c>
      <c r="E11" s="0" t="inlineStr">
        <is>
          <t xml:space="preserve">Chủ trọ → Tin đăng → Tạo tin · hoặc Chi tiết phòng → Tạo bài cho phòng này</t>
        </is>
      </c>
      <c r="F11" s="0" t="inlineStr">
        <is>
          <t xml:space="preserve">API-050
API-051
API-052</t>
        </is>
      </c>
      <c r="G11" s="0" t="inlineStr">
        <is>
          <t xml:space="preserve"/>
        </is>
      </c>
      <c r="H11" s="0" t="inlineStr">
        <is>
          <t xml:space="preserve">DRAFT / APPROVED / REJECTED / HIDDEN → PENDING_REVIEW
PENDING_REVIEW → sửa vẫn PENDING_REVIEW</t>
        </is>
      </c>
      <c r="I11" s="0" t="inlineStr">
        <is>
          <t xml:space="preserve">UI chưa có quản lý nhiều ảnh. Nhà chưa xác minh vẫn gửi bài chờ được, nhưng chưa công khai được.</t>
        </is>
      </c>
      <c r="J11" s="0" t="inlineStr">
        <is>
          <t xml:space="preserve">posts, post_images, post_amenities</t>
        </is>
      </c>
    </row>
    <row r="12" ht="70" customHeight="1">
      <c r="A12" s="2" t="inlineStr">
        <is>
          <t xml:space="preserve">moderate-post</t>
        </is>
      </c>
      <c r="B12" s="2" t="inlineStr">
        <is>
          <t xml:space="preserve">Tin đăng &amp; tìm phòng</t>
        </is>
      </c>
      <c r="C12" s="2" t="inlineStr">
        <is>
          <t xml:space="preserve">Duyệt, từ chối, ẩn và hiện lại tin</t>
        </is>
      </c>
      <c r="D12" s="2" t="inlineStr">
        <is>
          <t xml:space="preserve">landlord, admin</t>
        </is>
      </c>
      <c r="E12" s="2" t="inlineStr">
        <is>
          <t xml:space="preserve">Quản trị → Kiểm duyệt tin · Chủ trọ → Tin đăng → Ẩn tin</t>
        </is>
      </c>
      <c r="F12" s="2" t="inlineStr">
        <is>
          <t xml:space="preserve">API-053
API-054
API-055
API-056</t>
        </is>
      </c>
      <c r="G12" s="2" t="inlineStr">
        <is>
          <t xml:space="preserve"/>
        </is>
      </c>
      <c r="H12" s="2" t="inlineStr">
        <is>
          <t xml:space="preserve">PENDING_REVIEW → APPROVED / REJECTED
APPROVED → HIDDEN → APPROVED</t>
        </is>
      </c>
      <c r="I12" s="2" t="inlineStr">
        <is>
          <t xml:space="preserve">Tin đã duyệt không có nghĩa phòng còn trống: trạng thái phòng và quyền nhà còn được kiểm tra riêng.</t>
        </is>
      </c>
      <c r="J12" s="2" t="inlineStr">
        <is>
          <t xml:space="preserve">posts, moderation_actions, rental_house_verifications</t>
        </is>
      </c>
    </row>
    <row r="13" ht="70" customHeight="1">
      <c r="A13" s="0" t="inlineStr">
        <is>
          <t xml:space="preserve">discover</t>
        </is>
      </c>
      <c r="B13" s="0" t="inlineStr">
        <is>
          <t xml:space="preserve">Tin đăng &amp; tìm phòng</t>
        </is>
      </c>
      <c r="C13" s="0" t="inlineStr">
        <is>
          <t xml:space="preserve">Tìm phòng, xem tin và lưu trái tim</t>
        </is>
      </c>
      <c r="D13" s="0" t="inlineStr">
        <is>
          <t xml:space="preserve">tenant</t>
        </is>
      </c>
      <c r="E13" s="0" t="inlineStr">
        <is>
          <t xml:space="preserve">Người thuê → Khám phá / Đã lưu</t>
        </is>
      </c>
      <c r="F13" s="0" t="inlineStr">
        <is>
          <t xml:space="preserve">API-057
API-058
API-059
API-060
API-061</t>
        </is>
      </c>
      <c r="G13" s="0" t="inlineStr">
        <is>
          <t xml:space="preserve"/>
        </is>
      </c>
      <c r="H13" s="0" t="inlineStr">
        <is>
          <t xml:space="preserve">Chưa lưu ↔ đã lưu: trái tim đỏ</t>
        </is>
      </c>
      <c r="I13" s="0" t="inlineStr">
        <is>
          <t xml:space="preserve">Khoảng cách trong demo là dữ liệu mẫu, chưa có tính khoảng cách GPS hoặc bản đồ thật. RESERVED/MAINTENANCE vẫn có thể hiện với nhãn tình trạng.</t>
        </is>
      </c>
      <c r="J13" s="0" t="inlineStr">
        <is>
          <t xml:space="preserve">posts, rooms, rental_houses, favorite_posts, post_amenities</t>
        </is>
      </c>
    </row>
    <row r="14" ht="70" customHeight="1">
      <c r="A14" s="2" t="inlineStr">
        <is>
          <t xml:space="preserve">roommate-profile</t>
        </is>
      </c>
      <c r="B14" s="2" t="inlineStr">
        <is>
          <t xml:space="preserve">Hồ sơ &amp; kết nối ở ghép</t>
        </is>
      </c>
      <c r="C14" s="2" t="inlineStr">
        <is>
          <t xml:space="preserve">Tạo hồ sơ ở ghép và xác định tình trạng chỗ ở</t>
        </is>
      </c>
      <c r="D14" s="2" t="inlineStr">
        <is>
          <t xml:space="preserve">tenant</t>
        </is>
      </c>
      <c r="E14" s="2" t="inlineStr">
        <is>
          <t xml:space="preserve">Người thuê → Ở ghép → Tạo hồ sơ ở ghép / Sửa hồ sơ</t>
        </is>
      </c>
      <c r="F14" s="2" t="inlineStr">
        <is>
          <t xml:space="preserve">API-062
API-063
API-064</t>
        </is>
      </c>
      <c r="G14" s="2" t="inlineStr">
        <is>
          <t xml:space="preserve"/>
        </is>
      </c>
      <c r="H14" s="2" t="inlineStr">
        <is>
          <t xml:space="preserve">Chưa tạo → active: hồ sơ đã tạo
NO_ACCOMMODATION / EXTERNAL / IN_SYSTEM</t>
        </is>
      </c>
      <c r="I14" s="2" t="inlineStr">
        <is>
          <t xml:space="preserve">Lưu hồ sơ không tự gửi lời mời, tạo hợp đồng, giữ chỗ hoặc ghi đồng thuận thuê.</t>
        </is>
      </c>
      <c r="J14" s="2" t="inlineStr">
        <is>
          <t xml:space="preserve">roommate_profiles, room_tenants</t>
        </is>
      </c>
    </row>
    <row r="15" ht="70" customHeight="1">
      <c r="A15" s="0" t="inlineStr">
        <is>
          <t xml:space="preserve">matching-criteria</t>
        </is>
      </c>
      <c r="B15" s="0" t="inlineStr">
        <is>
          <t xml:space="preserve">Hồ sơ &amp; kết nối ở ghép</t>
        </is>
      </c>
      <c r="C15" s="0" t="inlineStr">
        <is>
          <t xml:space="preserve">Tiêu chí ghép linh động và danh sách người phù hợp</t>
        </is>
      </c>
      <c r="D15" s="0" t="inlineStr">
        <is>
          <t xml:space="preserve">tenant, admin, system</t>
        </is>
      </c>
      <c r="E15" s="0" t="inlineStr">
        <is>
          <t xml:space="preserve">Ở ghép → Người phù hợp · Thiết kế quản lý tiêu chí trong CSDL</t>
        </is>
      </c>
      <c r="F15" s="0" t="inlineStr">
        <is>
          <t xml:space="preserve">API-065
API-066
API-067
API-068
API-069
API-070</t>
        </is>
      </c>
      <c r="G15" s="0" t="inlineStr">
        <is>
          <t xml:space="preserve"/>
        </is>
      </c>
      <c r="H15" s="0" t="inlineStr">
        <is>
          <t xml:space="preserve">Tiêu chí active / ngừng dùng
Giá trị tự khai + giá trị mong muốn + mức quan trọng</t>
        </is>
      </c>
      <c r="I15" s="0" t="inlineStr">
        <is>
          <t xml:space="preserve">Chưa có thuật toán ghép cặp thật hoặc quản trị tiêu chí trên UI. Thói quen trên form demo hiện là mô tả văn bản.</t>
        </is>
      </c>
      <c r="J15" s="0" t="inlineStr">
        <is>
          <t xml:space="preserve">lifestyle_criteria, profile_lifestyles, roommate_profiles</t>
        </is>
      </c>
    </row>
    <row r="16" ht="70" customHeight="1">
      <c r="A16" s="2" t="inlineStr">
        <is>
          <t xml:space="preserve">roommate-invite</t>
        </is>
      </c>
      <c r="B16" s="2" t="inlineStr">
        <is>
          <t xml:space="preserve">Hồ sơ &amp; kết nối ở ghép</t>
        </is>
      </c>
      <c r="C16" s="2" t="inlineStr">
        <is>
          <t xml:space="preserve">Ba tab ở ghép và phản hồi lời mời kết nối</t>
        </is>
      </c>
      <c r="D16" s="2" t="inlineStr">
        <is>
          <t xml:space="preserve">tenant</t>
        </is>
      </c>
      <c r="E16" s="2" t="inlineStr">
        <is>
          <t xml:space="preserve">Ở ghép → Người phù hợp / Lời mời dành cho bạn / Đã mời</t>
        </is>
      </c>
      <c r="F16" s="2" t="inlineStr">
        <is>
          <t xml:space="preserve">API-071
API-072
API-073
API-074
API-075</t>
        </is>
      </c>
      <c r="G16" s="2" t="inlineStr">
        <is>
          <t xml:space="preserve"/>
        </is>
      </c>
      <c r="H16" s="2" t="inlineStr">
        <is>
          <t xml:space="preserve">PENDING → ACCEPTED / REJECTED
CANCELLED và ended_at: có trong CSDL</t>
        </is>
      </c>
      <c r="I16" s="2" t="inlineStr">
        <is>
          <t xml:space="preserve">UI chưa có trọn luồng hủy/kết thúc kết nối. Lời mời cũ vẫn có thể phản hồi khi chưa tạo hồ sơ mới.</t>
        </is>
      </c>
      <c r="J16" s="2" t="inlineStr">
        <is>
          <t xml:space="preserve">roommate_requests, conversations, conversation_participants</t>
        </is>
      </c>
    </row>
    <row r="17" ht="70" customHeight="1">
      <c r="A17" s="0" t="inlineStr">
        <is>
          <t xml:space="preserve">room-chat</t>
        </is>
      </c>
      <c r="B17" s="0" t="inlineStr">
        <is>
          <t xml:space="preserve">Tin nhắn &amp; thông báo</t>
        </is>
      </c>
      <c r="C17" s="0" t="inlineStr">
        <is>
          <t xml:space="preserve">Nhắn chủ trọ theo ngữ cảnh tin/phòng</t>
        </is>
      </c>
      <c r="D17" s="0" t="inlineStr">
        <is>
          <t xml:space="preserve">tenant, landlord</t>
        </is>
      </c>
      <c r="E17" s="0" t="inlineStr">
        <is>
          <t xml:space="preserve">Chi tiết tin → Nhắn tin · hoặc Tin nhắn → chọn hội thoại</t>
        </is>
      </c>
      <c r="F17" s="0" t="inlineStr">
        <is>
          <t xml:space="preserve">API-076
API-077
API-078
API-079
API-080
API-081
API-082
API-083</t>
        </is>
      </c>
      <c r="G17" s="0" t="inlineStr">
        <is>
          <t xml:space="preserve"/>
        </is>
      </c>
      <c r="H17" s="0" t="inlineStr">
        <is>
          <t xml:space="preserve">ROOM_INQUIRY: hỏi thuê phòng
Tin TEXT / IMAGE / SYSTEM / POST_SHARE (CSDL)</t>
        </is>
      </c>
      <c r="I17" s="0" t="inlineStr">
        <is>
          <t xml:space="preserve">Tin và lịch không phải hai bản sao trạng thái. Chưa có máy chủ chat xuyên thiết bị hoặc tải ảnh chat thực.</t>
        </is>
      </c>
      <c r="J17" s="0" t="inlineStr">
        <is>
          <t xml:space="preserve">conversations, conversation_participants, chat_messages, room_viewing_requests</t>
        </is>
      </c>
    </row>
    <row r="18" ht="70" customHeight="1">
      <c r="A18" s="2" t="inlineStr">
        <is>
          <t xml:space="preserve">roommate-chat</t>
        </is>
      </c>
      <c r="B18" s="2" t="inlineStr">
        <is>
          <t xml:space="preserve">Tin nhắn &amp; thông báo</t>
        </is>
      </c>
      <c r="C18" s="2" t="inlineStr">
        <is>
          <t xml:space="preserve">Chat riêng giữa hai bạn ghép</t>
        </is>
      </c>
      <c r="D18" s="2" t="inlineStr">
        <is>
          <t xml:space="preserve">tenant</t>
        </is>
      </c>
      <c r="E18" s="2" t="inlineStr">
        <is>
          <t xml:space="preserve">Ở ghép → Chấp nhận / Nhắn tin · Tin nhắn → Bạn ghép</t>
        </is>
      </c>
      <c r="F18" s="2" t="inlineStr">
        <is>
          <t xml:space="preserve">API-084</t>
        </is>
      </c>
      <c r="G18" s="2" t="inlineStr">
        <is>
          <t xml:space="preserve"/>
        </is>
      </c>
      <c r="H18" s="2" t="inlineStr">
        <is>
          <t xml:space="preserve">ACCEPTED, chưa ended_at → được mở/gửi chat</t>
        </is>
      </c>
      <c r="I18" s="2" t="inlineStr">
        <is>
          <t xml:space="preserve">Muốn thuê chung phải thực hiện luồng hợp đồng hoặc yêu cầu thêm người riêng.</t>
        </is>
      </c>
      <c r="J18" s="2" t="inlineStr">
        <is>
          <t xml:space="preserve">roommate_requests, conversations, conversation_participants, chat_messages</t>
        </is>
      </c>
    </row>
    <row r="19" ht="70" customHeight="1">
      <c r="A19" s="0" t="inlineStr">
        <is>
          <t xml:space="preserve">share-post</t>
        </is>
      </c>
      <c r="B19" s="0" t="inlineStr">
        <is>
          <t xml:space="preserve">Tin nhắn &amp; thông báo</t>
        </is>
      </c>
      <c r="C19" s="0" t="inlineStr">
        <is>
          <t xml:space="preserve">Chia sẻ đúng tin phòng cho bạn ghép</t>
        </is>
      </c>
      <c r="D19" s="0" t="inlineStr">
        <is>
          <t xml:space="preserve">tenant</t>
        </is>
      </c>
      <c r="E19" s="0" t="inlineStr">
        <is>
          <t xml:space="preserve">Chi tiết tin → Chia sẻ cho bạn ghép · Chat bạn ghép → Chia sẻ phòng</t>
        </is>
      </c>
      <c r="F19" s="0" t="inlineStr">
        <is>
          <t xml:space="preserve">API-085</t>
        </is>
      </c>
      <c r="G19" s="0" t="inlineStr">
        <is>
          <t xml:space="preserve"/>
        </is>
      </c>
      <c r="H19" s="0" t="inlineStr">
        <is>
          <t xml:space="preserve">Bài còn công khai → thẻ mở được
Bài ẩn / mất quyền / không tồn tại → thẻ không còn hiển thị</t>
        </is>
      </c>
      <c r="I19" s="0" t="inlineStr">
        <is>
          <t xml:space="preserve">Chia sẻ là giới thiệu tin, không phải đồng ý thuê hoặc quyền ưu tiên thuê.</t>
        </is>
      </c>
      <c r="J19" s="0" t="inlineStr">
        <is>
          <t xml:space="preserve">chat_messages, posts, roommate_requests</t>
        </is>
      </c>
    </row>
    <row r="20" ht="70" customHeight="1">
      <c r="A20" s="2" t="inlineStr">
        <is>
          <t xml:space="preserve">notifications</t>
        </is>
      </c>
      <c r="B20" s="2" t="inlineStr">
        <is>
          <t xml:space="preserve">Tin nhắn &amp; thông báo</t>
        </is>
      </c>
      <c r="C20" s="2" t="inlineStr">
        <is>
          <t xml:space="preserve">Chuông, bộ đếm và popup thông báo mới</t>
        </is>
      </c>
      <c r="D20" s="2" t="inlineStr">
        <is>
          <t xml:space="preserve">tenant, landlord, admin, system</t>
        </is>
      </c>
      <c r="E20" s="2" t="inlineStr">
        <is>
          <t xml:space="preserve">Chuông trên thanh trên · Popup khi có thông báo mới</t>
        </is>
      </c>
      <c r="F20" s="2" t="inlineStr">
        <is>
          <t xml:space="preserve">API-086
API-087
API-088
API-089
API-090</t>
        </is>
      </c>
      <c r="G20" s="2" t="inlineStr">
        <is>
          <t xml:space="preserve">JOB06</t>
        </is>
      </c>
      <c r="H20" s="2" t="inlineStr">
        <is>
          <t xml:space="preserve">Chưa đọc → đã đọc; đóng popup không đồng nghĩa đã đọc</t>
        </is>
      </c>
      <c r="I20" s="2" t="inlineStr">
        <is>
          <t xml:space="preserve">Hiện truyền giữa hai tab cùng nguồn trình duyệt qua storage event; chưa có email, SMS, push hoặc máy chủ realtime.</t>
        </is>
      </c>
      <c r="J20" s="2" t="inlineStr">
        <is>
          <t xml:space="preserve">notifications, users, chat_messages</t>
        </is>
      </c>
    </row>
    <row r="21" ht="70" customHeight="1">
      <c r="A21" s="0" t="inlineStr">
        <is>
          <t xml:space="preserve">propose-viewing</t>
        </is>
      </c>
      <c r="B21" s="0" t="inlineStr">
        <is>
          <t xml:space="preserve">Hẹn xem &amp; quyết định thuê</t>
        </is>
      </c>
      <c r="C21" s="0" t="inlineStr">
        <is>
          <t xml:space="preserve">Người thuê đề nghị lịch xem, chủ trọ xét duyệt</t>
        </is>
      </c>
      <c r="D21" s="0" t="inlineStr">
        <is>
          <t xml:space="preserve">tenant, landlord</t>
        </is>
      </c>
      <c r="E21" s="0" t="inlineStr">
        <is>
          <t xml:space="preserve">Người thuê → Chi tiết tin / Tin nhắn → Đề nghị lịch xem</t>
        </is>
      </c>
      <c r="F21" s="0" t="inlineStr">
        <is>
          <t xml:space="preserve">API-083
API-091
API-092
API-093
API-094</t>
        </is>
      </c>
      <c r="G21" s="0" t="inlineStr">
        <is>
          <t xml:space="preserve">JOB01</t>
        </is>
      </c>
      <c r="H21" s="0" t="inlineStr">
        <is>
          <t xml:space="preserve">PENDING → ACCEPTED / REJECTED / WITHDRAWN / EXPIRED
ACCEPTED → lịch SCHEDULED có liên kết</t>
        </is>
      </c>
      <c r="I21" s="0" t="inlineStr">
        <is>
          <t xml:space="preserve">Đổi giờ bằng rút/gửi đề nghị mới hoặc hủy lịch đã chốt. Lịch hủy không xóa lịch sử ACCEPTED của đề nghị.</t>
        </is>
      </c>
      <c r="J21" s="0" t="inlineStr">
        <is>
          <t xml:space="preserve">room_viewing_proposals, room_viewing_requests, notifications</t>
        </is>
      </c>
    </row>
    <row r="22" ht="70" customHeight="1">
      <c r="A22" s="2" t="inlineStr">
        <is>
          <t xml:space="preserve">schedule-viewing</t>
        </is>
      </c>
      <c r="B22" s="2" t="inlineStr">
        <is>
          <t xml:space="preserve">Hẹn xem &amp; quyết định thuê</t>
        </is>
      </c>
      <c r="C22" s="2" t="inlineStr">
        <is>
          <t xml:space="preserve">Chủ trọ tự tạo lịch sau khi đã trao đổi</t>
        </is>
      </c>
      <c r="D22" s="2" t="inlineStr">
        <is>
          <t xml:space="preserve">landlord, tenant</t>
        </is>
      </c>
      <c r="E22" s="2" t="inlineStr">
        <is>
          <t xml:space="preserve">Chủ trọ → Tin nhắn / Lịch xem → Tạo lịch xem</t>
        </is>
      </c>
      <c r="F22" s="2" t="inlineStr">
        <is>
          <t xml:space="preserve">API-083
API-095
API-096
API-097</t>
        </is>
      </c>
      <c r="G22" s="2" t="inlineStr">
        <is>
          <t xml:space="preserve"/>
        </is>
      </c>
      <c r="H22" s="2" t="inlineStr">
        <is>
          <t xml:space="preserve">Tạo lịch trực tiếp → SCHEDULED</t>
        </is>
      </c>
      <c r="I22" s="2" t="inlineStr">
        <is>
          <t xml:space="preserve">Có nhiều lịch khác giờ cho một phòng; xem trước không tạo quyền ưu tiên thuê.</t>
        </is>
      </c>
      <c r="J22" s="2" t="inlineStr">
        <is>
          <t xml:space="preserve">conversations, chat_messages, room_viewing_requests</t>
        </is>
      </c>
    </row>
    <row r="23" ht="70" customHeight="1">
      <c r="A23" s="0" t="inlineStr">
        <is>
          <t xml:space="preserve">viewing-outcome</t>
        </is>
      </c>
      <c r="B23" s="0" t="inlineStr">
        <is>
          <t xml:space="preserve">Hẹn xem &amp; quyết định thuê</t>
        </is>
      </c>
      <c r="C23" s="0" t="inlineStr">
        <is>
          <t xml:space="preserve">Xác nhận đã xem, không đến, hủy và ý định thuê</t>
        </is>
      </c>
      <c r="D23" s="0" t="inlineStr">
        <is>
          <t xml:space="preserve">tenant, landlord</t>
        </is>
      </c>
      <c r="E23" s="0" t="inlineStr">
        <is>
          <t xml:space="preserve">Lịch xem / thẻ lịch trong Tin nhắn</t>
        </is>
      </c>
      <c r="F23" s="0" t="inlineStr">
        <is>
          <t xml:space="preserve">API-098
API-099
API-100</t>
        </is>
      </c>
      <c r="G23" s="0" t="inlineStr">
        <is>
          <t xml:space="preserve"/>
        </is>
      </c>
      <c r="H23" s="0" t="inlineStr">
        <is>
          <t xml:space="preserve">SCHEDULED → COMPLETED / NO_SHOW / CANCELLED
WAITING → AGREED / DECLINED; AGREED → WITHDRAWN</t>
        </is>
      </c>
      <c r="I23" s="0" t="inlineStr">
        <is>
          <t xml:space="preserve">Không đảo ngược quyết định bằng nút/form cũ; cần theo đúng chuyển trạng thái cho phép.</t>
        </is>
      </c>
      <c r="J23" s="0" t="inlineStr">
        <is>
          <t xml:space="preserve">room_viewing_requests, contracts</t>
        </is>
      </c>
    </row>
    <row r="24" ht="70" customHeight="1">
      <c r="A24" s="2" t="inlineStr">
        <is>
          <t xml:space="preserve">create-contract</t>
        </is>
      </c>
      <c r="B24" s="2" t="inlineStr">
        <is>
          <t xml:space="preserve">Hợp đồng &amp; vào ở</t>
        </is>
      </c>
      <c r="C24" s="2" t="inlineStr">
        <is>
          <t xml:space="preserve">Lập hợp đồng thuê mới từ lịch đã xem</t>
        </is>
      </c>
      <c r="D24" s="2" t="inlineStr">
        <is>
          <t xml:space="preserve">landlord, tenant</t>
        </is>
      </c>
      <c r="E24" s="2" t="inlineStr">
        <is>
          <t xml:space="preserve">Chủ trọ → Lịch xem COMPLETED, AGREED → Lập hợp đồng</t>
        </is>
      </c>
      <c r="F24" s="2" t="inlineStr">
        <is>
          <t xml:space="preserve">API-101
API-102
API-103</t>
        </is>
      </c>
      <c r="G24" s="2" t="inlineStr">
        <is>
          <t xml:space="preserve"/>
        </is>
      </c>
      <c r="H24" s="2" t="inlineStr">
        <is>
          <t xml:space="preserve">Hợp đồng PENDING_CONFIRMATION; phòng RESERVED; thành viên PLANNED</t>
        </is>
      </c>
      <c r="I24" s="2" t="inlineStr">
        <is>
          <t xml:space="preserve">Người phụ có thể chưa có tài khoản, vẫn có dòng cư trú riêng. Mở form hoặc bấm AGREED chưa giữ phòng.</t>
        </is>
      </c>
      <c r="J24" s="2" t="inlineStr">
        <is>
          <t xml:space="preserve">contracts, contract_revisions, room_tenants, contract_representative_history</t>
        </is>
      </c>
    </row>
    <row r="25" ht="70" customHeight="1">
      <c r="A25" s="0" t="inlineStr">
        <is>
          <t xml:space="preserve">reserve-cleanup</t>
        </is>
      </c>
      <c r="B25" s="0" t="inlineStr">
        <is>
          <t xml:space="preserve">Hợp đồng &amp; vào ở</t>
        </is>
      </c>
      <c r="C25" s="0" t="inlineStr">
        <is>
          <t xml:space="preserve">Tự xử lý lịch/đề nghị khi hợp đồng giữ phòng</t>
        </is>
      </c>
      <c r="D25" s="0" t="inlineStr">
        <is>
          <t xml:space="preserve">landlord, tenant, system</t>
        </is>
      </c>
      <c r="E25" s="0" t="inlineStr">
        <is>
          <t xml:space="preserve">Tự chạy khi chủ trọ gửi hợp đồng mới</t>
        </is>
      </c>
      <c r="F25" s="0" t="inlineStr">
        <is>
          <t xml:space="preserve">API-103
API-104</t>
        </is>
      </c>
      <c r="G25" s="0" t="inlineStr">
        <is>
          <t xml:space="preserve"/>
        </is>
      </c>
      <c r="H25" s="0" t="inlineStr">
        <is>
          <t xml:space="preserve">Lịch tương lai SCHEDULED → CANCELLED
Đề nghị còn hạn PENDING → REJECTED; quá giờ → EXPIRED</t>
        </is>
      </c>
      <c r="I25" s="0" t="inlineStr">
        <is>
          <t xml:space="preserve">Lịch đã diễn ra/đang diễn ra không bị biến thành hủy tự động.</t>
        </is>
      </c>
      <c r="J25" s="0" t="inlineStr">
        <is>
          <t xml:space="preserve">contracts, room_viewing_requests, room_viewing_proposals, notifications</t>
        </is>
      </c>
    </row>
    <row r="26" ht="70" customHeight="1">
      <c r="A26" s="2" t="inlineStr">
        <is>
          <t xml:space="preserve">contract-revision</t>
        </is>
      </c>
      <c r="B26" s="2" t="inlineStr">
        <is>
          <t xml:space="preserve">Hợp đồng &amp; vào ở</t>
        </is>
      </c>
      <c r="C26" s="2" t="inlineStr">
        <is>
          <t xml:space="preserve">Xác nhận nội dung hoặc yêu cầu sửa hợp đồng</t>
        </is>
      </c>
      <c r="D26" s="2" t="inlineStr">
        <is>
          <t xml:space="preserve">tenant, landlord</t>
        </is>
      </c>
      <c r="E26" s="2" t="inlineStr">
        <is>
          <t xml:space="preserve">Hợp đồng → Xem chi tiết → Xác nhận / Yêu cầu sửa</t>
        </is>
      </c>
      <c r="F26" s="2" t="inlineStr">
        <is>
          <t xml:space="preserve">API-105
API-106
API-107
API-108
API-109</t>
        </is>
      </c>
      <c r="G26" s="2" t="inlineStr">
        <is>
          <t xml:space="preserve"/>
        </is>
      </c>
      <c r="H26" s="2" t="inlineStr">
        <is>
          <t xml:space="preserve">PENDING_CONFIRMATION → CONFIRMED
Yêu cầu sửa → phiên bản cũ CANCELLED + bản DRAFT → PENDING_CONFIRMATION</t>
        </is>
      </c>
      <c r="I26" s="2" t="inlineStr">
        <is>
          <t xml:space="preserve">Wireframe mô phỏng xác nhận; chưa có chữ ký điện tử, tài liệu ký số hoặc dịch vụ ký từ xa.</t>
        </is>
      </c>
      <c r="J26" s="2" t="inlineStr">
        <is>
          <t xml:space="preserve">contracts, contract_revisions</t>
        </is>
      </c>
    </row>
    <row r="27" ht="70" customHeight="1">
      <c r="A27" s="0" t="inlineStr">
        <is>
          <t xml:space="preserve">move-in</t>
        </is>
      </c>
      <c r="B27" s="0" t="inlineStr">
        <is>
          <t xml:space="preserve">Hợp đồng &amp; vào ở</t>
        </is>
      </c>
      <c r="C27" s="0" t="inlineStr">
        <is>
          <t xml:space="preserve">Xác nhận người thuê thực tế vào ở</t>
        </is>
      </c>
      <c r="D27" s="0" t="inlineStr">
        <is>
          <t xml:space="preserve">landlord, tenant</t>
        </is>
      </c>
      <c r="E27" s="0" t="inlineStr">
        <is>
          <t xml:space="preserve">Chủ trọ → Hợp đồng → Xác nhận vào ở / xác nhận từng thành viên</t>
        </is>
      </c>
      <c r="F27" s="0" t="inlineStr">
        <is>
          <t xml:space="preserve">API-110</t>
        </is>
      </c>
      <c r="G27" s="0" t="inlineStr">
        <is>
          <t xml:space="preserve"/>
        </is>
      </c>
      <c r="H27" s="0" t="inlineStr">
        <is>
          <t xml:space="preserve">PLANNED → ACTIVE
CONFIRMED → ACTIVE (Còn hiệu lực)</t>
        </is>
      </c>
      <c r="I27" s="0" t="inlineStr">
        <is>
          <t xml:space="preserve">Không cho tài khoản đang ở nơi khác vào thêm lượt ACTIVE; phải giải quyết lượt ở trước.</t>
        </is>
      </c>
      <c r="J27" s="0" t="inlineStr">
        <is>
          <t xml:space="preserve">room_tenants, contracts, rooms</t>
        </is>
      </c>
    </row>
    <row r="28" ht="70" customHeight="1">
      <c r="A28" s="2" t="inlineStr">
        <is>
          <t xml:space="preserve">cancel-contract</t>
        </is>
      </c>
      <c r="B28" s="2" t="inlineStr">
        <is>
          <t xml:space="preserve">Hợp đồng &amp; vào ở</t>
        </is>
      </c>
      <c r="C28" s="2" t="inlineStr">
        <is>
          <t xml:space="preserve">Hủy trước vào ở, hủy người dự kiến và nhập giấy</t>
        </is>
      </c>
      <c r="D28" s="2" t="inlineStr">
        <is>
          <t xml:space="preserve">landlord, tenant, system</t>
        </is>
      </c>
      <c r="E28" s="2" t="inlineStr">
        <is>
          <t xml:space="preserve">Hợp đồng chưa vào ở → Hủy · Người ở → Hủy dự kiến</t>
        </is>
      </c>
      <c r="F28" s="2" t="inlineStr">
        <is>
          <t xml:space="preserve">API-111
API-112
API-113</t>
        </is>
      </c>
      <c r="G28" s="2" t="inlineStr">
        <is>
          <t xml:space="preserve"/>
        </is>
      </c>
      <c r="H28" s="2" t="inlineStr">
        <is>
          <t xml:space="preserve">Hợp đồng chưa ACTIVE → CANCELLED
PLANNED → CANCELLED</t>
        </is>
      </c>
      <c r="I28" s="2" t="inlineStr">
        <is>
          <t xml:space="preserve">Demo có dữ liệu nhập giấy mẫu, chưa có form nhập hợp đồng giấy đầy đủ.</t>
        </is>
      </c>
      <c r="J28" s="2" t="inlineStr">
        <is>
          <t xml:space="preserve">contracts, room_tenants, files, contract_revisions</t>
        </is>
      </c>
    </row>
    <row r="29" ht="70" customHeight="1">
      <c r="A29" s="0" t="inlineStr">
        <is>
          <t xml:space="preserve">residents</t>
        </is>
      </c>
      <c r="B29" s="0" t="inlineStr">
        <is>
          <t xml:space="preserve">Người ở &amp; đại diện</t>
        </is>
      </c>
      <c r="C29" s="0" t="inlineStr">
        <is>
          <t xml:space="preserve">Danh sách người ở, lịch sử và xuất CSV</t>
        </is>
      </c>
      <c r="D29" s="0" t="inlineStr">
        <is>
          <t xml:space="preserve">landlord</t>
        </is>
      </c>
      <c r="E29" s="0" t="inlineStr">
        <is>
          <t xml:space="preserve">Chủ trọ → Người ở · Hợp đồng → thành viên / lịch sử</t>
        </is>
      </c>
      <c r="F29" s="0" t="inlineStr">
        <is>
          <t xml:space="preserve">API-114
API-115
API-116</t>
        </is>
      </c>
      <c r="G29" s="0" t="inlineStr">
        <is>
          <t xml:space="preserve"/>
        </is>
      </c>
      <c r="H29" s="0" t="inlineStr">
        <is>
          <t xml:space="preserve">PLANNED / ACTIVE / LEFT / CANCELLED</t>
        </is>
      </c>
      <c r="I29" s="0" t="inlineStr">
        <is>
          <t xml:space="preserve">Không tự sửa dữ liệu lịch sử mâu thuẫn bằng suy đoán ngày rời phòng.</t>
        </is>
      </c>
      <c r="J29" s="0" t="inlineStr">
        <is>
          <t xml:space="preserve">room_tenants, contracts, contract_representative_history</t>
        </is>
      </c>
    </row>
    <row r="30" ht="70" customHeight="1">
      <c r="A30" s="2" t="inlineStr">
        <is>
          <t xml:space="preserve">join-consent</t>
        </is>
      </c>
      <c r="B30" s="2" t="inlineStr">
        <is>
          <t xml:space="preserve">Người ở &amp; đại diện</t>
        </is>
      </c>
      <c r="C30" s="2" t="inlineStr">
        <is>
          <t xml:space="preserve">Đề nghị thêm người và hai đồng ý thuê chung</t>
        </is>
      </c>
      <c r="D30" s="2" t="inlineStr">
        <is>
          <t xml:space="preserve">tenant, landlord</t>
        </is>
      </c>
      <c r="E30" s="2" t="inlineStr">
        <is>
          <t xml:space="preserve">Nghiệp vụ thuê chung → yêu cầu thêm người → Chủ trọ / Người ở</t>
        </is>
      </c>
      <c r="F30" s="2" t="inlineStr">
        <is>
          <t xml:space="preserve">API-117
API-118
API-119
API-120</t>
        </is>
      </c>
      <c r="G30" s="2" t="inlineStr">
        <is>
          <t xml:space="preserve"/>
        </is>
      </c>
      <c r="H30" s="2" t="inlineStr">
        <is>
          <t xml:space="preserve">PENDING_CONSENT → PENDING_LANDLORD
PENDING_LANDLORD → APPROVED / REJECTED / CANCELLED</t>
        </is>
      </c>
      <c r="I30" s="2" t="inlineStr">
        <is>
          <t xml:space="preserve">Demo có yêu cầu/đồng ý mẫu và xử lý duyệt, chưa có đầy đủ form hai bên tạo/xác nhận yêu cầu mới.</t>
        </is>
      </c>
      <c r="J30" s="2" t="inlineStr">
        <is>
          <t xml:space="preserve">occupant_join_requests, roommate_requests, contracts</t>
        </is>
      </c>
    </row>
    <row r="31" ht="70" customHeight="1">
      <c r="A31" s="0" t="inlineStr">
        <is>
          <t xml:space="preserve">join-hold</t>
        </is>
      </c>
      <c r="B31" s="0" t="inlineStr">
        <is>
          <t xml:space="preserve">Người ở &amp; đại diện</t>
        </is>
      </c>
      <c r="C31" s="0" t="inlineStr">
        <is>
          <t xml:space="preserve">Duyệt thêm người, giữ 48 giờ và hoàn tất vào ở</t>
        </is>
      </c>
      <c r="D31" s="0" t="inlineStr">
        <is>
          <t xml:space="preserve">landlord, tenant, system</t>
        </is>
      </c>
      <c r="E31" s="0" t="inlineStr">
        <is>
          <t xml:space="preserve">Chủ trọ → Người ở → Yêu cầu thêm người</t>
        </is>
      </c>
      <c r="F31" s="0" t="inlineStr">
        <is>
          <t xml:space="preserve">API-121
API-122
API-123
API-124</t>
        </is>
      </c>
      <c r="G31" s="0" t="inlineStr">
        <is>
          <t xml:space="preserve">JOB02</t>
        </is>
      </c>
      <c r="H31" s="0" t="inlineStr">
        <is>
          <t xml:space="preserve">PENDING_LANDLORD → APPROVED → COMPLETED
APPROVED → CANCELLED / EXPIRED; chờ → REJECTED</t>
        </is>
      </c>
      <c r="I31" s="0" t="inlineStr">
        <is>
          <t xml:space="preserve">Giữ chỗ cho người ở ghép khác với giữ cả phòng bằng hợp đồng mới.</t>
        </is>
      </c>
      <c r="J31" s="0" t="inlineStr">
        <is>
          <t xml:space="preserve">occupant_join_requests, room_tenants, rooms</t>
        </is>
      </c>
    </row>
    <row r="32" ht="70" customHeight="1">
      <c r="A32" s="2" t="inlineStr">
        <is>
          <t xml:space="preserve">departure</t>
        </is>
      </c>
      <c r="B32" s="2" t="inlineStr">
        <is>
          <t xml:space="preserve">Người ở &amp; đại diện</t>
        </is>
      </c>
      <c r="C32" s="2" t="inlineStr">
        <is>
          <t xml:space="preserve">Thành viên rời phòng và người cuối cùng rời</t>
        </is>
      </c>
      <c r="D32" s="2" t="inlineStr">
        <is>
          <t xml:space="preserve">landlord</t>
        </is>
      </c>
      <c r="E32" s="2" t="inlineStr">
        <is>
          <t xml:space="preserve">Chủ trọ → Người ở → Xác nhận rời</t>
        </is>
      </c>
      <c r="F32" s="2" t="inlineStr">
        <is>
          <t xml:space="preserve">API-125</t>
        </is>
      </c>
      <c r="G32" s="2" t="inlineStr">
        <is>
          <t xml:space="preserve"/>
        </is>
      </c>
      <c r="H32" s="2" t="inlineStr">
        <is>
          <t xml:space="preserve">ACTIVE → LEFT
Hết thành viên mở → hợp đồng kết thúc; phòng tính lại</t>
        </is>
      </c>
      <c r="I32" s="2" t="inlineStr">
        <is>
          <t xml:space="preserve">Thành viên PLANNED chưa đến dùng hủy dự kiến, không chuyển LEFT với ngày vào giả.</t>
        </is>
      </c>
      <c r="J32" s="2" t="inlineStr">
        <is>
          <t xml:space="preserve">room_tenants, contracts, contract_representative_history, occupant_join_requests</t>
        </is>
      </c>
    </row>
    <row r="33" ht="70" customHeight="1">
      <c r="A33" s="0" t="inlineStr">
        <is>
          <t xml:space="preserve">handover</t>
        </is>
      </c>
      <c r="B33" s="0" t="inlineStr">
        <is>
          <t xml:space="preserve">Người ở &amp; đại diện</t>
        </is>
      </c>
      <c r="C33" s="0" t="inlineStr">
        <is>
          <t xml:space="preserve">Bàn giao đại diện khi người đại diện rời</t>
        </is>
      </c>
      <c r="D33" s="0" t="inlineStr">
        <is>
          <t xml:space="preserve">landlord, tenant</t>
        </is>
      </c>
      <c r="E33" s="0" t="inlineStr">
        <is>
          <t xml:space="preserve">Người ở → đại diện → Xác nhận rời → Bàn giao · Hợp đồng → Lịch sử đại diện</t>
        </is>
      </c>
      <c r="F33" s="0" t="inlineStr">
        <is>
          <t xml:space="preserve">API-126
API-127
API-128</t>
        </is>
      </c>
      <c r="G33" s="0" t="inlineStr">
        <is>
          <t xml:space="preserve"/>
        </is>
      </c>
      <c r="H33" s="0" t="inlineStr">
        <is>
          <t xml:space="preserve">Đại diện cũ → giai đoạn đóng; đại diện mới → giai đoạn hiện hành
Hợp đồng vẫn ACTIVE, phòng vẫn OCCUPIED</t>
        </is>
      </c>
      <c r="I33" s="0" t="inlineStr">
        <is>
          <t xml:space="preserve">Demo là chủ trọ ghi nhận đồng ý, chưa phải người nhận tự đăng nhập ký phụ lục. Dữ liệu cũ không biết thời điểm nhận thì để chưa rõ, không đoán theo ngày ký.</t>
        </is>
      </c>
      <c r="J33" s="0" t="inlineStr">
        <is>
          <t xml:space="preserve">contract_representative_history, contracts, room_tenants, notifications</t>
        </is>
      </c>
    </row>
    <row r="34" ht="70" customHeight="1">
      <c r="A34" s="2" t="inlineStr">
        <is>
          <t xml:space="preserve">change-request</t>
        </is>
      </c>
      <c r="B34" s="2" t="inlineStr">
        <is>
          <t xml:space="preserve">Gia hạn, đổi phòng, kết thúc</t>
        </is>
      </c>
      <c r="C34" s="2" t="inlineStr">
        <is>
          <t xml:space="preserve">Luồng chung yêu cầu điều chỉnh hợp đồng</t>
        </is>
      </c>
      <c r="D34" s="2" t="inlineStr">
        <is>
          <t xml:space="preserve">tenant, landlord</t>
        </is>
      </c>
      <c r="E34" s="2" t="inlineStr">
        <is>
          <t xml:space="preserve">Người thuê → Hợp đồng → Chi tiết → Yêu cầu · Chủ trọ → Hợp đồng → Yêu cầu gia hạn / điều chỉnh</t>
        </is>
      </c>
      <c r="F34" s="2" t="inlineStr">
        <is>
          <t xml:space="preserve">API-129
API-130
API-131
API-132
API-133
API-134
API-135</t>
        </is>
      </c>
      <c r="G34" s="2" t="inlineStr">
        <is>
          <t xml:space="preserve"/>
        </is>
      </c>
      <c r="H34" s="2" t="inlineStr">
        <is>
          <t xml:space="preserve">PENDING → APPROVED_WAITING_CONFIRMATION → READY_TO_APPLY → COMPLETED
PENDING → REJECTED; CANCELLED / EXPIRED có trong CSDL</t>
        </is>
      </c>
      <c r="I34" s="2" t="inlineStr">
        <is>
          <t xml:space="preserve">Chưa có trình chỉnh giá/điều khoản tùy ý trong form gia hạn; thay đổi trên UI hiện chủ yếu là gia hạn, đổi phòng và chấm dứt.</t>
        </is>
      </c>
      <c r="J34" s="2" t="inlineStr">
        <is>
          <t xml:space="preserve">contract_change_requests, contracts, contract_revisions</t>
        </is>
      </c>
    </row>
    <row r="35" ht="70" customHeight="1">
      <c r="A35" s="0" t="inlineStr">
        <is>
          <t xml:space="preserve">renewal</t>
        </is>
      </c>
      <c r="B35" s="0" t="inlineStr">
        <is>
          <t xml:space="preserve">Gia hạn, đổi phòng, kết thúc</t>
        </is>
      </c>
      <c r="C35" s="0" t="inlineStr">
        <is>
          <t xml:space="preserve">Gia hạn thời hạn hợp đồng</t>
        </is>
      </c>
      <c r="D35" s="0" t="inlineStr">
        <is>
          <t xml:space="preserve">tenant, landlord</t>
        </is>
      </c>
      <c r="E35" s="0" t="inlineStr">
        <is>
          <t xml:space="preserve">Hợp đồng → Chi tiết → Yêu cầu gia hạn</t>
        </is>
      </c>
      <c r="F35" s="0" t="inlineStr">
        <is>
          <t xml:space="preserve">API-130
API-135</t>
        </is>
      </c>
      <c r="G35" s="0" t="inlineStr">
        <is>
          <t xml:space="preserve"/>
        </is>
      </c>
      <c r="H35" s="0" t="inlineStr">
        <is>
          <t xml:space="preserve">RENEWAL theo luồng duyệt chung → COMPLETED</t>
        </is>
      </c>
      <c r="I35" s="0" t="inlineStr">
        <is>
          <t xml:space="preserve">Luồng chưa thương lượng giá/điều khoản mới đầy đủ; demo không dùng API hoặc ký số.</t>
        </is>
      </c>
      <c r="J35" s="0" t="inlineStr">
        <is>
          <t xml:space="preserve">contract_change_requests, contracts, contract_revisions</t>
        </is>
      </c>
    </row>
    <row r="36" ht="70" customHeight="1">
      <c r="A36" s="2" t="inlineStr">
        <is>
          <t xml:space="preserve">transfer</t>
        </is>
      </c>
      <c r="B36" s="2" t="inlineStr">
        <is>
          <t xml:space="preserve">Gia hạn, đổi phòng, kết thúc</t>
        </is>
      </c>
      <c r="C36" s="2" t="inlineStr">
        <is>
          <t xml:space="preserve">Đổi sang phòng khác và tạo hợp đồng chuyển phòng</t>
        </is>
      </c>
      <c r="D36" s="2" t="inlineStr">
        <is>
          <t xml:space="preserve">tenant, landlord</t>
        </is>
      </c>
      <c r="E36" s="2" t="inlineStr">
        <is>
          <t xml:space="preserve">Hợp đồng → Chi tiết → Yêu cầu thay đổi → chọn phòng đích</t>
        </is>
      </c>
      <c r="F36" s="2" t="inlineStr">
        <is>
          <t xml:space="preserve">API-130
API-135
API-136</t>
        </is>
      </c>
      <c r="G36" s="2" t="inlineStr">
        <is>
          <t xml:space="preserve"/>
        </is>
      </c>
      <c r="H36" s="2" t="inlineStr">
        <is>
          <t xml:space="preserve">Nguồn: ACTIVE → TERMINATED, người đang ở → LEFT
Đích: CONFIRMED + PLANNED; phòng RESERVED → OCCUPIED khi vào</t>
        </is>
      </c>
      <c r="I36" s="2" t="inlineStr">
        <is>
          <t xml:space="preserve">Đích không đủ chỗ hoặc mất quyền cho thuê thì chưa thay đổi hợp đồng nguồn.</t>
        </is>
      </c>
      <c r="J36" s="2" t="inlineStr">
        <is>
          <t xml:space="preserve">contracts, room_tenants, contract_change_requests, contract_representative_history</t>
        </is>
      </c>
    </row>
    <row r="37" ht="70" customHeight="1">
      <c r="A37" s="0" t="inlineStr">
        <is>
          <t xml:space="preserve">end-lease</t>
        </is>
      </c>
      <c r="B37" s="0" t="inlineStr">
        <is>
          <t xml:space="preserve">Gia hạn, đổi phòng, kết thúc</t>
        </is>
      </c>
      <c r="C37" s="0" t="inlineStr">
        <is>
          <t xml:space="preserve">Yêu cầu chấm dứt và đóng hợp đồng</t>
        </is>
      </c>
      <c r="D37" s="0" t="inlineStr">
        <is>
          <t xml:space="preserve">tenant, landlord</t>
        </is>
      </c>
      <c r="E37" s="0" t="inlineStr">
        <is>
          <t xml:space="preserve">Hợp đồng → Chi tiết → Yêu cầu chấm dứt</t>
        </is>
      </c>
      <c r="F37" s="0" t="inlineStr">
        <is>
          <t xml:space="preserve">API-130
API-135</t>
        </is>
      </c>
      <c r="G37" s="0" t="inlineStr">
        <is>
          <t xml:space="preserve">OPS03</t>
        </is>
      </c>
      <c r="H37" s="0" t="inlineStr">
        <is>
          <t xml:space="preserve">Yêu cầu TERMINATION → COMPLETED
Hợp đồng ACTIVE → TERMINATED</t>
        </is>
      </c>
      <c r="I37" s="0" t="inlineStr">
        <is>
          <t xml:space="preserve">Chưa mô phỏng quyết toán cọc hoặc tự động kết thúc vì đến hạn; EXPIRED có trong SQL nhưng cần tác vụ máy chủ phù hợp.</t>
        </is>
      </c>
      <c r="J37" s="0" t="inlineStr">
        <is>
          <t xml:space="preserve">contracts, contract_change_requests, room_tenants, contract_representative_history, invoices</t>
        </is>
      </c>
    </row>
    <row r="38" ht="70" customHeight="1">
      <c r="A38" s="2" t="inlineStr">
        <is>
          <t xml:space="preserve">services</t>
        </is>
      </c>
      <c r="B38" s="2" t="inlineStr">
        <is>
          <t xml:space="preserve">Dịch vụ &amp; hóa đơn</t>
        </is>
      </c>
      <c r="C38" s="2" t="inlineStr">
        <is>
          <t xml:space="preserve">Dịch vụ theo nhà và giá riêng theo phòng</t>
        </is>
      </c>
      <c r="D38" s="2" t="inlineStr">
        <is>
          <t xml:space="preserve">landlord</t>
        </is>
      </c>
      <c r="E38" s="2" t="inlineStr">
        <is>
          <t xml:space="preserve">Chủ trọ → Dịch vụ → chọn nhà / phòng</t>
        </is>
      </c>
      <c r="F38" s="2" t="inlineStr">
        <is>
          <t xml:space="preserve">API-137
API-138
API-139
API-140
API-141
API-142
API-143
API-144</t>
        </is>
      </c>
      <c r="G38" s="2" t="inlineStr">
        <is>
          <t xml:space="preserve"/>
        </is>
      </c>
      <c r="H38" s="2" t="inlineStr">
        <is>
          <t xml:space="preserve">Dịch vụ tại nhà active / ngừng; áp dụng tại phòng active / ngừng</t>
        </is>
      </c>
      <c r="I38" s="2" t="inlineStr">
        <is>
          <t xml:space="preserve">Demo giữ cấu hình danh mục/nhà trong mảng services; API phải ánh xạ thành các bảng tương ứng.</t>
        </is>
      </c>
      <c r="J38" s="2" t="inlineStr">
        <is>
          <t xml:space="preserve">rental_services, house_services, room_services, invoice_items</t>
        </is>
      </c>
    </row>
    <row r="39" ht="70" customHeight="1">
      <c r="A39" s="0" t="inlineStr">
        <is>
          <t xml:space="preserve">bill</t>
        </is>
      </c>
      <c r="B39" s="0" t="inlineStr">
        <is>
          <t xml:space="preserve">Dịch vụ &amp; hóa đơn</t>
        </is>
      </c>
      <c r="C39" s="0" t="inlineStr">
        <is>
          <t xml:space="preserve">Lập và sửa bản nháp hóa đơn</t>
        </is>
      </c>
      <c r="D39" s="0" t="inlineStr">
        <is>
          <t xml:space="preserve">landlord</t>
        </is>
      </c>
      <c r="E39" s="0" t="inlineStr">
        <is>
          <t xml:space="preserve">Chủ trọ → Hóa đơn → Lập hóa đơn → Lưu nháp</t>
        </is>
      </c>
      <c r="F39" s="0" t="inlineStr">
        <is>
          <t xml:space="preserve">API-145
API-146
API-147
API-148</t>
        </is>
      </c>
      <c r="G39" s="0" t="inlineStr">
        <is>
          <t xml:space="preserve"/>
        </is>
      </c>
      <c r="H39" s="0" t="inlineStr">
        <is>
          <t xml:space="preserve">Chưa có kỳ → DRAFT; sửa vẫn DRAFT</t>
        </is>
      </c>
      <c r="I39" s="0" t="inlineStr">
        <is>
          <t xml:space="preserve">Cần API kiểm tra quyền/tổng tiền toàn diện; một số đầu vào demo còn dựa vào kiểm tra form HTML.</t>
        </is>
      </c>
      <c r="J39" s="0" t="inlineStr">
        <is>
          <t xml:space="preserve">invoices, invoice_items, room_services</t>
        </is>
      </c>
    </row>
    <row r="40" ht="70" customHeight="1">
      <c r="A40" s="2" t="inlineStr">
        <is>
          <t xml:space="preserve">pay-invoice</t>
        </is>
      </c>
      <c r="B40" s="2" t="inlineStr">
        <is>
          <t xml:space="preserve">Dịch vụ &amp; hóa đơn</t>
        </is>
      </c>
      <c r="C40" s="2" t="inlineStr">
        <is>
          <t xml:space="preserve">Phát hành, thu tiền, hủy và hóa đơn quá hạn</t>
        </is>
      </c>
      <c r="D40" s="2" t="inlineStr">
        <is>
          <t xml:space="preserve">landlord, tenant, system</t>
        </is>
      </c>
      <c r="E40" s="2" t="inlineStr">
        <is>
          <t xml:space="preserve">Hóa đơn → Chi tiết → Phát hành / Thu tiền / Hủy</t>
        </is>
      </c>
      <c r="F40" s="2" t="inlineStr">
        <is>
          <t xml:space="preserve">API-149
API-150
API-151
API-152</t>
        </is>
      </c>
      <c r="G40" s="2" t="inlineStr">
        <is>
          <t xml:space="preserve">JOB04</t>
        </is>
      </c>
      <c r="H40" s="2" t="inlineStr">
        <is>
          <t xml:space="preserve">DRAFT → UNPAID → PAID
UNPAID → CANCELLED; OVERDUE có trong CSDL</t>
        </is>
      </c>
      <c r="I40" s="2" t="inlineStr">
        <is>
          <t xml:space="preserve">Chưa có cổng thanh toán, đối soát ngân hàng, biên nhận số hoặc worker quá hạn thực.</t>
        </is>
      </c>
      <c r="J40" s="2" t="inlineStr">
        <is>
          <t xml:space="preserve">invoices, invoice_items</t>
        </is>
      </c>
    </row>
    <row r="41" ht="70" customHeight="1">
      <c r="A41" s="0" t="inlineStr">
        <is>
          <t xml:space="preserve">review</t>
        </is>
      </c>
      <c r="B41" s="0" t="inlineStr">
        <is>
          <t xml:space="preserve">Đánh giá &amp; quản trị</t>
        </is>
      </c>
      <c r="C41" s="0" t="inlineStr">
        <is>
          <t xml:space="preserve">Đánh giá phòng theo bằng chứng đã thuê</t>
        </is>
      </c>
      <c r="D41" s="0" t="inlineStr">
        <is>
          <t xml:space="preserve">tenant, admin</t>
        </is>
      </c>
      <c r="E41" s="0" t="inlineStr">
        <is>
          <t xml:space="preserve">Người thuê → Hợp đồng đã chấm dứt → Đánh giá phòng</t>
        </is>
      </c>
      <c r="F41" s="0" t="inlineStr">
        <is>
          <t xml:space="preserve">API-153
API-154
API-155</t>
        </is>
      </c>
      <c r="G41" s="0" t="inlineStr">
        <is>
          <t xml:space="preserve"/>
        </is>
      </c>
      <c r="H41" s="0" t="inlineStr">
        <is>
          <t xml:space="preserve">PUBLISHED / HIDDEN / DELETED (CSDL)</t>
        </is>
      </c>
      <c r="I41" s="0" t="inlineStr">
        <is>
          <t xml:space="preserve">Nút hiện khi hợp đồng TERMINATED; handler hiện kiểm tra thành viên ACTIVE/LEFT, chưa kiểm tra đầy đủ chính sách thời điểm. Chưa có luồng sửa/phản hồi/kiểm duyệt đánh giá đầy đủ.</t>
        </is>
      </c>
      <c r="J41" s="0" t="inlineStr">
        <is>
          <t xml:space="preserve">reviews, room_tenants</t>
        </is>
      </c>
    </row>
    <row r="42" ht="70" customHeight="1">
      <c r="A42" s="2" t="inlineStr">
        <is>
          <t xml:space="preserve">report</t>
        </is>
      </c>
      <c r="B42" s="2" t="inlineStr">
        <is>
          <t xml:space="preserve">Đánh giá &amp; quản trị</t>
        </is>
      </c>
      <c r="C42" s="2" t="inlineStr">
        <is>
          <t xml:space="preserve">Báo cáo vi phạm và kết luận xử lý</t>
        </is>
      </c>
      <c r="D42" s="2" t="inlineStr">
        <is>
          <t xml:space="preserve">tenant, admin</t>
        </is>
      </c>
      <c r="E42" s="2" t="inlineStr">
        <is>
          <t xml:space="preserve">Chi tiết tin → Báo cáo · Quản trị → Báo cáo → xử lý</t>
        </is>
      </c>
      <c r="F42" s="2" t="inlineStr">
        <is>
          <t xml:space="preserve">API-156
API-157
API-158
API-159
API-160</t>
        </is>
      </c>
      <c r="G42" s="2" t="inlineStr">
        <is>
          <t xml:space="preserve"/>
        </is>
      </c>
      <c r="H42" s="2" t="inlineStr">
        <is>
          <t xml:space="preserve">PENDING → RESOLVED (demo)
INVESTIGATING / DISMISSED: có trong CSDL</t>
        </is>
      </c>
      <c r="I42" s="2" t="inlineStr">
        <is>
          <t xml:space="preserve">Wireframe hiện chủ yếu báo cáo tin; chưa có quy trình tranh chấp/đính kèm minh chứng đầy đủ.</t>
        </is>
      </c>
      <c r="J42" s="2" t="inlineStr">
        <is>
          <t xml:space="preserve">reports, files, moderation_actions</t>
        </is>
      </c>
    </row>
    <row r="43" ht="70" customHeight="1">
      <c r="A43" s="0" t="inlineStr">
        <is>
          <t xml:space="preserve">lock-account</t>
        </is>
      </c>
      <c r="B43" s="0" t="inlineStr">
        <is>
          <t xml:space="preserve">Đánh giá &amp; quản trị</t>
        </is>
      </c>
      <c r="C43" s="0" t="inlineStr">
        <is>
          <t xml:space="preserve">Khóa và mở khóa tài khoản</t>
        </is>
      </c>
      <c r="D43" s="0" t="inlineStr">
        <is>
          <t xml:space="preserve">admin</t>
        </is>
      </c>
      <c r="E43" s="0" t="inlineStr">
        <is>
          <t xml:space="preserve">Quản trị → Tài khoản → Khóa / Mở khóa</t>
        </is>
      </c>
      <c r="F43" s="0" t="inlineStr">
        <is>
          <t xml:space="preserve">API-161
API-162
API-163
API-164</t>
        </is>
      </c>
      <c r="G43" s="0" t="inlineStr">
        <is>
          <t xml:space="preserve"/>
        </is>
      </c>
      <c r="H43" s="0" t="inlineStr">
        <is>
          <t xml:space="preserve">ACTIVE ↔ LOCKED; DISABLED có trong SQL</t>
        </is>
      </c>
      <c r="I43" s="0" t="inlineStr">
        <is>
          <t xml:space="preserve">Đây là mô phỏng quyết định, chưa phải cơ chế ngăn truy cập bảo mật trên máy chủ.</t>
        </is>
      </c>
      <c r="J43" s="0" t="inlineStr">
        <is>
          <t xml:space="preserve">users, auth_sessions, moderation_actions</t>
        </is>
      </c>
    </row>
    <row r="44" ht="70" customHeight="1">
      <c r="A44" s="2" t="inlineStr">
        <is>
          <t xml:space="preserve">templates</t>
        </is>
      </c>
      <c r="B44" s="2" t="inlineStr">
        <is>
          <t xml:space="preserve">Đánh giá &amp; quản trị</t>
        </is>
      </c>
      <c r="C44" s="2" t="inlineStr">
        <is>
          <t xml:space="preserve">Mẫu hợp đồng và phiên bản mẫu</t>
        </is>
      </c>
      <c r="D44" s="2" t="inlineStr">
        <is>
          <t xml:space="preserve">admin, landlord</t>
        </is>
      </c>
      <c r="E44" s="2" t="inlineStr">
        <is>
          <t xml:space="preserve">Quản trị → Mẫu hợp đồng · Chủ trọ → Lập hợp đồng → chọn mẫu</t>
        </is>
      </c>
      <c r="F44" s="2" t="inlineStr">
        <is>
          <t xml:space="preserve">API-165
API-166
API-167</t>
        </is>
      </c>
      <c r="G44" s="2" t="inlineStr">
        <is>
          <t xml:space="preserve"/>
        </is>
      </c>
      <c r="H44" s="2" t="inlineStr">
        <is>
          <t xml:space="preserve">Mẫu active / ngừng; version tăng khi tạo phiên bản mới</t>
        </is>
      </c>
      <c r="I44" s="2" t="inlineStr">
        <is>
          <t xml:space="preserve">Mẫu không tự bảo đảm tính pháp lý và chưa có ký số; người lập vẫn kiểm tra điều khoản cụ thể.</t>
        </is>
      </c>
      <c r="J44" s="2" t="inlineStr">
        <is>
          <t xml:space="preserve">contract_templates, contract_revisions</t>
        </is>
      </c>
    </row>
    <row r="45" ht="70" customHeight="1">
      <c r="A45" s="0" t="inlineStr">
        <is>
          <t xml:space="preserve">audit</t>
        </is>
      </c>
      <c r="B45" s="0" t="inlineStr">
        <is>
          <t xml:space="preserve">Đánh giá &amp; quản trị</t>
        </is>
      </c>
      <c r="C45" s="0" t="inlineStr">
        <is>
          <t xml:space="preserve">Nhật ký kiểm duyệt và truy vết thay đổi</t>
        </is>
      </c>
      <c r="D45" s="0" t="inlineStr">
        <is>
          <t xml:space="preserve">admin, system</t>
        </is>
      </c>
      <c r="E45" s="0" t="inlineStr">
        <is>
          <t xml:space="preserve">Quản trị → Nhật ký</t>
        </is>
      </c>
      <c r="F45" s="0" t="inlineStr">
        <is>
          <t xml:space="preserve">API-168
API-169
API-176</t>
        </is>
      </c>
      <c r="G45" s="0" t="inlineStr">
        <is>
          <t xml:space="preserve"/>
        </is>
      </c>
      <c r="H45" s="0" t="inlineStr">
        <is>
          <t xml:space="preserve">Sự kiện quyết định → bản ghi audit được giữ</t>
        </is>
      </c>
      <c r="I45" s="0" t="inlineStr">
        <is>
          <t xml:space="preserve">Danh sách audit demo chưa mô phỏng mọi cột của SQL và mọi thay đổi dữ liệu.</t>
        </is>
      </c>
      <c r="J45" s="0" t="inlineStr">
        <is>
          <t xml:space="preserve">moderation_actions</t>
        </is>
      </c>
    </row>
    <row r="46" ht="70" customHeight="1">
      <c r="A46" s="2" t="inlineStr">
        <is>
          <t xml:space="preserve">data-safety</t>
        </is>
      </c>
      <c r="B46" s="2" t="inlineStr">
        <is>
          <t xml:space="preserve">Dữ liệu &amp; tích hợp</t>
        </is>
      </c>
      <c r="C46" s="2" t="inlineStr">
        <is>
          <t xml:space="preserve">Ràng buộc chung, giao dịch và dữ liệu lịch sử</t>
        </is>
      </c>
      <c r="D46" s="2" t="inlineStr">
        <is>
          <t xml:space="preserve">system, tenant, landlord, admin</t>
        </is>
      </c>
      <c r="E46" s="2" t="inlineStr">
        <is>
          <t xml:space="preserve">Áp dụng cho toàn hệ thống · database/schema.sql + database/source/</t>
        </is>
      </c>
      <c r="F46" s="2" t="inlineStr">
        <is>
          <t xml:space="preserve">Không có HTTP endpoint</t>
        </is>
      </c>
      <c r="G46" s="2" t="inlineStr">
        <is>
          <t xml:space="preserve">OPS02</t>
        </is>
      </c>
      <c r="H46" s="2" t="inlineStr">
        <is>
          <t xml:space="preserve">Kiểm tra → khóa/đọc lại → ghi cùng giao dịch → commit hoặc rollback</t>
        </is>
      </c>
      <c r="I46" s="2" t="inlineStr">
        <is>
          <t xml:space="preserve">Wireframe hiện chạy localStorage; đồng bộ tab dùng storage event. Chưa có API bảo mật hoặc giao dịch máy chủ nối với giao diện.</t>
        </is>
      </c>
      <c r="J46" s="2" t="inlineStr">
        <is>
          <t xml:space="preserve">contracts, room_tenants, contract_representative_history, invoices, notifications</t>
        </is>
      </c>
    </row>
    <row r="47" ht="70" customHeight="1">
      <c r="A47" s="0" t="inlineStr">
        <is>
          <t xml:space="preserve">file-storage</t>
        </is>
      </c>
      <c r="B47" s="0" t="inlineStr">
        <is>
          <t xml:space="preserve">Dữ liệu &amp; tích hợp</t>
        </is>
      </c>
      <c r="C47" s="0" t="inlineStr">
        <is>
          <t xml:space="preserve">Tệp, quyền riêng tư và giới hạn lưu trữ</t>
        </is>
      </c>
      <c r="D47" s="0" t="inlineStr">
        <is>
          <t xml:space="preserve">tenant, landlord, admin, system</t>
        </is>
      </c>
      <c r="E47" s="0" t="inlineStr">
        <is>
          <t xml:space="preserve">Tệp minh chứng nhà / căn cước / hợp đồng / báo cáo</t>
        </is>
      </c>
      <c r="F47" s="0" t="inlineStr">
        <is>
          <t xml:space="preserve">API-170
API-171
API-172
API-173
API-174</t>
        </is>
      </c>
      <c r="G47" s="0" t="inlineStr">
        <is>
          <t xml:space="preserve"/>
        </is>
      </c>
      <c r="H47" s="0" t="inlineStr">
        <is>
          <t xml:space="preserve">STAGED → ACTIVE; ARCHIVED / DELETED theo chính sách</t>
        </is>
      </c>
      <c r="I47" s="0" t="inlineStr">
        <is>
          <t xml:space="preserve">Tệp cục bộ không có ở máy/trình duyệt khác. Chuyển vai trò demo không thay thế phân quyền kho tệp thật.</t>
        </is>
      </c>
      <c r="J47" s="0" t="inlineStr">
        <is>
          <t xml:space="preserve">files, house_verification_documents</t>
        </is>
      </c>
    </row>
    <row r="48" ht="70" customHeight="1">
      <c r="A48" s="2" t="inlineStr">
        <is>
          <t xml:space="preserve">migration</t>
        </is>
      </c>
      <c r="B48" s="2" t="inlineStr">
        <is>
          <t xml:space="preserve">Dữ liệu &amp; tích hợp</t>
        </is>
      </c>
      <c r="C48" s="2" t="inlineStr">
        <is>
          <t xml:space="preserve">Tạo CSDL mới, nâng cấp và giới hạn triển khai</t>
        </is>
      </c>
      <c r="D48" s="2" t="inlineStr">
        <is>
          <t xml:space="preserve">system, admin</t>
        </is>
      </c>
      <c r="E48" s="2" t="inlineStr">
        <is>
          <t xml:space="preserve">database/schema.sql · database/migrations/ · README.md</t>
        </is>
      </c>
      <c r="F48" s="2" t="inlineStr">
        <is>
          <t xml:space="preserve">Không có HTTP endpoint</t>
        </is>
      </c>
      <c r="G48" s="2" t="inlineStr">
        <is>
          <t xml:space="preserve">OPS01</t>
        </is>
      </c>
      <c r="H48" s="2" t="inlineStr">
        <is>
          <t xml:space="preserve">Schema mới hoặc nâng cấp một lần theo thứ tự; không chạy cả hai lên cùng CSDL mới</t>
        </is>
      </c>
      <c r="I48" s="2" t="inlineStr">
        <is>
          <t xml:space="preserve">Các kiểm thử SQL dùng MySQL tạm. Chưa áp dụng migration lên CSDL thật hoặc triển khai backend chỉ bằng mở wireframe.</t>
        </is>
      </c>
      <c r="J48" s="2" t="inlineStr">
        <is>
          <t xml:space="preserve">rental_houses, rental_house_verifications, posts, contract_representative_history</t>
        </is>
      </c>
    </row>
  </sheetData>
  <autoFilter ref="A1:J48"/>
  <pageMargins left="0.25" right="0.25" top="0.5" bottom="0.5" header="0.2" footer="0.2"/>
  <pageSetup orientation="landscape" paperSize="9"/>
</worksheet>
</file>

<file path=xl/worksheets/sheet5.xml><?xml version="1.0" encoding="utf-8"?>
<worksheet xmlns="http://schemas.openxmlformats.org/spreadsheetml/2006/main" xmlns:r="http://schemas.openxmlformats.org/officeDocument/2006/relationships">
  <dimension ref="A1:D161"/>
  <sheetViews>
    <sheetView workbookViewId="0">
      <pane xSplit="0" ySplit="1" topLeftCell="A2" activePane="bottomRight" state="frozen"/>
    </sheetView>
  </sheetViews>
  <sheetFormatPr defaultRowHeight="20"/>
  <cols>
    <col min="1" max="1" width="24" customWidth="1"/>
    <col min="2" max="2" width="55" customWidth="1"/>
    <col min="3" max="3" width="24" customWidth="1"/>
    <col min="4" max="4" width="140" customWidth="1"/>
  </cols>
  <sheetData>
    <row r="1" ht="36" customHeight="1">
      <c r="A1" s="1" t="inlineStr">
        <is>
          <t xml:space="preserve">ID luồng</t>
        </is>
      </c>
      <c r="B1" s="1" t="inlineStr">
        <is>
          <t xml:space="preserve">Tên luồng</t>
        </is>
      </c>
      <c r="C1" s="1" t="inlineStr">
        <is>
          <t xml:space="preserve">Lớp bảo vệ</t>
        </is>
      </c>
      <c r="D1" s="1" t="inlineStr">
        <is>
          <t xml:space="preserve">Ràng buộc từ nguồn</t>
        </is>
      </c>
    </row>
    <row r="2" ht="70" customHeight="1">
      <c r="A2" s="2" t="inlineStr">
        <is>
          <t xml:space="preserve">account-access</t>
        </is>
      </c>
      <c r="B2" s="2" t="inlineStr">
        <is>
          <t xml:space="preserve">Tài khoản, đăng nhập và vai trò</t>
        </is>
      </c>
      <c r="C2" s="2" t="inlineStr">
        <is>
          <t xml:space="preserve">DB</t>
        </is>
      </c>
      <c r="D2" s="2" t="inlineStr">
        <is>
          <t xml:space="preserve">Email và số điện thoại có khóa duy nhất; phải có ít nhất một thông tin liên hệ. Vai trò chính thuộc TENANT / LANDLORD / ADMIN.</t>
        </is>
      </c>
    </row>
    <row r="3" ht="70" customHeight="1">
      <c r="A3" s="0" t="inlineStr">
        <is>
          <t xml:space="preserve">account-access</t>
        </is>
      </c>
      <c r="B3" s="0" t="inlineStr">
        <is>
          <t xml:space="preserve">Tài khoản, đăng nhập và vai trò</t>
        </is>
      </c>
      <c r="C3" s="0" t="inlineStr">
        <is>
          <t xml:space="preserve">DB</t>
        </is>
      </c>
      <c r="D3" s="0" t="inlineStr">
        <is>
          <t xml:space="preserve">Các bảng tenants, landlords, admins tham chiếu users, hỗ trợ lưu quan hệ vai trò riêng; không suy quyền chỉ từ tên hiển thị.</t>
        </is>
      </c>
    </row>
    <row r="4" ht="70" customHeight="1">
      <c r="A4" s="2" t="inlineStr">
        <is>
          <t xml:space="preserve">account-access</t>
        </is>
      </c>
      <c r="B4" s="2" t="inlineStr">
        <is>
          <t xml:space="preserve">Tài khoản, đăng nhập và vai trò</t>
        </is>
      </c>
      <c r="C4" s="2" t="inlineStr">
        <is>
          <t xml:space="preserve">API</t>
        </is>
      </c>
      <c r="D4" s="2" t="inlineStr">
        <is>
          <t xml:space="preserve">Actor ID phải lấy từ phiên đã xác thực, không tin ID hoặc vai trò do trình duyệt gửi lên.</t>
        </is>
      </c>
    </row>
    <row r="5" ht="70" customHeight="1">
      <c r="A5" s="0" t="inlineStr">
        <is>
          <t xml:space="preserve">profile</t>
        </is>
      </c>
      <c r="B5" s="0" t="inlineStr">
        <is>
          <t xml:space="preserve">Cập nhật hồ sơ cá nhân</t>
        </is>
      </c>
      <c r="C5" s="0" t="inlineStr">
        <is>
          <t xml:space="preserve">UI</t>
        </is>
      </c>
      <c r="D5" s="0" t="inlineStr">
        <is>
          <t xml:space="preserve">Handler hiện mới lưu tên; các trường điện thoại, email, địa chỉ trên form chưa được lưu đầy đủ.</t>
        </is>
      </c>
    </row>
    <row r="6" ht="70" customHeight="1">
      <c r="A6" s="2" t="inlineStr">
        <is>
          <t xml:space="preserve">profile</t>
        </is>
      </c>
      <c r="B6" s="2" t="inlineStr">
        <is>
          <t xml:space="preserve">Cập nhật hồ sơ cá nhân</t>
        </is>
      </c>
      <c r="C6" s="2" t="inlineStr">
        <is>
          <t xml:space="preserve">DB</t>
        </is>
      </c>
      <c r="D6" s="2" t="inlineStr">
        <is>
          <t xml:space="preserve">personal_profiles có một hồ sơ cho mỗi user; thông tin cá nhân không mặc định là dữ liệu công khai.</t>
        </is>
      </c>
    </row>
    <row r="7" ht="70" customHeight="1">
      <c r="A7" s="0" t="inlineStr">
        <is>
          <t xml:space="preserve">profile</t>
        </is>
      </c>
      <c r="B7" s="0" t="inlineStr">
        <is>
          <t xml:space="preserve">Cập nhật hồ sơ cá nhân</t>
        </is>
      </c>
      <c r="C7" s="0" t="inlineStr">
        <is>
          <t xml:space="preserve">API</t>
        </is>
      </c>
      <c r="D7" s="0" t="inlineStr">
        <is>
          <t xml:space="preserve">Thay đổi liên hệ cần kiểm tra trùng và quy trình xác thực tương ứng.</t>
        </is>
      </c>
    </row>
    <row r="8" ht="70" customHeight="1">
      <c r="A8" s="2" t="inlineStr">
        <is>
          <t xml:space="preserve">identity</t>
        </is>
      </c>
      <c r="B8" s="2" t="inlineStr">
        <is>
          <t xml:space="preserve">Xác minh danh tính và hồ sơ tài khoản</t>
        </is>
      </c>
      <c r="C8" s="2" t="inlineStr">
        <is>
          <t xml:space="preserve">DB</t>
        </is>
      </c>
      <c r="D8" s="2" t="inlineStr">
        <is>
          <t xml:space="preserve">Mỗi người chỉ có một hồ sơ xác minh cùng loại đang PENDING; quyết định duyệt/từ chối lưu người và thời điểm.</t>
        </is>
      </c>
    </row>
    <row r="9" ht="70" customHeight="1">
      <c r="A9" s="0" t="inlineStr">
        <is>
          <t xml:space="preserve">identity</t>
        </is>
      </c>
      <c r="B9" s="0" t="inlineStr">
        <is>
          <t xml:space="preserve">Xác minh danh tính và hồ sơ tài khoản</t>
        </is>
      </c>
      <c r="C9" s="0" t="inlineStr">
        <is>
          <t xml:space="preserve">DB</t>
        </is>
      </c>
      <c r="D9" s="0" t="inlineStr">
        <is>
          <t xml:space="preserve">Giấy tờ danh tính dùng files với quyền PRIVATE.</t>
        </is>
      </c>
    </row>
    <row r="10" ht="70" customHeight="1">
      <c r="A10" s="2" t="inlineStr">
        <is>
          <t xml:space="preserve">identity</t>
        </is>
      </c>
      <c r="B10" s="2" t="inlineStr">
        <is>
          <t xml:space="preserve">Xác minh danh tính và hồ sơ tài khoản</t>
        </is>
      </c>
      <c r="C10" s="2" t="inlineStr">
        <is>
          <t xml:space="preserve">API</t>
        </is>
      </c>
      <c r="D10" s="2" t="inlineStr">
        <is>
          <t xml:space="preserve">Phải kiểm tra nội dung tệp, đối chiếu danh tính và chính sách lưu giấy tờ trên máy chủ.</t>
        </is>
      </c>
    </row>
    <row r="11" ht="70" customHeight="1">
      <c r="A11" s="0" t="inlineStr">
        <is>
          <t xml:space="preserve">sessions</t>
        </is>
      </c>
      <c r="B11" s="0" t="inlineStr">
        <is>
          <t xml:space="preserve">OTP, quên mật khẩu, phiên và liên kết tài khoản cư trú</t>
        </is>
      </c>
      <c r="C11" s="0" t="inlineStr">
        <is>
          <t xml:space="preserve">DB</t>
        </is>
      </c>
      <c r="D11" s="0" t="inlineStr">
        <is>
          <t xml:space="preserve">selector, session_key và refresh_token_hash có khóa duy nhất; expires_at phải sau created_at.</t>
        </is>
      </c>
    </row>
    <row r="12" ht="70" customHeight="1">
      <c r="A12" s="2" t="inlineStr">
        <is>
          <t xml:space="preserve">sessions</t>
        </is>
      </c>
      <c r="B12" s="2" t="inlineStr">
        <is>
          <t xml:space="preserve">OTP, quên mật khẩu, phiên và liên kết tài khoản cư trú</t>
        </is>
      </c>
      <c r="C12" s="2" t="inlineStr">
        <is>
          <t xml:space="preserve">DB</t>
        </is>
      </c>
      <c r="D12" s="2" t="inlineStr">
        <is>
          <t xml:space="preserve">Số lần thử từ 0 đến max_attempts. Token OCCUPANT_LINK phải có target_room_tenant_id; token mục đích khác không có liên kết này.</t>
        </is>
      </c>
    </row>
    <row r="13" ht="70" customHeight="1">
      <c r="A13" s="0" t="inlineStr">
        <is>
          <t xml:space="preserve">sessions</t>
        </is>
      </c>
      <c r="B13" s="0" t="inlineStr">
        <is>
          <t xml:space="preserve">OTP, quên mật khẩu, phiên và liên kết tài khoản cư trú</t>
        </is>
      </c>
      <c r="C13" s="0" t="inlineStr">
        <is>
          <t xml:space="preserve">API</t>
        </is>
      </c>
      <c r="D13" s="0" t="inlineStr">
        <is>
          <t xml:space="preserve">Lưu HMAC/hash có bí mật máy chủ, không lưu OTP nguyên văn; kiểm tra phiên bị thu hồi ở mỗi request.</t>
        </is>
      </c>
    </row>
    <row r="14" ht="70" customHeight="1">
      <c r="A14" s="2" t="inlineStr">
        <is>
          <t xml:space="preserve">create-house</t>
        </is>
      </c>
      <c r="B14" s="2" t="inlineStr">
        <is>
          <t xml:space="preserve">Thêm và sửa nhà trọ</t>
        </is>
      </c>
      <c r="C14" s="2" t="inlineStr">
        <is>
          <t xml:space="preserve">UI</t>
        </is>
      </c>
      <c r="D14" s="2" t="inlineStr">
        <is>
          <t xml:space="preserve">Tên tối đa 150, địa chỉ 500, khu vực 150, ghi chú 2.000 ký tự; tỉnh/thành từ danh mục. Tọa độ phải nhập cả hai và đúng khoảng.</t>
        </is>
      </c>
    </row>
    <row r="15" ht="70" customHeight="1">
      <c r="A15" s="0" t="inlineStr">
        <is>
          <t xml:space="preserve">create-house</t>
        </is>
      </c>
      <c r="B15" s="0" t="inlineStr">
        <is>
          <t xml:space="preserve">Thêm và sửa nhà trọ</t>
        </is>
      </c>
      <c r="C15" s="0" t="inlineStr">
        <is>
          <t xml:space="preserve">DB</t>
        </is>
      </c>
      <c r="D15" s="0" t="inlineStr">
        <is>
          <t xml:space="preserve">uq_houses_creation chống tạo trùng theo landlord_id + creation_key; cặp vĩ độ/kinh độ cùng NULL hoặc cùng hợp lệ.</t>
        </is>
      </c>
    </row>
    <row r="16" ht="70" customHeight="1">
      <c r="A16" s="2" t="inlineStr">
        <is>
          <t xml:space="preserve">create-house</t>
        </is>
      </c>
      <c r="B16" s="2" t="inlineStr">
        <is>
          <t xml:space="preserve">Thêm và sửa nhà trọ</t>
        </is>
      </c>
      <c r="C16" s="2" t="inlineStr">
        <is>
          <t xml:space="preserve">PROC</t>
        </is>
      </c>
      <c r="D16" s="2" t="inlineStr">
        <is>
          <t xml:space="preserve">sp_create_rental_house / sp_update_rental_house kiểm tra chủ sở hữu và row_version; form cũ phải tải lại khi phiên bản thay đổi.</t>
        </is>
      </c>
    </row>
    <row r="17" ht="70" customHeight="1">
      <c r="A17" s="0" t="inlineStr">
        <is>
          <t xml:space="preserve">house-proof</t>
        </is>
      </c>
      <c r="B17" s="0" t="inlineStr">
        <is>
          <t xml:space="preserve">Nộp và xét duyệt quyền cho thuê từng nhà</t>
        </is>
      </c>
      <c r="C17" s="0" t="inlineStr">
        <is>
          <t xml:space="preserve">UI</t>
        </is>
      </c>
      <c r="D17" s="0" t="inlineStr">
        <is>
          <t xml:space="preserve">Tối đa 8 tệp PDF/JPEG/PNG/WebP, 5 MB/tệp; đủ loại chứng minh theo tư cách. Ủy quyền và cho thuê lại bắt buộc ngày kết thúc.</t>
        </is>
      </c>
    </row>
    <row r="18" ht="70" customHeight="1">
      <c r="A18" s="2" t="inlineStr">
        <is>
          <t xml:space="preserve">house-proof</t>
        </is>
      </c>
      <c r="B18" s="2" t="inlineStr">
        <is>
          <t xml:space="preserve">Nộp và xét duyệt quyền cho thuê từng nhà</t>
        </is>
      </c>
      <c r="C18" s="2" t="inlineStr">
        <is>
          <t xml:space="preserve">DB</t>
        </is>
      </c>
      <c r="D18" s="2" t="inlineStr">
        <is>
          <t xml:space="preserve">Một hồ sơ chờ và một phê duyệt hiện hành cho mỗi nhà; tệp PRIVATE, thuộc người nộp. Hồ sơ và minh chứng đã nộp được giữ bất biến.</t>
        </is>
      </c>
    </row>
    <row r="19" ht="70" customHeight="1">
      <c r="A19" s="0" t="inlineStr">
        <is>
          <t xml:space="preserve">house-proof</t>
        </is>
      </c>
      <c r="B19" s="0" t="inlineStr">
        <is>
          <t xml:space="preserve">Nộp và xét duyệt quyền cho thuê từng nhà</t>
        </is>
      </c>
      <c r="C19" s="0" t="inlineStr">
        <is>
          <t xml:space="preserve">PROC</t>
        </is>
      </c>
      <c r="D19" s="0" t="inlineStr">
        <is>
          <t xml:space="preserve">sp_submit_house_verification / sp_review_house_verification khóa nhà, kiểm tra lại dữ liệu và ghi quyết định/audit/thông báo cùng giao dịch.</t>
        </is>
      </c>
    </row>
    <row r="20" ht="70" customHeight="1">
      <c r="A20" s="2" t="inlineStr">
        <is>
          <t xml:space="preserve">house-proof</t>
        </is>
      </c>
      <c r="B20" s="2" t="inlineStr">
        <is>
          <t xml:space="preserve">Nộp và xét duyệt quyền cho thuê từng nhà</t>
        </is>
      </c>
      <c r="C20" s="2" t="inlineStr">
        <is>
          <t xml:space="preserve">UI</t>
        </is>
      </c>
      <c r="D20" s="2" t="inlineStr">
        <is>
          <t xml:space="preserve">Có thể rút khi PENDING hoặc nộp lại sau từ chối. Ngày bắt đầu trong tương lai được nộp nhưng chưa được duyệt trước ngày đó.</t>
        </is>
      </c>
    </row>
    <row r="21" ht="70" customHeight="1">
      <c r="A21" s="0" t="inlineStr">
        <is>
          <t xml:space="preserve">house-rights-expiry</t>
        </is>
      </c>
      <c r="B21" s="0" t="inlineStr">
        <is>
          <t xml:space="preserve">Hết quyền, thu hồi hoặc đổi định danh nhà</t>
        </is>
      </c>
      <c r="C21" s="0" t="inlineStr">
        <is>
          <t xml:space="preserve">PROC</t>
        </is>
      </c>
      <c r="D21" s="0" t="inlineStr">
        <is>
          <t xml:space="preserve">Đổi chủ, địa chỉ, mã tỉnh/địa phương hoặc tọa độ tăng verification_version, rút hồ sơ đang chờ. Đổi tên/ghi chú không làm mất quyền.</t>
        </is>
      </c>
    </row>
    <row r="22" ht="70" customHeight="1">
      <c r="A22" s="2" t="inlineStr">
        <is>
          <t xml:space="preserve">house-rights-expiry</t>
        </is>
      </c>
      <c r="B22" s="2" t="inlineStr">
        <is>
          <t xml:space="preserve">Hết quyền, thu hồi hoặc đổi định danh nhà</t>
        </is>
      </c>
      <c r="C22" s="2" t="inlineStr">
        <is>
          <t xml:space="preserve">PROC</t>
        </is>
      </c>
      <c r="D22" s="2" t="inlineStr">
        <is>
          <t xml:space="preserve">v_effective_house_verifications tính quyền hiệu lực; v_public_house_posts lọc tin công khai. Hết hạn không phải chờ worker.</t>
        </is>
      </c>
    </row>
    <row r="23" ht="70" customHeight="1">
      <c r="A23" s="0" t="inlineStr">
        <is>
          <t xml:space="preserve">house-rights-expiry</t>
        </is>
      </c>
      <c r="B23" s="0" t="inlineStr">
        <is>
          <t xml:space="preserve">Hết quyền, thu hồi hoặc đổi định danh nhà</t>
        </is>
      </c>
      <c r="C23" s="0" t="inlineStr">
        <is>
          <t xml:space="preserve">PROC</t>
        </is>
      </c>
      <c r="D23" s="0" t="inlineStr">
        <is>
          <t xml:space="preserve">Trigger chặn công khai và hợp đồng mới/xác nhận/kích hoạt, tăng hạn hợp đồng; thao tác rời phòng và kết thúc hợp đồng vẫn được giữ.</t>
        </is>
      </c>
    </row>
    <row r="24" ht="70" customHeight="1">
      <c r="A24" s="2" t="inlineStr">
        <is>
          <t xml:space="preserve">house-rights-expiry</t>
        </is>
      </c>
      <c r="B24" s="2" t="inlineStr">
        <is>
          <t xml:space="preserve">Hết quyền, thu hồi hoặc đổi định danh nhà</t>
        </is>
      </c>
      <c r="C24" s="2" t="inlineStr">
        <is>
          <t xml:space="preserve">UI</t>
        </is>
      </c>
      <c r="D24" s="2" t="inlineStr">
        <is>
          <t xml:space="preserve">Nộp lại trong khi quyền cũ còn hiệu lực không tự làm mất quyền cũ.</t>
        </is>
      </c>
    </row>
    <row r="25" ht="70" customHeight="1">
      <c r="A25" s="0" t="inlineStr">
        <is>
          <t xml:space="preserve">rooms</t>
        </is>
      </c>
      <c r="B25" s="0" t="inlineStr">
        <is>
          <t xml:space="preserve">Thêm phòng, sức chứa và tình trạng phòng</t>
        </is>
      </c>
      <c r="C25" s="0" t="inlineStr">
        <is>
          <t xml:space="preserve">DB</t>
        </is>
      </c>
      <c r="D25" s="0" t="inlineStr">
        <is>
          <t xml:space="preserve">Mã phòng duy nhất trong cùng nhà; sức chứa nguyên dương, giá/cọc không âm, diện tích dương.</t>
        </is>
      </c>
    </row>
    <row r="26" ht="70" customHeight="1">
      <c r="A26" s="2" t="inlineStr">
        <is>
          <t xml:space="preserve">rooms</t>
        </is>
      </c>
      <c r="B26" s="2" t="inlineStr">
        <is>
          <t xml:space="preserve">Thêm phòng, sức chứa và tình trạng phòng</t>
        </is>
      </c>
      <c r="C26" s="2" t="inlineStr">
        <is>
          <t xml:space="preserve">PROC</t>
        </is>
      </c>
      <c r="D26" s="2" t="inlineStr">
        <is>
          <t xml:space="preserve">Số chỗ cần tính = người ACTIVE + thành viên PLANNED trên hợp đồng mở + chỗ giữ còn hạn chưa thành lượt ở. Không đếm trùng yêu cầu đã hoàn tất.</t>
        </is>
      </c>
    </row>
    <row r="27" ht="70" customHeight="1">
      <c r="A27" s="0" t="inlineStr">
        <is>
          <t xml:space="preserve">rooms</t>
        </is>
      </c>
      <c r="B27" s="0" t="inlineStr">
        <is>
          <t xml:space="preserve">Thêm phòng, sức chứa và tình trạng phòng</t>
        </is>
      </c>
      <c r="C27" s="0" t="inlineStr">
        <is>
          <t xml:space="preserve">PROC</t>
        </is>
      </c>
      <c r="D27" s="0" t="inlineStr">
        <is>
          <t xml:space="preserve">Không giảm sức chứa dưới tổng này; có người ACTIVE thì không được đánh dấu AVAILABLE, kể cả hợp đồng cũ bị đóng sai.</t>
        </is>
      </c>
    </row>
    <row r="28" ht="70" customHeight="1">
      <c r="A28" s="2" t="inlineStr">
        <is>
          <t xml:space="preserve">rooms</t>
        </is>
      </c>
      <c r="B28" s="2" t="inlineStr">
        <is>
          <t xml:space="preserve">Thêm phòng, sức chứa và tình trạng phòng</t>
        </is>
      </c>
      <c r="C28" s="2" t="inlineStr">
        <is>
          <t xml:space="preserve">UI</t>
        </is>
      </c>
      <c r="D28" s="2" t="inlineStr">
        <is>
          <t xml:space="preserve">Chỉ quản lý phòng của nhà thuộc mình; nhà chưa có xác minh vẫn được chuẩn bị phòng.</t>
        </is>
      </c>
    </row>
    <row r="29" ht="70" customHeight="1">
      <c r="A29" s="0" t="inlineStr">
        <is>
          <t xml:space="preserve">room-detail</t>
        </is>
      </c>
      <c r="B29" s="0" t="inlineStr">
        <is>
          <t xml:space="preserve">Chi tiết phòng: Bài đăng, Người ở, Dịch vụ</t>
        </is>
      </c>
      <c r="C29" s="0" t="inlineStr">
        <is>
          <t xml:space="preserve">UI</t>
        </is>
      </c>
      <c r="D29" s="0" t="inlineStr">
        <is>
          <t xml:space="preserve">Dữ liệu lấy đúng roomId; danh sách người ở loại PLANNED/LEFT/CANCELLED, vẫn giữ ACTIVE trên hợp đồng đóng sai kèm nhắc đối soát.</t>
        </is>
      </c>
    </row>
    <row r="30" ht="70" customHeight="1">
      <c r="A30" s="2" t="inlineStr">
        <is>
          <t xml:space="preserve">room-detail</t>
        </is>
      </c>
      <c r="B30" s="2" t="inlineStr">
        <is>
          <t xml:space="preserve">Chi tiết phòng: Bài đăng, Người ở, Dịch vụ</t>
        </is>
      </c>
      <c r="C30" s="2" t="inlineStr">
        <is>
          <t xml:space="preserve">UI</t>
        </is>
      </c>
      <c r="D30" s="2" t="inlineStr">
        <is>
          <t xml:space="preserve">Dịch vụ phải bật ở nhà và phòng; giá riêng 0 được giữ, NULL mới kế thừa giá nhà.</t>
        </is>
      </c>
    </row>
    <row r="31" ht="70" customHeight="1">
      <c r="A31" s="0" t="inlineStr">
        <is>
          <t xml:space="preserve">room-detail</t>
        </is>
      </c>
      <c r="B31" s="0" t="inlineStr">
        <is>
          <t xml:space="preserve">Chi tiết phòng: Bài đăng, Người ở, Dịch vụ</t>
        </is>
      </c>
      <c r="C31" s="0" t="inlineStr">
        <is>
          <t xml:space="preserve">API</t>
        </is>
      </c>
      <c r="D31" s="0" t="inlineStr">
        <is>
          <t xml:space="preserve">Kiểm tra quyền xem từng tài nguyên ở máy chủ; không trả dữ liệu riêng tư rồi chỉ ẩn bằng CSS.</t>
        </is>
      </c>
    </row>
    <row r="32" ht="70" customHeight="1">
      <c r="A32" s="2" t="inlineStr">
        <is>
          <t xml:space="preserve">submit-post</t>
        </is>
      </c>
      <c r="B32" s="2" t="inlineStr">
        <is>
          <t xml:space="preserve">Tạo, sửa và gửi duyệt tin đăng</t>
        </is>
      </c>
      <c r="C32" s="2" t="inlineStr">
        <is>
          <t xml:space="preserve">UI</t>
        </is>
      </c>
      <c r="D32" s="2" t="inlineStr">
        <is>
          <t xml:space="preserve">Tạo mới chọn phòng thuộc mình; sửa giữ roomId và kiểm tra originalVersion để không ghi đè thay đổi mới.</t>
        </is>
      </c>
    </row>
    <row r="33" ht="70" customHeight="1">
      <c r="A33" s="0" t="inlineStr">
        <is>
          <t xml:space="preserve">submit-post</t>
        </is>
      </c>
      <c r="B33" s="0" t="inlineStr">
        <is>
          <t xml:space="preserve">Tạo, sửa và gửi duyệt tin đăng</t>
        </is>
      </c>
      <c r="C33" s="0" t="inlineStr">
        <is>
          <t xml:space="preserve">DB</t>
        </is>
      </c>
      <c r="D33" s="0" t="inlineStr">
        <is>
          <t xml:space="preserve">Một phòng tối đa 3 PENDING_REVIEW qua slot 1–3, UNIQUE (room_id,pending_review_slot) và CHECK. Tổng bài và số bài APPROVED không giới hạn.</t>
        </is>
      </c>
    </row>
    <row r="34" ht="70" customHeight="1">
      <c r="A34" s="2" t="inlineStr">
        <is>
          <t xml:space="preserve">submit-post</t>
        </is>
      </c>
      <c r="B34" s="2" t="inlineStr">
        <is>
          <t xml:space="preserve">Tạo, sửa và gửi duyệt tin đăng</t>
        </is>
      </c>
      <c r="C34" s="2" t="inlineStr">
        <is>
          <t xml:space="preserve">PROC</t>
        </is>
      </c>
      <c r="D34" s="2" t="inlineStr">
        <is>
          <t xml:space="preserve">sp_submit_post khóa hàng và cấp lượt; đủ 3 vẫn sửa được bài đang chờ, nhưng không gửi thêm/gửi lại bài khác.</t>
        </is>
      </c>
    </row>
    <row r="35" ht="70" customHeight="1">
      <c r="A35" s="0" t="inlineStr">
        <is>
          <t xml:space="preserve">submit-post</t>
        </is>
      </c>
      <c r="B35" s="0" t="inlineStr">
        <is>
          <t xml:space="preserve">Tạo, sửa và gửi duyệt tin đăng</t>
        </is>
      </c>
      <c r="C35" s="0" t="inlineStr">
        <is>
          <t xml:space="preserve">UI</t>
        </is>
      </c>
      <c r="D35" s="0" t="inlineStr">
        <is>
          <t xml:space="preserve">Ảnh hiện là một URL HTTP/HTTPS hoặc ảnh mẫu; tiêu đề tối đa 200 ký tự.</t>
        </is>
      </c>
    </row>
    <row r="36" ht="70" customHeight="1">
      <c r="A36" s="2" t="inlineStr">
        <is>
          <t xml:space="preserve">moderate-post</t>
        </is>
      </c>
      <c r="B36" s="2" t="inlineStr">
        <is>
          <t xml:space="preserve">Duyệt, từ chối, ẩn và hiện lại tin</t>
        </is>
      </c>
      <c r="C36" s="2" t="inlineStr">
        <is>
          <t xml:space="preserve">UI</t>
        </is>
      </c>
      <c r="D36" s="2" t="inlineStr">
        <is>
          <t xml:space="preserve">Chỉ quản trị duyệt/từ chối/khôi phục; chủ trọ chỉ ẩn bài thuộc mình. Từ chối/ẩn cần lý do.</t>
        </is>
      </c>
    </row>
    <row r="37" ht="70" customHeight="1">
      <c r="A37" s="0" t="inlineStr">
        <is>
          <t xml:space="preserve">moderate-post</t>
        </is>
      </c>
      <c r="B37" s="0" t="inlineStr">
        <is>
          <t xml:space="preserve">Duyệt, từ chối, ẩn và hiện lại tin</t>
        </is>
      </c>
      <c r="C37" s="0" t="inlineStr">
        <is>
          <t xml:space="preserve">PROC</t>
        </is>
      </c>
      <c r="D37" s="0" t="inlineStr">
        <is>
          <t xml:space="preserve">Trigger kiểm tra quyền nhà trước khi chuyển sang APPROVED; phê duyệt nội dung không thay thế xác minh nhà.</t>
        </is>
      </c>
    </row>
    <row r="38" ht="70" customHeight="1">
      <c r="A38" s="2" t="inlineStr">
        <is>
          <t xml:space="preserve">moderate-post</t>
        </is>
      </c>
      <c r="B38" s="2" t="inlineStr">
        <is>
          <t xml:space="preserve">Duyệt, từ chối, ẩn và hiện lại tin</t>
        </is>
      </c>
      <c r="C38" s="2" t="inlineStr">
        <is>
          <t xml:space="preserve">UI</t>
        </is>
      </c>
      <c r="D38" s="2" t="inlineStr">
        <is>
          <t xml:space="preserve">Ẩn một bài không ẩn bài khác cùng phòng; bản chia sẻ bị ẩn không được thay bằng bài khác.</t>
        </is>
      </c>
    </row>
    <row r="39" ht="70" customHeight="1">
      <c r="A39" s="0" t="inlineStr">
        <is>
          <t xml:space="preserve">moderate-post</t>
        </is>
      </c>
      <c r="B39" s="0" t="inlineStr">
        <is>
          <t xml:space="preserve">Duyệt, từ chối, ẩn và hiện lại tin</t>
        </is>
      </c>
      <c r="C39" s="0" t="inlineStr">
        <is>
          <t xml:space="preserve">DB</t>
        </is>
      </c>
      <c r="D39" s="0" t="inlineStr">
        <is>
          <t xml:space="preserve">moderation_actions lưu đối tượng, người xử lý, lý do và bản chụp trước/sau khi có.</t>
        </is>
      </c>
    </row>
    <row r="40" ht="70" customHeight="1">
      <c r="A40" s="2" t="inlineStr">
        <is>
          <t xml:space="preserve">discover</t>
        </is>
      </c>
      <c r="B40" s="2" t="inlineStr">
        <is>
          <t xml:space="preserve">Tìm phòng, xem tin và lưu trái tim</t>
        </is>
      </c>
      <c r="C40" s="2" t="inlineStr">
        <is>
          <t xml:space="preserve">UI</t>
        </is>
      </c>
      <c r="D40" s="2" t="inlineStr">
        <is>
          <t xml:space="preserve">Lưu theo postId, không theo roomId; nhiều bài của một phòng có thể lưu độc lập.</t>
        </is>
      </c>
    </row>
    <row r="41" ht="70" customHeight="1">
      <c r="A41" s="0" t="inlineStr">
        <is>
          <t xml:space="preserve">discover</t>
        </is>
      </c>
      <c r="B41" s="0" t="inlineStr">
        <is>
          <t xml:space="preserve">Tìm phòng, xem tin và lưu trái tim</t>
        </is>
      </c>
      <c r="C41" s="0" t="inlineStr">
        <is>
          <t xml:space="preserve">DB</t>
        </is>
      </c>
      <c r="D41" s="0" t="inlineStr">
        <is>
          <t xml:space="preserve">favorite_posts chống trùng cặp người thuê + bài đăng; FK giữ tham chiếu đúng bài.</t>
        </is>
      </c>
    </row>
    <row r="42" ht="70" customHeight="1">
      <c r="A42" s="2" t="inlineStr">
        <is>
          <t xml:space="preserve">discover</t>
        </is>
      </c>
      <c r="B42" s="2" t="inlineStr">
        <is>
          <t xml:space="preserve">Tìm phòng, xem tin và lưu trái tim</t>
        </is>
      </c>
      <c r="C42" s="2" t="inlineStr">
        <is>
          <t xml:space="preserve">API</t>
        </is>
      </c>
      <c r="D42" s="2" t="inlineStr">
        <is>
          <t xml:space="preserve">Nguồn công khai dùng v_public_house_posts; không chỉ lọc APPROVED và không lộ tin ẩn qua ID cũ.</t>
        </is>
      </c>
    </row>
    <row r="43" ht="70" customHeight="1">
      <c r="A43" s="0" t="inlineStr">
        <is>
          <t xml:space="preserve">roommate-profile</t>
        </is>
      </c>
      <c r="B43" s="0" t="inlineStr">
        <is>
          <t xml:space="preserve">Tạo hồ sơ ở ghép và xác định tình trạng chỗ ở</t>
        </is>
      </c>
      <c r="C43" s="0" t="inlineStr">
        <is>
          <t xml:space="preserve">DB</t>
        </is>
      </c>
      <c r="D43" s="0" t="inlineStr">
        <is>
          <t xml:space="preserve">Một roommate_profiles cho mỗi tenant; ngân sách không âm và max ≥ min nếu có cả hai.</t>
        </is>
      </c>
    </row>
    <row r="44" ht="70" customHeight="1">
      <c r="A44" s="2" t="inlineStr">
        <is>
          <t xml:space="preserve">roommate-profile</t>
        </is>
      </c>
      <c r="B44" s="2" t="inlineStr">
        <is>
          <t xml:space="preserve">Tạo hồ sơ ở ghép và xác định tình trạng chỗ ở</t>
        </is>
      </c>
      <c r="C44" s="2" t="inlineStr">
        <is>
          <t xml:space="preserve">DB</t>
        </is>
      </c>
      <c r="D44" s="2" t="inlineStr">
        <is>
          <t xml:space="preserve">IN_SYSTEM cần current_room_tenant_id và external_context NULL; tình trạng khác không gắn lượt ở hệ thống.</t>
        </is>
      </c>
    </row>
    <row r="45" ht="70" customHeight="1">
      <c r="A45" s="0" t="inlineStr">
        <is>
          <t xml:space="preserve">roommate-profile</t>
        </is>
      </c>
      <c r="B45" s="0" t="inlineStr">
        <is>
          <t xml:space="preserve">Tạo hồ sơ ở ghép và xác định tình trạng chỗ ở</t>
        </is>
      </c>
      <c r="C45" s="0" t="inlineStr">
        <is>
          <t xml:space="preserve">UI</t>
        </is>
      </c>
      <c r="D45" s="0" t="inlineStr">
        <is>
          <t xml:space="preserve">Khu vực/thói quen không trống, ngày hợp lệ, mô tả EXTERNAL tối đa 1.000 ký tự; rời EXTERNAL thì xóa mô tả cũ.</t>
        </is>
      </c>
    </row>
    <row r="46" ht="70" customHeight="1">
      <c r="A46" s="2" t="inlineStr">
        <is>
          <t xml:space="preserve">roommate-profile</t>
        </is>
      </c>
      <c r="B46" s="2" t="inlineStr">
        <is>
          <t xml:space="preserve">Tạo hồ sơ ở ghép và xác định tình trạng chỗ ở</t>
        </is>
      </c>
      <c r="C46" s="2" t="inlineStr">
        <is>
          <t xml:space="preserve">UI</t>
        </is>
      </c>
      <c r="D46" s="2" t="inlineStr">
        <is>
          <t xml:space="preserve">Không có lượt ở không tự kết luận chưa có chỗ. Hồ sơ IN_SYSTEM cũ sau khi rời phòng phải cập nhật lại.</t>
        </is>
      </c>
    </row>
    <row r="47" ht="70" customHeight="1">
      <c r="A47" s="0" t="inlineStr">
        <is>
          <t xml:space="preserve">matching-criteria</t>
        </is>
      </c>
      <c r="B47" s="0" t="inlineStr">
        <is>
          <t xml:space="preserve">Tiêu chí ghép linh động và danh sách người phù hợp</t>
        </is>
      </c>
      <c r="C47" s="0" t="inlineStr">
        <is>
          <t xml:space="preserve">DB</t>
        </is>
      </c>
      <c r="D47" s="0" t="inlineStr">
        <is>
          <t xml:space="preserve">lifestyle_criteria.code duy nhất; value_type thuộc BOOLEAN / NUMBER / CATEGORY / TIME / RANGE.</t>
        </is>
      </c>
    </row>
    <row r="48" ht="70" customHeight="1">
      <c r="A48" s="2" t="inlineStr">
        <is>
          <t xml:space="preserve">matching-criteria</t>
        </is>
      </c>
      <c r="B48" s="2" t="inlineStr">
        <is>
          <t xml:space="preserve">Tiêu chí ghép linh động và danh sách người phù hợp</t>
        </is>
      </c>
      <c r="C48" s="2" t="inlineStr">
        <is>
          <t xml:space="preserve">DB</t>
        </is>
      </c>
      <c r="D48" s="2" t="inlineStr">
        <is>
          <t xml:space="preserve">Mỗi hồ sơ + tiêu chí có một profile_lifestyles; ít nhất có self_value hoặc preferred_value. Tiêu chí bắt buộc phải có preferred_value; importance từ 0 đến 5.</t>
        </is>
      </c>
    </row>
    <row r="49" ht="70" customHeight="1">
      <c r="A49" s="0" t="inlineStr">
        <is>
          <t xml:space="preserve">matching-criteria</t>
        </is>
      </c>
      <c r="B49" s="0" t="inlineStr">
        <is>
          <t xml:space="preserve">Tiêu chí ghép linh động và danh sách người phù hợp</t>
        </is>
      </c>
      <c r="C49" s="0" t="inlineStr">
        <is>
          <t xml:space="preserve">API</t>
        </is>
      </c>
      <c r="D49" s="0" t="inlineStr">
        <is>
          <t xml:space="preserve">Cần kiểm tra cấu trúc/kiểu JSON và thuật toán chấm điểm; CHECK hiện không tự hiểu mọi quy tắc ngữ nghĩa của tiêu chí.</t>
        </is>
      </c>
    </row>
    <row r="50" ht="70" customHeight="1">
      <c r="A50" s="2" t="inlineStr">
        <is>
          <t xml:space="preserve">roommate-invite</t>
        </is>
      </c>
      <c r="B50" s="2" t="inlineStr">
        <is>
          <t xml:space="preserve">Ba tab ở ghép và phản hồi lời mời kết nối</t>
        </is>
      </c>
      <c r="C50" s="2" t="inlineStr">
        <is>
          <t xml:space="preserve">DB</t>
        </is>
      </c>
      <c r="D50" s="2" t="inlineStr">
        <is>
          <t xml:space="preserve">Không tự mời mình; UNIQUE cặp đã chuẩn hóa chặn hai chiều khi còn PENDING hoặc ACCEPTED chưa kết thúc.</t>
        </is>
      </c>
    </row>
    <row r="51" ht="70" customHeight="1">
      <c r="A51" s="0" t="inlineStr">
        <is>
          <t xml:space="preserve">roommate-invite</t>
        </is>
      </c>
      <c r="B51" s="0" t="inlineStr">
        <is>
          <t xml:space="preserve">Ba tab ở ghép và phản hồi lời mời kết nối</t>
        </is>
      </c>
      <c r="C51" s="0" t="inlineStr">
        <is>
          <t xml:space="preserve">UI</t>
        </is>
      </c>
      <c r="D51" s="0" t="inlineStr">
        <is>
          <t xml:space="preserve">Người nhận mới được phản hồi; gửi ngược chiều không tự chấp nhận. Bộ đếm tab tính cả mục đã phản hồi.</t>
        </is>
      </c>
    </row>
    <row r="52" ht="70" customHeight="1">
      <c r="A52" s="2" t="inlineStr">
        <is>
          <t xml:space="preserve">roommate-invite</t>
        </is>
      </c>
      <c r="B52" s="2" t="inlineStr">
        <is>
          <t xml:space="preserve">Ba tab ở ghép và phản hồi lời mời kết nối</t>
        </is>
      </c>
      <c r="C52" s="2" t="inlineStr">
        <is>
          <t xml:space="preserve">DB</t>
        </is>
      </c>
      <c r="D52" s="2" t="inlineStr">
        <is>
          <t xml:space="preserve">SEARCH_TOGETHER / JOIN_EXTERNAL_HOME không gắn target_contract_id; JOIN_SYSTEM_ROOM phải có hợp đồng ngữ cảnh.</t>
        </is>
      </c>
    </row>
    <row r="53" ht="70" customHeight="1">
      <c r="A53" s="0" t="inlineStr">
        <is>
          <t xml:space="preserve">roommate-invite</t>
        </is>
      </c>
      <c r="B53" s="0" t="inlineStr">
        <is>
          <t xml:space="preserve">Ba tab ở ghép và phản hồi lời mời kết nối</t>
        </is>
      </c>
      <c r="C53" s="0" t="inlineStr">
        <is>
          <t xml:space="preserve">UI</t>
        </is>
      </c>
      <c r="D53" s="0" t="inlineStr">
        <is>
          <t xml:space="preserve">ACCEPTED không tạo occupant_join_requests, không thay đồng thuận thuê và không phụ thuộc phòng còn chỗ.</t>
        </is>
      </c>
    </row>
    <row r="54" ht="70" customHeight="1">
      <c r="A54" s="2" t="inlineStr">
        <is>
          <t xml:space="preserve">room-chat</t>
        </is>
      </c>
      <c r="B54" s="2" t="inlineStr">
        <is>
          <t xml:space="preserve">Nhắn chủ trọ theo ngữ cảnh tin/phòng</t>
        </is>
      </c>
      <c r="C54" s="2" t="inlineStr">
        <is>
          <t xml:space="preserve">UI</t>
        </is>
      </c>
      <c r="D54" s="2" t="inlineStr">
        <is>
          <t xml:space="preserve">Chỉ thành viên thấy hội thoại; tin văn bản không trống và tối đa 2.000 ký tự; Enter gửi, Shift+Enter xuống dòng.</t>
        </is>
      </c>
    </row>
    <row r="55" ht="70" customHeight="1">
      <c r="A55" s="0" t="inlineStr">
        <is>
          <t xml:space="preserve">room-chat</t>
        </is>
      </c>
      <c r="B55" s="0" t="inlineStr">
        <is>
          <t xml:space="preserve">Nhắn chủ trọ theo ngữ cảnh tin/phòng</t>
        </is>
      </c>
      <c r="C55" s="0" t="inlineStr">
        <is>
          <t xml:space="preserve">DB</t>
        </is>
      </c>
      <c r="D55" s="0" t="inlineStr">
        <is>
          <t xml:space="preserve">UNIQUE (sender_id,client_message_key) chống gửi trùng. Hội thoại ROOM_INQUIRY cần room_id và post_id đúng ngữ cảnh.</t>
        </is>
      </c>
    </row>
    <row r="56" ht="70" customHeight="1">
      <c r="A56" s="2" t="inlineStr">
        <is>
          <t xml:space="preserve">room-chat</t>
        </is>
      </c>
      <c r="B56" s="2" t="inlineStr">
        <is>
          <t xml:space="preserve">Nhắn chủ trọ theo ngữ cảnh tin/phòng</t>
        </is>
      </c>
      <c r="C56" s="2" t="inlineStr">
        <is>
          <t xml:space="preserve">API</t>
        </is>
      </c>
      <c r="D56" s="2" t="inlineStr">
        <is>
          <t xml:space="preserve">Demo nhóm nhiều ngữ cảnh phòng theo cặp người; SQL gắn mỗi ROOM_INQUIRY với một phòng/bài, cần nhóm ở lớp API hoặc bổ sung mô hình trước khi lưu đúng.</t>
        </is>
      </c>
    </row>
    <row r="57" ht="70" customHeight="1">
      <c r="A57" s="0" t="inlineStr">
        <is>
          <t xml:space="preserve">roommate-chat</t>
        </is>
      </c>
      <c r="B57" s="0" t="inlineStr">
        <is>
          <t xml:space="preserve">Chat riêng giữa hai bạn ghép</t>
        </is>
      </c>
      <c r="C57" s="0" t="inlineStr">
        <is>
          <t xml:space="preserve">DB</t>
        </is>
      </c>
      <c r="D57" s="0" t="inlineStr">
        <is>
          <t xml:space="preserve">conversations.type=ROOMMATE phải có roommate_request_id, room_id và post_id NULL; một conversation cho một lời mời.</t>
        </is>
      </c>
    </row>
    <row r="58" ht="70" customHeight="1">
      <c r="A58" s="2" t="inlineStr">
        <is>
          <t xml:space="preserve">roommate-chat</t>
        </is>
      </c>
      <c r="B58" s="2" t="inlineStr">
        <is>
          <t xml:space="preserve">Chat riêng giữa hai bạn ghép</t>
        </is>
      </c>
      <c r="C58" s="2" t="inlineStr">
        <is>
          <t xml:space="preserve">UI</t>
        </is>
      </c>
      <c r="D58" s="2" t="inlineStr">
        <is>
          <t xml:space="preserve">Kiểm tra thành viên và kết nối khi mở/gửi; không hiện nút lịch xem của chủ trọ hoặc ngữ cảnh chat hỏi phòng trước đó.</t>
        </is>
      </c>
    </row>
    <row r="59" ht="70" customHeight="1">
      <c r="A59" s="0" t="inlineStr">
        <is>
          <t xml:space="preserve">roommate-chat</t>
        </is>
      </c>
      <c r="B59" s="0" t="inlineStr">
        <is>
          <t xml:space="preserve">Chat riêng giữa hai bạn ghép</t>
        </is>
      </c>
      <c r="C59" s="0" t="inlineStr">
        <is>
          <t xml:space="preserve">UI</t>
        </is>
      </c>
      <c r="D59" s="0" t="inlineStr">
        <is>
          <t xml:space="preserve">Chấp nhận lại không tạo chat trùng. Nhãn Bạn ghép chỉ là quan hệ trò chuyện, không khẳng định đã ở chung.</t>
        </is>
      </c>
    </row>
    <row r="60" ht="70" customHeight="1">
      <c r="A60" s="2" t="inlineStr">
        <is>
          <t xml:space="preserve">share-post</t>
        </is>
      </c>
      <c r="B60" s="2" t="inlineStr">
        <is>
          <t xml:space="preserve">Chia sẻ đúng tin phòng cho bạn ghép</t>
        </is>
      </c>
      <c r="C60" s="2" t="inlineStr">
        <is>
          <t xml:space="preserve">DB</t>
        </is>
      </c>
      <c r="D60" s="2" t="inlineStr">
        <is>
          <t xml:space="preserve">message_type=POST_SHARE bắt buộc shared_post_id; loại khác không được mang liên kết này.</t>
        </is>
      </c>
    </row>
    <row r="61" ht="70" customHeight="1">
      <c r="A61" s="0" t="inlineStr">
        <is>
          <t xml:space="preserve">share-post</t>
        </is>
      </c>
      <c r="B61" s="0" t="inlineStr">
        <is>
          <t xml:space="preserve">Chia sẻ đúng tin phòng cho bạn ghép</t>
        </is>
      </c>
      <c r="C61" s="0" t="inlineStr">
        <is>
          <t xml:space="preserve">UI</t>
        </is>
      </c>
      <c r="D61" s="0" t="inlineStr">
        <is>
          <t xml:space="preserve">Không tự đổi sang bài khác của cùng phòng; không lộ ảnh/tiêu đề bài bị ẩn.</t>
        </is>
      </c>
    </row>
    <row r="62" ht="70" customHeight="1">
      <c r="A62" s="2" t="inlineStr">
        <is>
          <t xml:space="preserve">share-post</t>
        </is>
      </c>
      <c r="B62" s="2" t="inlineStr">
        <is>
          <t xml:space="preserve">Chia sẻ đúng tin phòng cho bạn ghép</t>
        </is>
      </c>
      <c r="C62" s="2" t="inlineStr">
        <is>
          <t xml:space="preserve">UI</t>
        </is>
      </c>
      <c r="D62" s="2" t="inlineStr">
        <is>
          <t xml:space="preserve">Giữ nháp tin nhắn thường, không thêm chủ trọ vào chat, không tự đặt lịch hoặc giữ chỗ thuê.</t>
        </is>
      </c>
    </row>
    <row r="63" ht="70" customHeight="1">
      <c r="A63" s="0" t="inlineStr">
        <is>
          <t xml:space="preserve">notifications</t>
        </is>
      </c>
      <c r="B63" s="0" t="inlineStr">
        <is>
          <t xml:space="preserve">Chuông, bộ đếm và popup thông báo mới</t>
        </is>
      </c>
      <c r="C63" s="0" t="inlineStr">
        <is>
          <t xml:space="preserve">UI</t>
        </is>
      </c>
      <c r="D63" s="0" t="inlineStr">
        <is>
          <t xml:space="preserve">Chỉ thao tác thông báo của mình; đếm tối đa nhãn 99+, tải lại không phát lại popup cũ. Form/bản nháp đang nhập không bị đóng khi nhận.</t>
        </is>
      </c>
    </row>
    <row r="64" ht="70" customHeight="1">
      <c r="A64" s="2" t="inlineStr">
        <is>
          <t xml:space="preserve">notifications</t>
        </is>
      </c>
      <c r="B64" s="2" t="inlineStr">
        <is>
          <t xml:space="preserve">Chuông, bộ đếm và popup thông báo mới</t>
        </is>
      </c>
      <c r="C64" s="2" t="inlineStr">
        <is>
          <t xml:space="preserve">DB</t>
        </is>
      </c>
      <c r="D64" s="2" t="inlineStr">
        <is>
          <t xml:space="preserve">UNIQUE (user_id,event_key) chống thông báo trùng; resource_type và resource_id cùng có hoặc cùng NULL.</t>
        </is>
      </c>
    </row>
    <row r="65" ht="70" customHeight="1">
      <c r="A65" s="0" t="inlineStr">
        <is>
          <t xml:space="preserve">notifications</t>
        </is>
      </c>
      <c r="B65" s="0" t="inlineStr">
        <is>
          <t xml:space="preserve">Chuông, bộ đếm và popup thông báo mới</t>
        </is>
      </c>
      <c r="C65" s="0" t="inlineStr">
        <is>
          <t xml:space="preserve">API</t>
        </is>
      </c>
      <c r="D65" s="0" t="inlineStr">
        <is>
          <t xml:space="preserve">Cần WebSocket/SSE đúng người nhận cho nhiều thiết bị; kiểm tra thành viên trước khi mở hội thoại từ thông báo.</t>
        </is>
      </c>
    </row>
    <row r="66" ht="70" customHeight="1">
      <c r="A66" s="2" t="inlineStr">
        <is>
          <t xml:space="preserve">propose-viewing</t>
        </is>
      </c>
      <c r="B66" s="2" t="inlineStr">
        <is>
          <t xml:space="preserve">Người thuê đề nghị lịch xem, chủ trọ xét duyệt</t>
        </is>
      </c>
      <c r="C66" s="2" t="inlineStr">
        <is>
          <t xml:space="preserve">PROC</t>
        </is>
      </c>
      <c r="D66" s="2" t="inlineStr">
        <is>
          <t xml:space="preserve">sp_request_viewing / sp_review_viewing_proposal / sp_withdraw_viewing_proposal kiểm tra người tham gia, phòng, bài, thời gian và tài khoản.</t>
        </is>
      </c>
    </row>
    <row r="67" ht="70" customHeight="1">
      <c r="A67" s="0" t="inlineStr">
        <is>
          <t xml:space="preserve">propose-viewing</t>
        </is>
      </c>
      <c r="B67" s="0" t="inlineStr">
        <is>
          <t xml:space="preserve">Người thuê đề nghị lịch xem, chủ trọ xét duyệt</t>
        </is>
      </c>
      <c r="C67" s="0" t="inlineStr">
        <is>
          <t xml:space="preserve">DB</t>
        </is>
      </c>
      <c r="D67" s="0" t="inlineStr">
        <is>
          <t xml:space="preserve">Khóa gửi và yêu cầu chờ của người/phòng có ràng buộc duy nhất; duyệt lại trả lịch đã tạo, không tạo thêm.</t>
        </is>
      </c>
    </row>
    <row r="68" ht="70" customHeight="1">
      <c r="A68" s="2" t="inlineStr">
        <is>
          <t xml:space="preserve">propose-viewing</t>
        </is>
      </c>
      <c r="B68" s="2" t="inlineStr">
        <is>
          <t xml:space="preserve">Người thuê đề nghị lịch xem, chủ trọ xét duyệt</t>
        </is>
      </c>
      <c r="C68" s="2" t="inlineStr">
        <is>
          <t xml:space="preserve">PROC</t>
        </is>
      </c>
      <c r="D68" s="2" t="inlineStr">
        <is>
          <t xml:space="preserve">Đã đến giờ thì hết hạn ngay khi kiểm tra, không chờ worker. Khi duyệt phải kiểm tra lại phòng trống, hợp đồng mở và khoảng giờ.</t>
        </is>
      </c>
    </row>
    <row r="69" ht="70" customHeight="1">
      <c r="A69" s="0" t="inlineStr">
        <is>
          <t xml:space="preserve">propose-viewing</t>
        </is>
      </c>
      <c r="B69" s="0" t="inlineStr">
        <is>
          <t xml:space="preserve">Người thuê đề nghị lịch xem, chủ trọ xét duyệt</t>
        </is>
      </c>
      <c r="C69" s="0" t="inlineStr">
        <is>
          <t xml:space="preserve">UI</t>
        </is>
      </c>
      <c r="D69" s="0" t="inlineStr">
        <is>
          <t xml:space="preserve">Đề nghị chờ không giữ giờ; hai đề nghị trùng giờ có thể tồn tại nhưng chỉ một lịch được duyệt nếu xung đột.</t>
        </is>
      </c>
    </row>
    <row r="70" ht="70" customHeight="1">
      <c r="A70" s="2" t="inlineStr">
        <is>
          <t xml:space="preserve">schedule-viewing</t>
        </is>
      </c>
      <c r="B70" s="2" t="inlineStr">
        <is>
          <t xml:space="preserve">Chủ trọ tự tạo lịch sau khi đã trao đổi</t>
        </is>
      </c>
      <c r="C70" s="2" t="inlineStr">
        <is>
          <t xml:space="preserve">UI</t>
        </is>
      </c>
      <c r="D70" s="2" t="inlineStr">
        <is>
          <t xml:space="preserve">Giờ được hiểu theo Việt Nam UTC+7, không theo múi giờ thiết bị; gợi ý mốc nửa giờ có đệm tối thiểu 15 phút.</t>
        </is>
      </c>
    </row>
    <row r="71" ht="70" customHeight="1">
      <c r="A71" s="0" t="inlineStr">
        <is>
          <t xml:space="preserve">schedule-viewing</t>
        </is>
      </c>
      <c r="B71" s="0" t="inlineStr">
        <is>
          <t xml:space="preserve">Chủ trọ tự tạo lịch sau khi đã trao đổi</t>
        </is>
      </c>
      <c r="C71" s="0" t="inlineStr">
        <is>
          <t xml:space="preserve">PROC</t>
        </is>
      </c>
      <c r="D71" s="0" t="inlineStr">
        <is>
          <t xml:space="preserve">sp_schedule_viewing kiểm tra lại quyền/ngữ cảnh và khóa phòng; cùng phòng không được có hai SCHEDULED giao nhau. Hai lịch liền kề được phép.</t>
        </is>
      </c>
    </row>
    <row r="72" ht="70" customHeight="1">
      <c r="A72" s="2" t="inlineStr">
        <is>
          <t xml:space="preserve">schedule-viewing</t>
        </is>
      </c>
      <c r="B72" s="2" t="inlineStr">
        <is>
          <t xml:space="preserve">Chủ trọ tự tạo lịch sau khi đã trao đổi</t>
        </is>
      </c>
      <c r="C72" s="2" t="inlineStr">
        <is>
          <t xml:space="preserve">UI</t>
        </is>
      </c>
      <c r="D72" s="2" t="inlineStr">
        <is>
          <t xml:space="preserve">Phòng phải AVAILABLE, chưa có hợp đồng mở hoặc chỗ đang chiếm; chat ROOMMATE không dùng để hẹn chủ trọ.</t>
        </is>
      </c>
    </row>
    <row r="73" ht="70" customHeight="1">
      <c r="A73" s="0" t="inlineStr">
        <is>
          <t xml:space="preserve">viewing-outcome</t>
        </is>
      </c>
      <c r="B73" s="0" t="inlineStr">
        <is>
          <t xml:space="preserve">Xác nhận đã xem, không đến, hủy và ý định thuê</t>
        </is>
      </c>
      <c r="C73" s="0" t="inlineStr">
        <is>
          <t xml:space="preserve">PROC</t>
        </is>
      </c>
      <c r="D73" s="0" t="inlineStr">
        <is>
          <t xml:space="preserve">sp_set_viewing_outcome xác nhận đúng bên liên quan, giờ thực và trạng thái trước khi chuyển.</t>
        </is>
      </c>
    </row>
    <row r="74" ht="70" customHeight="1">
      <c r="A74" s="2" t="inlineStr">
        <is>
          <t xml:space="preserve">viewing-outcome</t>
        </is>
      </c>
      <c r="B74" s="2" t="inlineStr">
        <is>
          <t xml:space="preserve">Xác nhận đã xem, không đến, hủy và ý định thuê</t>
        </is>
      </c>
      <c r="C74" s="2" t="inlineStr">
        <is>
          <t xml:space="preserve">UI</t>
        </is>
      </c>
      <c r="D74" s="2" t="inlineStr">
        <is>
          <t xml:space="preserve">Đồng ý thuê không hủy lịch người khác và không giữ phòng. Nhiều người có thể AGREED, chủ trọ chọn người để gửi hợp đồng.</t>
        </is>
      </c>
    </row>
    <row r="75" ht="70" customHeight="1">
      <c r="A75" s="0" t="inlineStr">
        <is>
          <t xml:space="preserve">viewing-outcome</t>
        </is>
      </c>
      <c r="B75" s="0" t="inlineStr">
        <is>
          <t xml:space="preserve">Xác nhận đã xem, không đến, hủy và ý định thuê</t>
        </is>
      </c>
      <c r="C75" s="0" t="inlineStr">
        <is>
          <t xml:space="preserve">UI</t>
        </is>
      </c>
      <c r="D75" s="0" t="inlineStr">
        <is>
          <t xml:space="preserve">Thẻ chat đọc cùng bản ghi lịch, không tạo bản sao hay lịch mới khi tải lại.</t>
        </is>
      </c>
    </row>
    <row r="76" ht="70" customHeight="1">
      <c r="A76" s="2" t="inlineStr">
        <is>
          <t xml:space="preserve">create-contract</t>
        </is>
      </c>
      <c r="B76" s="2" t="inlineStr">
        <is>
          <t xml:space="preserve">Lập hợp đồng thuê mới từ lịch đã xem</t>
        </is>
      </c>
      <c r="C76" s="2" t="inlineStr">
        <is>
          <t xml:space="preserve">DB</t>
        </is>
      </c>
      <c r="D76" s="2" t="inlineStr">
        <is>
          <t xml:space="preserve">Mỗi phòng và mỗi lịch chỉ có một hợp đồng mở ở DRAFT/PENDING_CONFIRMATION/CONFIRMED/ACTIVE. Số hợp đồng duy nhất.</t>
        </is>
      </c>
    </row>
    <row r="77" ht="70" customHeight="1">
      <c r="A77" s="0" t="inlineStr">
        <is>
          <t xml:space="preserve">create-contract</t>
        </is>
      </c>
      <c r="B77" s="0" t="inlineStr">
        <is>
          <t xml:space="preserve">Lập hợp đồng thuê mới từ lịch đã xem</t>
        </is>
      </c>
      <c r="C77" s="0" t="inlineStr">
        <is>
          <t xml:space="preserve">PROC</t>
        </is>
      </c>
      <c r="D77" s="0" t="inlineStr">
        <is>
          <t xml:space="preserve">sp_create_rental_contract kiểm tra lịch COMPLETED + AGREED, thời hạn end ≥ start và tổng thành viên ≤ sức chứa; thất bại rollback toàn bộ.</t>
        </is>
      </c>
    </row>
    <row r="78" ht="70" customHeight="1">
      <c r="A78" s="2" t="inlineStr">
        <is>
          <t xml:space="preserve">create-contract</t>
        </is>
      </c>
      <c r="B78" s="2" t="inlineStr">
        <is>
          <t xml:space="preserve">Lập hợp đồng thuê mới từ lịch đã xem</t>
        </is>
      </c>
      <c r="C78" s="2" t="inlineStr">
        <is>
          <t xml:space="preserve">PROC</t>
        </is>
      </c>
      <c r="D78" s="2" t="inlineStr">
        <is>
          <t xml:space="preserve">Nhà phải có quyền cho thuê hiệu lực. Không được dùng PAPER_IMPORT để né quy trình thuê mới.</t>
        </is>
      </c>
    </row>
    <row r="79" ht="70" customHeight="1">
      <c r="A79" s="0" t="inlineStr">
        <is>
          <t xml:space="preserve">create-contract</t>
        </is>
      </c>
      <c r="B79" s="0" t="inlineStr">
        <is>
          <t xml:space="preserve">Lập hợp đồng thuê mới từ lịch đã xem</t>
        </is>
      </c>
      <c r="C79" s="0" t="inlineStr">
        <is>
          <t xml:space="preserve">DB</t>
        </is>
      </c>
      <c r="D79" s="0" t="inlineStr">
        <is>
          <t xml:space="preserve">Lưu riêng người xem/đại diện ban đầu với đại diện hiện tại, để bàn giao không sửa bằng chứng thuê gốc.</t>
        </is>
      </c>
    </row>
    <row r="80" ht="70" customHeight="1">
      <c r="A80" s="2" t="inlineStr">
        <is>
          <t xml:space="preserve">reserve-cleanup</t>
        </is>
      </c>
      <c r="B80" s="2" t="inlineStr">
        <is>
          <t xml:space="preserve">Tự xử lý lịch/đề nghị khi hợp đồng giữ phòng</t>
        </is>
      </c>
      <c r="C80" s="2" t="inlineStr">
        <is>
          <t xml:space="preserve">PROC</t>
        </is>
      </c>
      <c r="D80" s="2" t="inlineStr">
        <is>
          <t xml:space="preserve">Xử lý theo room_id trên mọi bài đăng của phòng, không chỉ bài dùng tạo hợp đồng.</t>
        </is>
      </c>
    </row>
    <row r="81" ht="70" customHeight="1">
      <c r="A81" s="0" t="inlineStr">
        <is>
          <t xml:space="preserve">reserve-cleanup</t>
        </is>
      </c>
      <c r="B81" s="0" t="inlineStr">
        <is>
          <t xml:space="preserve">Tự xử lý lịch/đề nghị khi hợp đồng giữ phòng</t>
        </is>
      </c>
      <c r="C81" s="0" t="inlineStr">
        <is>
          <t xml:space="preserve">PROC</t>
        </is>
      </c>
      <c r="D81" s="0" t="inlineStr">
        <is>
          <t xml:space="preserve">Lưu lý do, người, thời điểm; lỗi tạo hợp đồng hoặc thông báo phải rollback giữ phòng và toàn bộ việc đóng lịch.</t>
        </is>
      </c>
    </row>
    <row r="82" ht="70" customHeight="1">
      <c r="A82" s="2" t="inlineStr">
        <is>
          <t xml:space="preserve">reserve-cleanup</t>
        </is>
      </c>
      <c r="B82" s="2" t="inlineStr">
        <is>
          <t xml:space="preserve">Tự xử lý lịch/đề nghị khi hợp đồng giữ phòng</t>
        </is>
      </c>
      <c r="C82" s="2" t="inlineStr">
        <is>
          <t xml:space="preserve">UI</t>
        </is>
      </c>
      <c r="D82" s="2" t="inlineStr">
        <is>
          <t xml:space="preserve">Hủy hợp đồng về sau không tự khôi phục lịch/đề nghị và không tự mời lại người thuê cũ.</t>
        </is>
      </c>
    </row>
    <row r="83" ht="70" customHeight="1">
      <c r="A83" s="0" t="inlineStr">
        <is>
          <t xml:space="preserve">contract-revision</t>
        </is>
      </c>
      <c r="B83" s="0" t="inlineStr">
        <is>
          <t xml:space="preserve">Xác nhận nội dung hoặc yêu cầu sửa hợp đồng</t>
        </is>
      </c>
      <c r="C83" s="0" t="inlineStr">
        <is>
          <t xml:space="preserve">DB</t>
        </is>
      </c>
      <c r="D83" s="0" t="inlineStr">
        <is>
          <t xml:space="preserve">Số phiên bản duy nhất theo hợp đồng; bản xác nhận ghi nhận đúng đại diện và dữ liệu tại thời điểm đó.</t>
        </is>
      </c>
    </row>
    <row r="84" ht="70" customHeight="1">
      <c r="A84" s="2" t="inlineStr">
        <is>
          <t xml:space="preserve">contract-revision</t>
        </is>
      </c>
      <c r="B84" s="2" t="inlineStr">
        <is>
          <t xml:space="preserve">Xác nhận nội dung hoặc yêu cầu sửa hợp đồng</t>
        </is>
      </c>
      <c r="C84" s="2" t="inlineStr">
        <is>
          <t xml:space="preserve">UI</t>
        </is>
      </c>
      <c r="D84" s="2" t="inlineStr">
        <is>
          <t xml:space="preserve">Chỉ đại diện đang có quyền xác nhận; thuê mới phải kiểm tra lại quyền cho thuê của nhà khi gửi/xác nhận.</t>
        </is>
      </c>
    </row>
    <row r="85" ht="70" customHeight="1">
      <c r="A85" s="0" t="inlineStr">
        <is>
          <t xml:space="preserve">contract-revision</t>
        </is>
      </c>
      <c r="B85" s="0" t="inlineStr">
        <is>
          <t xml:space="preserve">Xác nhận nội dung hoặc yêu cầu sửa hợp đồng</t>
        </is>
      </c>
      <c r="C85" s="0" t="inlineStr">
        <is>
          <t xml:space="preserve">UI</t>
        </is>
      </c>
      <c r="D85" s="0" t="inlineStr">
        <is>
          <t xml:space="preserve">Không tự ACTIVE hợp đồng hoặc ghi ngày vào ở chỉ vì xác nhận nội dung.</t>
        </is>
      </c>
    </row>
    <row r="86" ht="70" customHeight="1">
      <c r="A86" s="2" t="inlineStr">
        <is>
          <t xml:space="preserve">move-in</t>
        </is>
      </c>
      <c r="B86" s="2" t="inlineStr">
        <is>
          <t xml:space="preserve">Xác nhận người thuê thực tế vào ở</t>
        </is>
      </c>
      <c r="C86" s="2" t="inlineStr">
        <is>
          <t xml:space="preserve">PROC</t>
        </is>
      </c>
      <c r="D86" s="2" t="inlineStr">
        <is>
          <t xml:space="preserve">sp_confirm_move_in không cho ngày tương lai hoặc ngoài thời hạn; lần kích hoạt phải có đại diện, quyền nhà của thuê mới còn hiệu lực.</t>
        </is>
      </c>
    </row>
    <row r="87" ht="70" customHeight="1">
      <c r="A87" s="0" t="inlineStr">
        <is>
          <t xml:space="preserve">move-in</t>
        </is>
      </c>
      <c r="B87" s="0" t="inlineStr">
        <is>
          <t xml:space="preserve">Xác nhận người thuê thực tế vào ở</t>
        </is>
      </c>
      <c r="C87" s="0" t="inlineStr">
        <is>
          <t xml:space="preserve">DB</t>
        </is>
      </c>
      <c r="D87" s="0" t="inlineStr">
        <is>
          <t xml:space="preserve">Một tài khoản chỉ có một lượt ACTIVE toàn hệ thống; người chưa có tài khoản vẫn có dòng riêng.</t>
        </is>
      </c>
    </row>
    <row r="88" ht="70" customHeight="1">
      <c r="A88" s="2" t="inlineStr">
        <is>
          <t xml:space="preserve">move-in</t>
        </is>
      </c>
      <c r="B88" s="2" t="inlineStr">
        <is>
          <t xml:space="preserve">Xác nhận người thuê thực tế vào ở</t>
        </is>
      </c>
      <c r="C88" s="2" t="inlineStr">
        <is>
          <t xml:space="preserve">DB</t>
        </is>
      </c>
      <c r="D88" s="2" t="inlineStr">
        <is>
          <t xml:space="preserve">ACTIVE/LEFT cần người và thời điểm xác nhận vào; PLANNED có ngày dự kiến, chưa có ngày vào/ra.</t>
        </is>
      </c>
    </row>
    <row r="89" ht="70" customHeight="1">
      <c r="A89" s="0" t="inlineStr">
        <is>
          <t xml:space="preserve">move-in</t>
        </is>
      </c>
      <c r="B89" s="0" t="inlineStr">
        <is>
          <t xml:space="preserve">Xác nhận người thuê thực tế vào ở</t>
        </is>
      </c>
      <c r="C89" s="0" t="inlineStr">
        <is>
          <t xml:space="preserve">UI</t>
        </is>
      </c>
      <c r="D89" s="0" t="inlineStr">
        <is>
          <t xml:space="preserve">Danh sách hợp đồng/người ở giữ người chưa đến để không làm mất chỗ dự kiến.</t>
        </is>
      </c>
    </row>
    <row r="90" ht="70" customHeight="1">
      <c r="A90" s="2" t="inlineStr">
        <is>
          <t xml:space="preserve">cancel-contract</t>
        </is>
      </c>
      <c r="B90" s="2" t="inlineStr">
        <is>
          <t xml:space="preserve">Hủy trước vào ở, hủy người dự kiến và nhập giấy</t>
        </is>
      </c>
      <c r="C90" s="2" t="inlineStr">
        <is>
          <t xml:space="preserve">PROC</t>
        </is>
      </c>
      <c r="D90" s="2" t="inlineStr">
        <is>
          <t xml:space="preserve">sp_cancel_contract / sp_cancel_planned_member yêu cầu đúng quyền, trạng thái và lý do; không giả ngày vào/ra cho người chưa ở.</t>
        </is>
      </c>
    </row>
    <row r="91" ht="70" customHeight="1">
      <c r="A91" s="0" t="inlineStr">
        <is>
          <t xml:space="preserve">cancel-contract</t>
        </is>
      </c>
      <c r="B91" s="0" t="inlineStr">
        <is>
          <t xml:space="preserve">Hủy trước vào ở, hủy người dự kiến và nhập giấy</t>
        </is>
      </c>
      <c r="C91" s="0" t="inlineStr">
        <is>
          <t xml:space="preserve">DB</t>
        </is>
      </c>
      <c r="D91" s="0" t="inlineStr">
        <is>
          <t xml:space="preserve">PAPER_IMPORT có tài liệu hợp đồng giấy và ngữ cảnh nguồn riêng; không bắt buộc lịch xem như NEW_RENTAL.</t>
        </is>
      </c>
    </row>
    <row r="92" ht="70" customHeight="1">
      <c r="A92" s="2" t="inlineStr">
        <is>
          <t xml:space="preserve">cancel-contract</t>
        </is>
      </c>
      <c r="B92" s="2" t="inlineStr">
        <is>
          <t xml:space="preserve">Hủy trước vào ở, hủy người dự kiến và nhập giấy</t>
        </is>
      </c>
      <c r="C92" s="2" t="inlineStr">
        <is>
          <t xml:space="preserve">UI</t>
        </is>
      </c>
      <c r="D92" s="2" t="inlineStr">
        <is>
          <t xml:space="preserve">Không khôi phục lịch xem cũ sau hủy; cần tạo lịch mới. Hợp đồng đã ACTIVE đi theo luồng chấm dứt/rời phòng.</t>
        </is>
      </c>
    </row>
    <row r="93" ht="70" customHeight="1">
      <c r="A93" s="0" t="inlineStr">
        <is>
          <t xml:space="preserve">residents</t>
        </is>
      </c>
      <c r="B93" s="0" t="inlineStr">
        <is>
          <t xml:space="preserve">Danh sách người ở, lịch sử và xuất CSV</t>
        </is>
      </c>
      <c r="C93" s="0" t="inlineStr">
        <is>
          <t xml:space="preserve">DB</t>
        </is>
      </c>
      <c r="D93" s="0" t="inlineStr">
        <is>
          <t xml:space="preserve">FK ghép giữ đúng người-hợp đồng-phòng; một tài khoản không có hai thành viên mở trùng cùng hợp đồng.</t>
        </is>
      </c>
    </row>
    <row r="94" ht="70" customHeight="1">
      <c r="A94" s="2" t="inlineStr">
        <is>
          <t xml:space="preserve">residents</t>
        </is>
      </c>
      <c r="B94" s="2" t="inlineStr">
        <is>
          <t xml:space="preserve">Danh sách người ở, lịch sử và xuất CSV</t>
        </is>
      </c>
      <c r="C94" s="2" t="inlineStr">
        <is>
          <t xml:space="preserve">UI</t>
        </is>
      </c>
      <c r="D94" s="2" t="inlineStr">
        <is>
          <t xml:space="preserve">CSV người đang ở dựa vào ACTIVE, không lọc mất người bằng trạng thái hợp đồng.</t>
        </is>
      </c>
    </row>
    <row r="95" ht="70" customHeight="1">
      <c r="A95" s="0" t="inlineStr">
        <is>
          <t xml:space="preserve">residents</t>
        </is>
      </c>
      <c r="B95" s="0" t="inlineStr">
        <is>
          <t xml:space="preserve">Danh sách người ở, lịch sử và xuất CSV</t>
        </is>
      </c>
      <c r="C95" s="0" t="inlineStr">
        <is>
          <t xml:space="preserve">API</t>
        </is>
      </c>
      <c r="D95" s="0" t="inlineStr">
        <is>
          <t xml:space="preserve">Danh tính cư dân chỉ trả cho chủ quản lý/quản trị có quyền, không công khai căn cước/ngày sinh.</t>
        </is>
      </c>
    </row>
    <row r="96" ht="70" customHeight="1">
      <c r="A96" s="2" t="inlineStr">
        <is>
          <t xml:space="preserve">join-consent</t>
        </is>
      </c>
      <c r="B96" s="2" t="inlineStr">
        <is>
          <t xml:space="preserve">Đề nghị thêm người và hai đồng ý thuê chung</t>
        </is>
      </c>
      <c r="C96" s="2" t="inlineStr">
        <is>
          <t xml:space="preserve">DB</t>
        </is>
      </c>
      <c r="D96" s="2" t="inlineStr">
        <is>
          <t xml:space="preserve">PENDING_LANDLORD/APPROVED/COMPLETED bắt buộc cả hai đồng ý; người đồng ý xin vào phải chính applicant_id.</t>
        </is>
      </c>
    </row>
    <row r="97" ht="70" customHeight="1">
      <c r="A97" s="0" t="inlineStr">
        <is>
          <t xml:space="preserve">join-consent</t>
        </is>
      </c>
      <c r="B97" s="0" t="inlineStr">
        <is>
          <t xml:space="preserve">Đề nghị thêm người và hai đồng ý thuê chung</t>
        </is>
      </c>
      <c r="C97" s="0" t="inlineStr">
        <is>
          <t xml:space="preserve">DB</t>
        </is>
      </c>
      <c r="D97" s="0" t="inlineStr">
        <is>
          <t xml:space="preserve">Một yêu cầu mở cho một applicant + hợp đồng; applicant khác requested_by.</t>
        </is>
      </c>
    </row>
    <row r="98" ht="70" customHeight="1">
      <c r="A98" s="2" t="inlineStr">
        <is>
          <t xml:space="preserve">join-consent</t>
        </is>
      </c>
      <c r="B98" s="2" t="inlineStr">
        <is>
          <t xml:space="preserve">Đề nghị thêm người và hai đồng ý thuê chung</t>
        </is>
      </c>
      <c r="C98" s="2" t="inlineStr">
        <is>
          <t xml:space="preserve">UI</t>
        </is>
      </c>
      <c r="D98" s="2" t="inlineStr">
        <is>
          <t xml:space="preserve">Lời mời từ đại diện cũ vẫn kết nối được, nhưng khi xin ở phải lấy đồng ý mới từ đại diện hiện tại.</t>
        </is>
      </c>
    </row>
    <row r="99" ht="70" customHeight="1">
      <c r="A99" s="0" t="inlineStr">
        <is>
          <t xml:space="preserve">join-consent</t>
        </is>
      </c>
      <c r="B99" s="0" t="inlineStr">
        <is>
          <t xml:space="preserve">Đề nghị thêm người và hai đồng ý thuê chung</t>
        </is>
      </c>
      <c r="C99" s="0" t="inlineStr">
        <is>
          <t xml:space="preserve">API</t>
        </is>
      </c>
      <c r="D99" s="0" t="inlineStr">
        <is>
          <t xml:space="preserve">Khóa và kiểm tra hợp đồng ACTIVE, đại diện còn ở và tài khoản; không sao chép ACCEPTED từ roommate_requests.</t>
        </is>
      </c>
    </row>
    <row r="100" ht="70" customHeight="1">
      <c r="A100" s="2" t="inlineStr">
        <is>
          <t xml:space="preserve">join-hold</t>
        </is>
      </c>
      <c r="B100" s="2" t="inlineStr">
        <is>
          <t xml:space="preserve">Duyệt thêm người, giữ 48 giờ và hoàn tất vào ở</t>
        </is>
      </c>
      <c r="C100" s="2" t="inlineStr">
        <is>
          <t xml:space="preserve">PROC</t>
        </is>
      </c>
      <c r="D100" s="2" t="inlineStr">
        <is>
          <t xml:space="preserve">sp_approve_occupant_join tính người ở + người dự kiến + chỗ giữ còn hạn; hai phiên tranh chỗ chỉ một được duyệt.</t>
        </is>
      </c>
    </row>
    <row r="101" ht="70" customHeight="1">
      <c r="A101" s="0" t="inlineStr">
        <is>
          <t xml:space="preserve">join-hold</t>
        </is>
      </c>
      <c r="B101" s="0" t="inlineStr">
        <is>
          <t xml:space="preserve">Duyệt thêm người, giữ 48 giờ và hoàn tất vào ở</t>
        </is>
      </c>
      <c r="C101" s="0" t="inlineStr">
        <is>
          <t xml:space="preserve">PROC</t>
        </is>
      </c>
      <c r="D101" s="0" t="inlineStr">
        <is>
          <t xml:space="preserve">sp_complete_occupant_join kiểm tra lại dù trước đó đã duyệt; hết hạn không được hoàn tất kể cả worker chưa chạy.</t>
        </is>
      </c>
    </row>
    <row r="102" ht="70" customHeight="1">
      <c r="A102" s="2" t="inlineStr">
        <is>
          <t xml:space="preserve">join-hold</t>
        </is>
      </c>
      <c r="B102" s="2" t="inlineStr">
        <is>
          <t xml:space="preserve">Duyệt thêm người, giữ 48 giờ và hoàn tất vào ở</t>
        </is>
      </c>
      <c r="C102" s="2" t="inlineStr">
        <is>
          <t xml:space="preserve">DB</t>
        </is>
      </c>
      <c r="D102" s="2" t="inlineStr">
        <is>
          <t xml:space="preserve">join_request_id và completed_room_tenant_id được ràng buộc đúng hợp đồng/người; gửi lặp không tạo thêm lượt ở.</t>
        </is>
      </c>
    </row>
    <row r="103" ht="70" customHeight="1">
      <c r="A103" s="0" t="inlineStr">
        <is>
          <t xml:space="preserve">join-hold</t>
        </is>
      </c>
      <c r="B103" s="0" t="inlineStr">
        <is>
          <t xml:space="preserve">Duyệt thêm người, giữ 48 giờ và hoàn tất vào ở</t>
        </is>
      </c>
      <c r="C103" s="0" t="inlineStr">
        <is>
          <t xml:space="preserve">UI</t>
        </is>
      </c>
      <c r="D103" s="0" t="inlineStr">
        <is>
          <t xml:space="preserve">48 giờ là chính sách hiện tại của demo, cần cấu hình chính sách máy chủ khi triển khai.</t>
        </is>
      </c>
    </row>
    <row r="104" ht="70" customHeight="1">
      <c r="A104" s="2" t="inlineStr">
        <is>
          <t xml:space="preserve">departure</t>
        </is>
      </c>
      <c r="B104" s="2" t="inlineStr">
        <is>
          <t xml:space="preserve">Thành viên rời phòng và người cuối cùng rời</t>
        </is>
      </c>
      <c r="C104" s="2" t="inlineStr">
        <is>
          <t xml:space="preserve">DB</t>
        </is>
      </c>
      <c r="D104" s="2" t="inlineStr">
        <is>
          <t xml:space="preserve">LEFT cần ngày ra ≥ ngày vào, người và thời điểm xác nhận ra.</t>
        </is>
      </c>
    </row>
    <row r="105" ht="70" customHeight="1">
      <c r="A105" s="0" t="inlineStr">
        <is>
          <t xml:space="preserve">departure</t>
        </is>
      </c>
      <c r="B105" s="0" t="inlineStr">
        <is>
          <t xml:space="preserve">Thành viên rời phòng và người cuối cùng rời</t>
        </is>
      </c>
      <c r="C105" s="0" t="inlineStr">
        <is>
          <t xml:space="preserve">PROC</t>
        </is>
      </c>
      <c r="D105" s="0" t="inlineStr">
        <is>
          <t xml:space="preserve">sp_move_out thực hiện đồng bộ lịch sử, hợp đồng và tình trạng phòng; không chỉ đổi nhãn phòng.</t>
        </is>
      </c>
    </row>
    <row r="106" ht="70" customHeight="1">
      <c r="A106" s="2" t="inlineStr">
        <is>
          <t xml:space="preserve">departure</t>
        </is>
      </c>
      <c r="B106" s="2" t="inlineStr">
        <is>
          <t xml:space="preserve">Thành viên rời phòng và người cuối cùng rời</t>
        </is>
      </c>
      <c r="C106" s="2" t="inlineStr">
        <is>
          <t xml:space="preserve">UI</t>
        </is>
      </c>
      <c r="D106" s="2" t="inlineStr">
        <is>
          <t xml:space="preserve">Hợp đồng đang có vẫn xử lý rời phòng/kết thúc được khi quyền cho thuê nhà hết hạn hoặc bị thu hồi.</t>
        </is>
      </c>
    </row>
    <row r="107" ht="70" customHeight="1">
      <c r="A107" s="0" t="inlineStr">
        <is>
          <t xml:space="preserve">handover</t>
        </is>
      </c>
      <c r="B107" s="0" t="inlineStr">
        <is>
          <t xml:space="preserve">Bàn giao đại diện khi người đại diện rời</t>
        </is>
      </c>
      <c r="C107" s="0" t="inlineStr">
        <is>
          <t xml:space="preserve">PROC</t>
        </is>
      </c>
      <c r="D107" s="0" t="inlineStr">
        <is>
          <t xml:space="preserve">sp_handover_representative xử lý trong một giao dịch; không chọn PLANNED/LEFT, người khác hợp đồng hoặc người bị khóa.</t>
        </is>
      </c>
    </row>
    <row r="108" ht="70" customHeight="1">
      <c r="A108" s="2" t="inlineStr">
        <is>
          <t xml:space="preserve">handover</t>
        </is>
      </c>
      <c r="B108" s="2" t="inlineStr">
        <is>
          <t xml:space="preserve">Bàn giao đại diện khi người đại diện rời</t>
        </is>
      </c>
      <c r="C108" s="2" t="inlineStr">
        <is>
          <t xml:space="preserve">DB</t>
        </is>
      </c>
      <c r="D108" s="2" t="inlineStr">
        <is>
          <t xml:space="preserve">Một giai đoạn đại diện hiện hành/hợp đồng; chuỗi trước-sau đúng hợp đồng; lịch sử đã ghi bất biến.</t>
        </is>
      </c>
    </row>
    <row r="109" ht="70" customHeight="1">
      <c r="A109" s="0" t="inlineStr">
        <is>
          <t xml:space="preserve">handover</t>
        </is>
      </c>
      <c r="B109" s="0" t="inlineStr">
        <is>
          <t xml:space="preserve">Bàn giao đại diện khi người đại diện rời</t>
        </is>
      </c>
      <c r="C109" s="0" t="inlineStr">
        <is>
          <t xml:space="preserve">UI</t>
        </is>
      </c>
      <c r="D109" s="0" t="inlineStr">
        <is>
          <t xml:space="preserve">Giữ số hợp đồng, phòng, giá/cọc, thời hạn, người xem gốc, phiên bản đã xác nhận và người trả hóa đơn cũ.</t>
        </is>
      </c>
    </row>
    <row r="110" ht="70" customHeight="1">
      <c r="A110" s="2" t="inlineStr">
        <is>
          <t xml:space="preserve">handover</t>
        </is>
      </c>
      <c r="B110" s="2" t="inlineStr">
        <is>
          <t xml:space="preserve">Bàn giao đại diện khi người đại diện rời</t>
        </is>
      </c>
      <c r="C110" s="2" t="inlineStr">
        <is>
          <t xml:space="preserve">UI</t>
        </is>
      </c>
      <c r="D110" s="2" t="inlineStr">
        <is>
          <t xml:space="preserve">Không còn người đủ điều kiện nhưng vẫn còn thành viên mở thì phải hoàn tất thông tin/vào ở trước; chưa cho đại diện cũ rời.</t>
        </is>
      </c>
    </row>
    <row r="111" ht="70" customHeight="1">
      <c r="A111" s="0" t="inlineStr">
        <is>
          <t xml:space="preserve">change-request</t>
        </is>
      </c>
      <c r="B111" s="0" t="inlineStr">
        <is>
          <t xml:space="preserve">Luồng chung yêu cầu điều chỉnh hợp đồng</t>
        </is>
      </c>
      <c r="C111" s="0" t="inlineStr">
        <is>
          <t xml:space="preserve">DB</t>
        </is>
      </c>
      <c r="D111" s="0" t="inlineStr">
        <is>
          <t xml:space="preserve">Mỗi hợp đồng chỉ có một yêu cầu điều chỉnh mở; READY_TO_APPLY/COMPLETED cần người/thời điểm duyệt và xác nhận.</t>
        </is>
      </c>
    </row>
    <row r="112" ht="70" customHeight="1">
      <c r="A112" s="2" t="inlineStr">
        <is>
          <t xml:space="preserve">change-request</t>
        </is>
      </c>
      <c r="B112" s="2" t="inlineStr">
        <is>
          <t xml:space="preserve">Luồng chung yêu cầu điều chỉnh hợp đồng</t>
        </is>
      </c>
      <c r="C112" s="2" t="inlineStr">
        <is>
          <t xml:space="preserve">UI</t>
        </is>
      </c>
      <c r="D112" s="2" t="inlineStr">
        <is>
          <t xml:space="preserve">Chỉ đại diện gửi/xác nhận; chỉ chủ quản lý duyệt/áp dụng. Bàn giao đại diện hủy yêu cầu cũ.</t>
        </is>
      </c>
    </row>
    <row r="113" ht="70" customHeight="1">
      <c r="A113" s="0" t="inlineStr">
        <is>
          <t xml:space="preserve">change-request</t>
        </is>
      </c>
      <c r="B113" s="0" t="inlineStr">
        <is>
          <t xml:space="preserve">Luồng chung yêu cầu điều chỉnh hợp đồng</t>
        </is>
      </c>
      <c r="C113" s="0" t="inlineStr">
        <is>
          <t xml:space="preserve">PROC</t>
        </is>
      </c>
      <c r="D113" s="0" t="inlineStr">
        <is>
          <t xml:space="preserve">sp_apply_contract_change kiểm tra lại hợp đồng ACTIVE, phiên bản gốc, ngày hiệu lực và ghi kết quả cùng giao dịch.</t>
        </is>
      </c>
    </row>
    <row r="114" ht="70" customHeight="1">
      <c r="A114" s="2" t="inlineStr">
        <is>
          <t xml:space="preserve">change-request</t>
        </is>
      </c>
      <c r="B114" s="2" t="inlineStr">
        <is>
          <t xml:space="preserve">Luồng chung yêu cầu điều chỉnh hợp đồng</t>
        </is>
      </c>
      <c r="C114" s="2" t="inlineStr">
        <is>
          <t xml:space="preserve">UI</t>
        </is>
      </c>
      <c r="D114" s="2" t="inlineStr">
        <is>
          <t xml:space="preserve">Gửi, chấp nhận hoặc xác nhận chưa làm thay đổi hợp đồng. Ngày hiệu lực không trước ngày bắt đầu hoặc ngày vào của người đang ở.</t>
        </is>
      </c>
    </row>
    <row r="115" ht="70" customHeight="1">
      <c r="A115" s="0" t="inlineStr">
        <is>
          <t xml:space="preserve">renewal</t>
        </is>
      </c>
      <c r="B115" s="0" t="inlineStr">
        <is>
          <t xml:space="preserve">Gia hạn thời hạn hợp đồng</t>
        </is>
      </c>
      <c r="C115" s="0" t="inlineStr">
        <is>
          <t xml:space="preserve">UI</t>
        </is>
      </c>
      <c r="D115" s="0" t="inlineStr">
        <is>
          <t xml:space="preserve">Ngày kết thúc mới phải sau ngày kết thúc cũ; phải còn đúng phiên bản và đại diện lúc yêu cầu.</t>
        </is>
      </c>
    </row>
    <row r="116" ht="70" customHeight="1">
      <c r="A116" s="2" t="inlineStr">
        <is>
          <t xml:space="preserve">renewal</t>
        </is>
      </c>
      <c r="B116" s="2" t="inlineStr">
        <is>
          <t xml:space="preserve">Gia hạn thời hạn hợp đồng</t>
        </is>
      </c>
      <c r="C116" s="2" t="inlineStr">
        <is>
          <t xml:space="preserve">PROC</t>
        </is>
      </c>
      <c r="D116" s="2" t="inlineStr">
        <is>
          <t xml:space="preserve">Gia hạn cần quyền cho thuê nhà hiệu lực và thời điểm áp dụng hợp lệ; trigger chặn tăng end_date khi thiếu quyền.</t>
        </is>
      </c>
    </row>
    <row r="117" ht="70" customHeight="1">
      <c r="A117" s="0" t="inlineStr">
        <is>
          <t xml:space="preserve">renewal</t>
        </is>
      </c>
      <c r="B117" s="0" t="inlineStr">
        <is>
          <t xml:space="preserve">Gia hạn thời hạn hợp đồng</t>
        </is>
      </c>
      <c r="C117" s="0" t="inlineStr">
        <is>
          <t xml:space="preserve">DB</t>
        </is>
      </c>
      <c r="D117" s="0" t="inlineStr">
        <is>
          <t xml:space="preserve">Giữ phiên bản cũ để truy vết, không ghi đè nội dung đã ký chỉ để mất lịch sử.</t>
        </is>
      </c>
    </row>
    <row r="118" ht="70" customHeight="1">
      <c r="A118" s="2" t="inlineStr">
        <is>
          <t xml:space="preserve">transfer</t>
        </is>
      </c>
      <c r="B118" s="2" t="inlineStr">
        <is>
          <t xml:space="preserve">Đổi sang phòng khác và tạo hợp đồng chuyển phòng</t>
        </is>
      </c>
      <c r="C118" s="2" t="inlineStr">
        <is>
          <t xml:space="preserve">PROC</t>
        </is>
      </c>
      <c r="D118" s="2" t="inlineStr">
        <is>
          <t xml:space="preserve">Phải kiểm tra toàn bộ trước khi đóng nguồn; lỗi ở bất kỳ bước nào rollback cả nguồn/đích.</t>
        </is>
      </c>
    </row>
    <row r="119" ht="70" customHeight="1">
      <c r="A119" s="0" t="inlineStr">
        <is>
          <t xml:space="preserve">transfer</t>
        </is>
      </c>
      <c r="B119" s="0" t="inlineStr">
        <is>
          <t xml:space="preserve">Đổi sang phòng khác và tạo hợp đồng chuyển phòng</t>
        </is>
      </c>
      <c r="C119" s="0" t="inlineStr">
        <is>
          <t xml:space="preserve">DB</t>
        </is>
      </c>
      <c r="D119" s="0" t="inlineStr">
        <is>
          <t xml:space="preserve">previous_contract_id và result_contract_id giữ liên kết, các thành viên mới thuộc đúng phòng/hợp đồng.</t>
        </is>
      </c>
    </row>
    <row r="120" ht="70" customHeight="1">
      <c r="A120" s="2" t="inlineStr">
        <is>
          <t xml:space="preserve">transfer</t>
        </is>
      </c>
      <c r="B120" s="2" t="inlineStr">
        <is>
          <t xml:space="preserve">Đổi sang phòng khác và tạo hợp đồng chuyển phòng</t>
        </is>
      </c>
      <c r="C120" s="2" t="inlineStr">
        <is>
          <t xml:space="preserve">UI</t>
        </is>
      </c>
      <c r="D120" s="2" t="inlineStr">
        <is>
          <t xml:space="preserve">Không mang người LEFT/CANCELLED hoặc thông tin xác nhận cũ sang; không chỉ chuyển tên đại diện và bỏ người còn lại.</t>
        </is>
      </c>
    </row>
    <row r="121" ht="70" customHeight="1">
      <c r="A121" s="0" t="inlineStr">
        <is>
          <t xml:space="preserve">end-lease</t>
        </is>
      </c>
      <c r="B121" s="0" t="inlineStr">
        <is>
          <t xml:space="preserve">Yêu cầu chấm dứt và đóng hợp đồng</t>
        </is>
      </c>
      <c r="C121" s="0" t="inlineStr">
        <is>
          <t xml:space="preserve">PROC</t>
        </is>
      </c>
      <c r="D121" s="0" t="inlineStr">
        <is>
          <t xml:space="preserve">Ngày hiệu lực không trước ngày vào ở của thành viên đang ở; không được đóng hợp đồng mà bỏ lại lượt ACTIVE/PLANNED không xử lý.</t>
        </is>
      </c>
    </row>
    <row r="122" ht="70" customHeight="1">
      <c r="A122" s="2" t="inlineStr">
        <is>
          <t xml:space="preserve">end-lease</t>
        </is>
      </c>
      <c r="B122" s="2" t="inlineStr">
        <is>
          <t xml:space="preserve">Yêu cầu chấm dứt và đóng hợp đồng</t>
        </is>
      </c>
      <c r="C122" s="2" t="inlineStr">
        <is>
          <t xml:space="preserve">UI</t>
        </is>
      </c>
      <c r="D122" s="2" t="inlineStr">
        <is>
          <t xml:space="preserve">Quyền cho thuê hết hiệu lực không ngăn kết thúc hợp đồng cũ.</t>
        </is>
      </c>
    </row>
    <row r="123" ht="70" customHeight="1">
      <c r="A123" s="0" t="inlineStr">
        <is>
          <t xml:space="preserve">end-lease</t>
        </is>
      </c>
      <c r="B123" s="0" t="inlineStr">
        <is>
          <t xml:space="preserve">Yêu cầu chấm dứt và đóng hợp đồng</t>
        </is>
      </c>
      <c r="C123" s="0" t="inlineStr">
        <is>
          <t xml:space="preserve">DB</t>
        </is>
      </c>
      <c r="D123" s="0" t="inlineStr">
        <is>
          <t xml:space="preserve">Đóng lưu thời điểm/lý do/người xử lý theo ngữ cảnh, giữ bản ghi cư trú và liên kết hóa đơn.</t>
        </is>
      </c>
    </row>
    <row r="124" ht="70" customHeight="1">
      <c r="A124" s="2" t="inlineStr">
        <is>
          <t xml:space="preserve">services</t>
        </is>
      </c>
      <c r="B124" s="2" t="inlineStr">
        <is>
          <t xml:space="preserve">Dịch vụ theo nhà và giá riêng theo phòng</t>
        </is>
      </c>
      <c r="C124" s="2" t="inlineStr">
        <is>
          <t xml:space="preserve">DB</t>
        </is>
      </c>
      <c r="D124" s="2" t="inlineStr">
        <is>
          <t xml:space="preserve">Tách danh mục rental_services, cấu hình house_services và gán room_services; FK bảo đảm dịch vụ/phòng đúng nhà.</t>
        </is>
      </c>
    </row>
    <row r="125" ht="70" customHeight="1">
      <c r="A125" s="0" t="inlineStr">
        <is>
          <t xml:space="preserve">services</t>
        </is>
      </c>
      <c r="B125" s="0" t="inlineStr">
        <is>
          <t xml:space="preserve">Dịch vụ theo nhà và giá riêng theo phòng</t>
        </is>
      </c>
      <c r="C125" s="0" t="inlineStr">
        <is>
          <t xml:space="preserve">UI</t>
        </is>
      </c>
      <c r="D125" s="0" t="inlineStr">
        <is>
          <t xml:space="preserve">Tên dịch vụ không trùng trong nhà; giá không âm, phương pháp METERED/PER_PERSON/PER_ROOM.</t>
        </is>
      </c>
    </row>
    <row r="126" ht="70" customHeight="1">
      <c r="A126" s="2" t="inlineStr">
        <is>
          <t xml:space="preserve">services</t>
        </is>
      </c>
      <c r="B126" s="2" t="inlineStr">
        <is>
          <t xml:space="preserve">Dịch vụ theo nhà và giá riêng theo phòng</t>
        </is>
      </c>
      <c r="C126" s="2" t="inlineStr">
        <is>
          <t xml:space="preserve">UI</t>
        </is>
      </c>
      <c r="D126" s="2" t="inlineStr">
        <is>
          <t xml:space="preserve">Giá riêng 0 được chấp nhận; bỏ trống/NULL mới kế thừa. Không áp dụng dịch vụ của nhà khác.</t>
        </is>
      </c>
    </row>
    <row r="127" ht="70" customHeight="1">
      <c r="A127" s="0" t="inlineStr">
        <is>
          <t xml:space="preserve">services</t>
        </is>
      </c>
      <c r="B127" s="0" t="inlineStr">
        <is>
          <t xml:space="preserve">Dịch vụ theo nhà và giá riêng theo phòng</t>
        </is>
      </c>
      <c r="C127" s="0" t="inlineStr">
        <is>
          <t xml:space="preserve">DB</t>
        </is>
      </c>
      <c r="D127" s="0" t="inlineStr">
        <is>
          <t xml:space="preserve">invoice_items lưu đơn giá và phương pháp tại lúc lập để thay đổi cấu hình không sửa hóa đơn lịch sử.</t>
        </is>
      </c>
    </row>
    <row r="128" ht="70" customHeight="1">
      <c r="A128" s="2" t="inlineStr">
        <is>
          <t xml:space="preserve">bill</t>
        </is>
      </c>
      <c r="B128" s="2" t="inlineStr">
        <is>
          <t xml:space="preserve">Lập và sửa bản nháp hóa đơn</t>
        </is>
      </c>
      <c r="C128" s="2" t="inlineStr">
        <is>
          <t xml:space="preserve">DB</t>
        </is>
      </c>
      <c r="D128" s="2" t="inlineStr">
        <is>
          <t xml:space="preserve">Mỗi contract_id + billing_period chỉ có một hóa đơn chưa CANCELLED; kỳ là ngày đầu tháng.</t>
        </is>
      </c>
    </row>
    <row r="129" ht="70" customHeight="1">
      <c r="A129" s="0" t="inlineStr">
        <is>
          <t xml:space="preserve">bill</t>
        </is>
      </c>
      <c r="B129" s="0" t="inlineStr">
        <is>
          <t xml:space="preserve">Lập và sửa bản nháp hóa đơn</t>
        </is>
      </c>
      <c r="C129" s="0" t="inlineStr">
        <is>
          <t xml:space="preserve">DB</t>
        </is>
      </c>
      <c r="D129" s="0" t="inlineStr">
        <is>
          <t xml:space="preserve">Số lượng/đơn giá không âm; amount = ROUND(quantity × unit_price,2). Đồng hồ cuối ≥ đầu ≥ 0, số lượng bằng chênh lệch.</t>
        </is>
      </c>
    </row>
    <row r="130" ht="70" customHeight="1">
      <c r="A130" s="2" t="inlineStr">
        <is>
          <t xml:space="preserve">bill</t>
        </is>
      </c>
      <c r="B130" s="2" t="inlineStr">
        <is>
          <t xml:space="preserve">Lập và sửa bản nháp hóa đơn</t>
        </is>
      </c>
      <c r="C130" s="2" t="inlineStr">
        <is>
          <t xml:space="preserve">DB</t>
        </is>
      </c>
      <c r="D130" s="2" t="inlineStr">
        <is>
          <t xml:space="preserve">Theo phòng có quantity=1; theo người là số nguyên. Hóa đơn giữ dữ liệu đại diện/người trả và phiên bản hợp đồng tại lúc lập.</t>
        </is>
      </c>
    </row>
    <row r="131" ht="70" customHeight="1">
      <c r="A131" s="0" t="inlineStr">
        <is>
          <t xml:space="preserve">bill</t>
        </is>
      </c>
      <c r="B131" s="0" t="inlineStr">
        <is>
          <t xml:space="preserve">Lập và sửa bản nháp hóa đơn</t>
        </is>
      </c>
      <c r="C131" s="0" t="inlineStr">
        <is>
          <t xml:space="preserve">UI</t>
        </is>
      </c>
      <c r="D131" s="0" t="inlineStr">
        <is>
          <t xml:space="preserve">Tổng = tiền thuê + dịch vụ + khoản khác − giảm trừ, không được âm; người chưa ACTIVE không tính vào dịch vụ theo người.</t>
        </is>
      </c>
    </row>
    <row r="132" ht="70" customHeight="1">
      <c r="A132" s="2" t="inlineStr">
        <is>
          <t xml:space="preserve">pay-invoice</t>
        </is>
      </c>
      <c r="B132" s="2" t="inlineStr">
        <is>
          <t xml:space="preserve">Phát hành, thu tiền, hủy và hóa đơn quá hạn</t>
        </is>
      </c>
      <c r="C132" s="2" t="inlineStr">
        <is>
          <t xml:space="preserve">PROC</t>
        </is>
      </c>
      <c r="D132" s="2" t="inlineStr">
        <is>
          <t xml:space="preserve">Trigger cấm sửa/xóa dòng tiền của hóa đơn đã phát hành; thay giá dịch vụ không cập nhật hóa đơn cũ.</t>
        </is>
      </c>
    </row>
    <row r="133" ht="70" customHeight="1">
      <c r="A133" s="0" t="inlineStr">
        <is>
          <t xml:space="preserve">pay-invoice</t>
        </is>
      </c>
      <c r="B133" s="0" t="inlineStr">
        <is>
          <t xml:space="preserve">Phát hành, thu tiền, hủy và hóa đơn quá hạn</t>
        </is>
      </c>
      <c r="C133" s="0" t="inlineStr">
        <is>
          <t xml:space="preserve">DB</t>
        </is>
      </c>
      <c r="D133" s="0" t="inlineStr">
        <is>
          <t xml:space="preserve">PAID cần paid_by_id và paid_at; CANCELLED cần người/thời điểm/lý do. Hóa đơn thay thế phải cùng hợp đồng/kỳ theo FK.</t>
        </is>
      </c>
    </row>
    <row r="134" ht="70" customHeight="1">
      <c r="A134" s="2" t="inlineStr">
        <is>
          <t xml:space="preserve">pay-invoice</t>
        </is>
      </c>
      <c r="B134" s="2" t="inlineStr">
        <is>
          <t xml:space="preserve">Phát hành, thu tiền, hủy và hóa đơn quá hạn</t>
        </is>
      </c>
      <c r="C134" s="2" t="inlineStr">
        <is>
          <t xml:space="preserve">UI</t>
        </is>
      </c>
      <c r="D134" s="2" t="inlineStr">
        <is>
          <t xml:space="preserve">Demo cho chủ trọ ghi nhận thu toàn bộ; không có thanh toán trực tuyến hoặc thu một phần.</t>
        </is>
      </c>
    </row>
    <row r="135" ht="70" customHeight="1">
      <c r="A135" s="0" t="inlineStr">
        <is>
          <t xml:space="preserve">pay-invoice</t>
        </is>
      </c>
      <c r="B135" s="0" t="inlineStr">
        <is>
          <t xml:space="preserve">Phát hành, thu tiền, hủy và hóa đơn quá hạn</t>
        </is>
      </c>
      <c r="C135" s="0" t="inlineStr">
        <is>
          <t xml:space="preserve">UI</t>
        </is>
      </c>
      <c r="D135" s="0" t="inlineStr">
        <is>
          <t xml:space="preserve">Người trả cũ vẫn xem hóa đơn của mình sau bàn giao; kỳ mới lấy đại diện hiện tại.</t>
        </is>
      </c>
    </row>
    <row r="136" ht="70" customHeight="1">
      <c r="A136" s="2" t="inlineStr">
        <is>
          <t xml:space="preserve">review</t>
        </is>
      </c>
      <c r="B136" s="2" t="inlineStr">
        <is>
          <t xml:space="preserve">Đánh giá phòng theo bằng chứng đã thuê</t>
        </is>
      </c>
      <c r="C136" s="2" t="inlineStr">
        <is>
          <t xml:space="preserve">DB</t>
        </is>
      </c>
      <c r="D136" s="2" t="inlineStr">
        <is>
          <t xml:space="preserve">Rating từ 1 đến 5; UNIQUE (reviewer_id,room_id,contract_id). FK ghép tới room_tenants giữ đúng người-phòng-hợp đồng làm bằng chứng.</t>
        </is>
      </c>
    </row>
    <row r="137" ht="70" customHeight="1">
      <c r="A137" s="0" t="inlineStr">
        <is>
          <t xml:space="preserve">review</t>
        </is>
      </c>
      <c r="B137" s="0" t="inlineStr">
        <is>
          <t xml:space="preserve">Đánh giá phòng theo bằng chứng đã thuê</t>
        </is>
      </c>
      <c r="C137" s="0" t="inlineStr">
        <is>
          <t xml:space="preserve">UI</t>
        </is>
      </c>
      <c r="D137" s="0" t="inlineStr">
        <is>
          <t xml:space="preserve">Demo kiểm tra thành viên ACTIVE/LEFT và chống trùng contractId; mức chống trùng này chưa giống hoàn toàn cặp khóa SQL.</t>
        </is>
      </c>
    </row>
    <row r="138" ht="70" customHeight="1">
      <c r="A138" s="2" t="inlineStr">
        <is>
          <t xml:space="preserve">review</t>
        </is>
      </c>
      <c r="B138" s="2" t="inlineStr">
        <is>
          <t xml:space="preserve">Đánh giá phòng theo bằng chứng đã thuê</t>
        </is>
      </c>
      <c r="C138" s="2" t="inlineStr">
        <is>
          <t xml:space="preserve">API</t>
        </is>
      </c>
      <c r="D138" s="2" t="inlineStr">
        <is>
          <t xml:space="preserve">Điều kiện lúc nào được đánh giá, hạn sửa và kiểm duyệt cần được chốt/kiểm tra trên máy chủ; không khẳng định SQL đã áp dụng đủ chính sách này.</t>
        </is>
      </c>
    </row>
    <row r="139" ht="70" customHeight="1">
      <c r="A139" s="0" t="inlineStr">
        <is>
          <t xml:space="preserve">report</t>
        </is>
      </c>
      <c r="B139" s="0" t="inlineStr">
        <is>
          <t xml:space="preserve">Báo cáo vi phạm và kết luận xử lý</t>
        </is>
      </c>
      <c r="C139" s="0" t="inlineStr">
        <is>
          <t xml:space="preserve">DB</t>
        </is>
      </c>
      <c r="D139" s="0" t="inlineStr">
        <is>
          <t xml:space="preserve">Một report nhắm đúng một trong reported_user_id / reported_post_id / contract_id / roommate_request_id.</t>
        </is>
      </c>
    </row>
    <row r="140" ht="70" customHeight="1">
      <c r="A140" s="2" t="inlineStr">
        <is>
          <t xml:space="preserve">report</t>
        </is>
      </c>
      <c r="B140" s="2" t="inlineStr">
        <is>
          <t xml:space="preserve">Báo cáo vi phạm và kết luận xử lý</t>
        </is>
      </c>
      <c r="C140" s="2" t="inlineStr">
        <is>
          <t xml:space="preserve">DB</t>
        </is>
      </c>
      <c r="D140" s="2" t="inlineStr">
        <is>
          <t xml:space="preserve">RESOLVED/DISMISSED cần resolution, handled_by_id và handled_at; type thuộc VIOLATION/DISPUTE.</t>
        </is>
      </c>
    </row>
    <row r="141" ht="70" customHeight="1">
      <c r="A141" s="0" t="inlineStr">
        <is>
          <t xml:space="preserve">report</t>
        </is>
      </c>
      <c r="B141" s="0" t="inlineStr">
        <is>
          <t xml:space="preserve">Báo cáo vi phạm và kết luận xử lý</t>
        </is>
      </c>
      <c r="C141" s="0" t="inlineStr">
        <is>
          <t xml:space="preserve">API</t>
        </is>
      </c>
      <c r="D141" s="0" t="inlineStr">
        <is>
          <t xml:space="preserve">Chỉ người có quyền đọc đối tượng mới gửi/xem dữ liệu tương ứng; bằng chứng báo cáo là tệp riêng tư.</t>
        </is>
      </c>
    </row>
    <row r="142" ht="70" customHeight="1">
      <c r="A142" s="2" t="inlineStr">
        <is>
          <t xml:space="preserve">report</t>
        </is>
      </c>
      <c r="B142" s="2" t="inlineStr">
        <is>
          <t xml:space="preserve">Báo cáo vi phạm và kết luận xử lý</t>
        </is>
      </c>
      <c r="C142" s="2" t="inlineStr">
        <is>
          <t xml:space="preserve">UI</t>
        </is>
      </c>
      <c r="D142" s="2" t="inlineStr">
        <is>
          <t xml:space="preserve">Kết luận báo cáo không tự ẩn bài hoặc khóa tài khoản; đó là quyết định riêng có lý do.</t>
        </is>
      </c>
    </row>
    <row r="143" ht="70" customHeight="1">
      <c r="A143" s="0" t="inlineStr">
        <is>
          <t xml:space="preserve">lock-account</t>
        </is>
      </c>
      <c r="B143" s="0" t="inlineStr">
        <is>
          <t xml:space="preserve">Khóa và mở khóa tài khoản</t>
        </is>
      </c>
      <c r="C143" s="0" t="inlineStr">
        <is>
          <t xml:space="preserve">DB</t>
        </is>
      </c>
      <c r="D143" s="0" t="inlineStr">
        <is>
          <t xml:space="preserve">users lưu locked_at, locked_by_id, lock_reason và trạng thái hợp lệ.</t>
        </is>
      </c>
    </row>
    <row r="144" ht="70" customHeight="1">
      <c r="A144" s="2" t="inlineStr">
        <is>
          <t xml:space="preserve">lock-account</t>
        </is>
      </c>
      <c r="B144" s="2" t="inlineStr">
        <is>
          <t xml:space="preserve">Khóa và mở khóa tài khoản</t>
        </is>
      </c>
      <c r="C144" s="2" t="inlineStr">
        <is>
          <t xml:space="preserve">UI</t>
        </is>
      </c>
      <c r="D144" s="2" t="inlineStr">
        <is>
          <t xml:space="preserve">Khóa/mở cần lý do; các kiểm tra ở demo chưa bao phủ toàn bộ handler như middleware máy chủ.</t>
        </is>
      </c>
    </row>
    <row r="145" ht="70" customHeight="1">
      <c r="A145" s="0" t="inlineStr">
        <is>
          <t xml:space="preserve">lock-account</t>
        </is>
      </c>
      <c r="B145" s="0" t="inlineStr">
        <is>
          <t xml:space="preserve">Khóa và mở khóa tài khoản</t>
        </is>
      </c>
      <c r="C145" s="0" t="inlineStr">
        <is>
          <t xml:space="preserve">API</t>
        </is>
      </c>
      <c r="D145" s="0" t="inlineStr">
        <is>
          <t xml:space="preserve">Không chỉ ẩn nút: chặn request, xử lý phiên đang mở và kiểm soát quyền quản trị trên máy chủ.</t>
        </is>
      </c>
    </row>
    <row r="146" ht="70" customHeight="1">
      <c r="A146" s="2" t="inlineStr">
        <is>
          <t xml:space="preserve">templates</t>
        </is>
      </c>
      <c r="B146" s="2" t="inlineStr">
        <is>
          <t xml:space="preserve">Mẫu hợp đồng và phiên bản mẫu</t>
        </is>
      </c>
      <c r="C146" s="2" t="inlineStr">
        <is>
          <t xml:space="preserve">DB</t>
        </is>
      </c>
      <c r="D146" s="2" t="inlineStr">
        <is>
          <t xml:space="preserve">Mẫu có tên/phiên bản duy nhất, phiên bản &gt; 0 và nội dung, các hợp đồng tham chiếu mẫu/phiên bản qua contract_revisions.</t>
        </is>
      </c>
    </row>
    <row r="147" ht="70" customHeight="1">
      <c r="A147" s="0" t="inlineStr">
        <is>
          <t xml:space="preserve">templates</t>
        </is>
      </c>
      <c r="B147" s="0" t="inlineStr">
        <is>
          <t xml:space="preserve">Mẫu hợp đồng và phiên bản mẫu</t>
        </is>
      </c>
      <c r="C147" s="0" t="inlineStr">
        <is>
          <t xml:space="preserve">UI</t>
        </is>
      </c>
      <c r="D147" s="0" t="inlineStr">
        <is>
          <t xml:space="preserve">Không xóa phiên bản cũ chỉ vì tạo mẫu mới; chỉ dùng mẫu active để lập hợp đồng mới.</t>
        </is>
      </c>
    </row>
    <row r="148" ht="70" customHeight="1">
      <c r="A148" s="2" t="inlineStr">
        <is>
          <t xml:space="preserve">templates</t>
        </is>
      </c>
      <c r="B148" s="2" t="inlineStr">
        <is>
          <t xml:space="preserve">Mẫu hợp đồng và phiên bản mẫu</t>
        </is>
      </c>
      <c r="C148" s="2" t="inlineStr">
        <is>
          <t xml:space="preserve">API</t>
        </is>
      </c>
      <c r="D148" s="2" t="inlineStr">
        <is>
          <t xml:space="preserve">Kiểm tra quyền tạo/sửa/bật mẫu và lưu dấu vết người quản trị.</t>
        </is>
      </c>
    </row>
    <row r="149" ht="70" customHeight="1">
      <c r="A149" s="0" t="inlineStr">
        <is>
          <t xml:space="preserve">audit</t>
        </is>
      </c>
      <c r="B149" s="0" t="inlineStr">
        <is>
          <t xml:space="preserve">Nhật ký kiểm duyệt và truy vết thay đổi</t>
        </is>
      </c>
      <c r="C149" s="0" t="inlineStr">
        <is>
          <t xml:space="preserve">DB</t>
        </is>
      </c>
      <c r="D149" s="0" t="inlineStr">
        <is>
          <t xml:space="preserve">moderation_actions nhắm đúng một loại đối tượng; các FK giữ liên kết với đối tượng hợp lệ.</t>
        </is>
      </c>
    </row>
    <row r="150" ht="70" customHeight="1">
      <c r="A150" s="2" t="inlineStr">
        <is>
          <t xml:space="preserve">audit</t>
        </is>
      </c>
      <c r="B150" s="2" t="inlineStr">
        <is>
          <t xml:space="preserve">Nhật ký kiểm duyệt và truy vết thay đổi</t>
        </is>
      </c>
      <c r="C150" s="2" t="inlineStr">
        <is>
          <t xml:space="preserve">PROC</t>
        </is>
      </c>
      <c r="D150" s="2" t="inlineStr">
        <is>
          <t xml:space="preserve">Quyết định quyền nhà, audit và thông báo được ghi cùng giao dịch; không báo thành công khi ghi nửa chừng.</t>
        </is>
      </c>
    </row>
    <row r="151" ht="70" customHeight="1">
      <c r="A151" s="0" t="inlineStr">
        <is>
          <t xml:space="preserve">audit</t>
        </is>
      </c>
      <c r="B151" s="0" t="inlineStr">
        <is>
          <t xml:space="preserve">Nhật ký kiểm duyệt và truy vết thay đổi</t>
        </is>
      </c>
      <c r="C151" s="0" t="inlineStr">
        <is>
          <t xml:space="preserve">API</t>
        </is>
      </c>
      <c r="D151" s="0" t="inlineStr">
        <is>
          <t xml:space="preserve">API giới hạn quyền đọc/ghi nhật ký; audit không thay thế các bản ghi cư trú/phiên bản/đồng thuận gốc.</t>
        </is>
      </c>
    </row>
    <row r="152" ht="70" customHeight="1">
      <c r="A152" s="2" t="inlineStr">
        <is>
          <t xml:space="preserve">data-safety</t>
        </is>
      </c>
      <c r="B152" s="2" t="inlineStr">
        <is>
          <t xml:space="preserve">Ràng buộc chung, giao dịch và dữ liệu lịch sử</t>
        </is>
      </c>
      <c r="C152" s="2" t="inlineStr">
        <is>
          <t xml:space="preserve">PROC</t>
        </is>
      </c>
      <c r="D152" s="2" t="inlineStr">
        <is>
          <t xml:space="preserve">Dùng thủ tục công khai cho quy trình thuê/xác minh/bài chờ; không cấp quyền ghi tùy ý hoặc gọi helper _v5_* cho client.</t>
        </is>
      </c>
    </row>
    <row r="153" ht="70" customHeight="1">
      <c r="A153" s="0" t="inlineStr">
        <is>
          <t xml:space="preserve">data-safety</t>
        </is>
      </c>
      <c r="B153" s="0" t="inlineStr">
        <is>
          <t xml:space="preserve">Ràng buộc chung, giao dịch và dữ liệu lịch sử</t>
        </is>
      </c>
      <c r="C153" s="0" t="inlineStr">
        <is>
          <t xml:space="preserve">API</t>
        </is>
      </c>
      <c r="D153" s="0" t="inlineStr">
        <is>
          <t xml:space="preserve">Giờ lịch lưu UTC, hiển thị/diễn giải ngày nghiệp vụ theo Việt Nam. Lọc dữ liệu riêng tư trên máy chủ.</t>
        </is>
      </c>
    </row>
    <row r="154" ht="70" customHeight="1">
      <c r="A154" s="2" t="inlineStr">
        <is>
          <t xml:space="preserve">data-safety</t>
        </is>
      </c>
      <c r="B154" s="2" t="inlineStr">
        <is>
          <t xml:space="preserve">Ràng buộc chung, giao dịch và dữ liệu lịch sử</t>
        </is>
      </c>
      <c r="C154" s="2" t="inlineStr">
        <is>
          <t xml:space="preserve">DB</t>
        </is>
      </c>
      <c r="D154" s="2" t="inlineStr">
        <is>
          <t xml:space="preserve">Giữ lịch sử đã ký, hóa đơn đã phát hành, người trả cũ, đồng thuận và đại diện theo từng giai đoạn.</t>
        </is>
      </c>
    </row>
    <row r="155" ht="70" customHeight="1">
      <c r="A155" s="0" t="inlineStr">
        <is>
          <t xml:space="preserve">data-safety</t>
        </is>
      </c>
      <c r="B155" s="0" t="inlineStr">
        <is>
          <t xml:space="preserve">Ràng buộc chung, giao dịch và dữ liệu lịch sử</t>
        </is>
      </c>
      <c r="C155" s="0" t="inlineStr">
        <is>
          <t xml:space="preserve">UI</t>
        </is>
      </c>
      <c r="D155" s="0" t="inlineStr">
        <is>
          <t xml:space="preserve">Bản cũ thiếu thời điểm phải ghi chưa rõ, không tự đoán ngày ra/nhận đại diện hoặc mở lại hợp đồng đã kết thúc.</t>
        </is>
      </c>
    </row>
    <row r="156" ht="70" customHeight="1">
      <c r="A156" s="2" t="inlineStr">
        <is>
          <t xml:space="preserve">file-storage</t>
        </is>
      </c>
      <c r="B156" s="2" t="inlineStr">
        <is>
          <t xml:space="preserve">Tệp, quyền riêng tư và giới hạn lưu trữ</t>
        </is>
      </c>
      <c r="C156" s="2" t="inlineStr">
        <is>
          <t xml:space="preserve">DB</t>
        </is>
      </c>
      <c r="D156" s="2" t="inlineStr">
        <is>
          <t xml:space="preserve">storage_key duy nhất; size_bytes ≥ 0; ngoài AVATAR/POST_IMAGE, tài liệu bắt buộc PRIVATE.</t>
        </is>
      </c>
    </row>
    <row r="157" ht="70" customHeight="1">
      <c r="A157" s="0" t="inlineStr">
        <is>
          <t xml:space="preserve">file-storage</t>
        </is>
      </c>
      <c r="B157" s="0" t="inlineStr">
        <is>
          <t xml:space="preserve">Tệp, quyền riêng tư và giới hạn lưu trữ</t>
        </is>
      </c>
      <c r="C157" s="0" t="inlineStr">
        <is>
          <t xml:space="preserve">PROC</t>
        </is>
      </c>
      <c r="D157" s="0" t="inlineStr">
        <is>
          <t xml:space="preserve">Minh chứng nhà phải thuộc người nộp, ACTIVE, đúng purpose/loại và giới hạn tệp; tài liệu tham chiếu được bảo vệ bất biến/riêng tư.</t>
        </is>
      </c>
    </row>
    <row r="158" ht="70" customHeight="1">
      <c r="A158" s="2" t="inlineStr">
        <is>
          <t xml:space="preserve">file-storage</t>
        </is>
      </c>
      <c r="B158" s="2" t="inlineStr">
        <is>
          <t xml:space="preserve">Tệp, quyền riêng tư và giới hạn lưu trữ</t>
        </is>
      </c>
      <c r="C158" s="2" t="inlineStr">
        <is>
          <t xml:space="preserve">API</t>
        </is>
      </c>
      <c r="D158" s="2" t="inlineStr">
        <is>
          <t xml:space="preserve">Cần chính sách quét tệp, hạn lưu, tải xuống và xóa hợp lệ; không cho truy cập chỉ bằng đoán ID hoặc URL.</t>
        </is>
      </c>
    </row>
    <row r="159" ht="70" customHeight="1">
      <c r="A159" s="0" t="inlineStr">
        <is>
          <t xml:space="preserve">migration</t>
        </is>
      </c>
      <c r="B159" s="0" t="inlineStr">
        <is>
          <t xml:space="preserve">Tạo CSDL mới, nâng cấp và giới hạn triển khai</t>
        </is>
      </c>
      <c r="C159" s="0" t="inlineStr">
        <is>
          <t xml:space="preserve">DB</t>
        </is>
      </c>
      <c r="D159" s="0" t="inlineStr">
        <is>
          <t xml:space="preserve">DDL MySQL có implicit commit; không dùng --force để bỏ qua lỗi migration.</t>
        </is>
      </c>
    </row>
    <row r="160" ht="70" customHeight="1">
      <c r="A160" s="2" t="inlineStr">
        <is>
          <t xml:space="preserve">migration</t>
        </is>
      </c>
      <c r="B160" s="2" t="inlineStr">
        <is>
          <t xml:space="preserve">Tạo CSDL mới, nâng cấp và giới hạn triển khai</t>
        </is>
      </c>
      <c r="C160" s="2" t="inlineStr">
        <is>
          <t xml:space="preserve">PROC</t>
        </is>
      </c>
      <c r="D160" s="2" t="inlineStr">
        <is>
          <t xml:space="preserve">Nhà cũ không được tự cấp phê duyệt; hợp đồng/người ở/bài cũ được giữ và tin công khai cần xác minh nhà.</t>
        </is>
      </c>
    </row>
    <row r="161" ht="70" customHeight="1">
      <c r="A161" s="0" t="inlineStr">
        <is>
          <t xml:space="preserve">migration</t>
        </is>
      </c>
      <c r="B161" s="0" t="inlineStr">
        <is>
          <t xml:space="preserve">Tạo CSDL mới, nâng cấp và giới hạn triển khai</t>
        </is>
      </c>
      <c r="C161" s="0" t="inlineStr">
        <is>
          <t xml:space="preserve">API</t>
        </is>
      </c>
      <c r="D161" s="0" t="inlineStr">
        <is>
          <t xml:space="preserve">Ánh xạ dữ liệu demo sang SQL thay vì đưa nguyên JSON JavaScript vào bảng hoặc coi tài khoản mẫu là phiên đăng nhập.</t>
        </is>
      </c>
    </row>
  </sheetData>
  <autoFilter ref="A1:D161"/>
  <pageMargins left="0.25" right="0.25" top="0.5" bottom="0.5" header="0.2" footer="0.2"/>
  <pageSetup orientation="landscape" paperSize="9"/>
</worksheet>
</file>

<file path=xl/worksheets/sheet6.xml><?xml version="1.0" encoding="utf-8"?>
<worksheet xmlns="http://schemas.openxmlformats.org/spreadsheetml/2006/main" xmlns:r="http://schemas.openxmlformats.org/officeDocument/2006/relationships">
  <dimension ref="A1:G252"/>
  <sheetViews>
    <sheetView workbookViewId="0">
      <pane xSplit="0" ySplit="1" topLeftCell="A2" activePane="bottomRight" state="frozen"/>
    </sheetView>
  </sheetViews>
  <sheetFormatPr defaultRowHeight="20"/>
  <cols>
    <col min="1" max="1" width="24" customWidth="1"/>
    <col min="2" max="2" width="65" customWidth="1"/>
    <col min="3" max="3" width="32" customWidth="1"/>
    <col min="4" max="4" width="24" customWidth="1"/>
    <col min="5" max="5" width="24" customWidth="1"/>
    <col min="6" max="6" width="100" customWidth="1"/>
    <col min="7" max="7" width="65" customWidth="1"/>
  </cols>
  <sheetData>
    <row r="1" ht="36" customHeight="1">
      <c r="A1" s="1" t="inlineStr">
        <is>
          <t xml:space="preserve">API</t>
        </is>
      </c>
      <c r="B1" s="1" t="inlineStr">
        <is>
          <t xml:space="preserve">Method / path</t>
        </is>
      </c>
      <c r="C1" s="1" t="inlineStr">
        <is>
          <t xml:space="preserve">Field</t>
        </is>
      </c>
      <c r="D1" s="1" t="inlineStr">
        <is>
          <t xml:space="preserve">Type</t>
        </is>
      </c>
      <c r="E1" s="1" t="inlineStr">
        <is>
          <t xml:space="preserve">Bắt buộc</t>
        </is>
      </c>
      <c r="F1" s="1" t="inlineStr">
        <is>
          <t xml:space="preserve">Ràng buộc</t>
        </is>
      </c>
      <c r="G1" s="1" t="inlineStr">
        <is>
          <t xml:space="preserve">Ví dụ</t>
        </is>
      </c>
    </row>
    <row r="2" ht="70" customHeight="1">
      <c r="A2" s="2" t="inlineStr">
        <is>
          <t xml:space="preserve">API-001</t>
        </is>
      </c>
      <c r="B2" s="2" t="inlineStr">
        <is>
          <t xml:space="preserve">POST /auth/register</t>
        </is>
      </c>
      <c r="C2" s="2" t="inlineStr">
        <is>
          <t xml:space="preserve">fullName</t>
        </is>
      </c>
      <c r="D2" s="2" t="inlineStr">
        <is>
          <t xml:space="preserve">string</t>
        </is>
      </c>
      <c r="E2" s="2" t="inlineStr">
        <is>
          <t xml:space="preserve">Có</t>
        </is>
      </c>
      <c r="F2" s="2" t="inlineStr">
        <is>
          <t xml:space="preserve">1–150 ký tự.</t>
        </is>
      </c>
      <c r="G2" s="2" t="inlineStr">
        <is>
          <t xml:space="preserve">"Nguyễn Thị Lan"</t>
        </is>
      </c>
    </row>
    <row r="3" ht="70" customHeight="1">
      <c r="A3" s="0" t="inlineStr">
        <is>
          <t xml:space="preserve">API-001</t>
        </is>
      </c>
      <c r="B3" s="0" t="inlineStr">
        <is>
          <t xml:space="preserve">POST /auth/register</t>
        </is>
      </c>
      <c r="C3" s="0" t="inlineStr">
        <is>
          <t xml:space="preserve">email</t>
        </is>
      </c>
      <c r="D3" s="0" t="inlineStr">
        <is>
          <t xml:space="preserve">string</t>
        </is>
      </c>
      <c r="E3" s="0" t="inlineStr">
        <is>
          <t xml:space="preserve">Không</t>
        </is>
      </c>
      <c r="F3" s="0" t="inlineStr">
        <is>
          <t xml:space="preserve">Email chuẩn hóa, ≤150, duy nhất.</t>
        </is>
      </c>
      <c r="G3" s="0" t="inlineStr">
        <is>
          <t xml:space="preserve">""</t>
        </is>
      </c>
    </row>
    <row r="4" ht="70" customHeight="1">
      <c r="A4" s="2" t="inlineStr">
        <is>
          <t xml:space="preserve">API-001</t>
        </is>
      </c>
      <c r="B4" s="2" t="inlineStr">
        <is>
          <t xml:space="preserve">POST /auth/register</t>
        </is>
      </c>
      <c r="C4" s="2" t="inlineStr">
        <is>
          <t xml:space="preserve">phoneNumber</t>
        </is>
      </c>
      <c r="D4" s="2" t="inlineStr">
        <is>
          <t xml:space="preserve">string</t>
        </is>
      </c>
      <c r="E4" s="2" t="inlineStr">
        <is>
          <t xml:space="preserve">Không</t>
        </is>
      </c>
      <c r="F4" s="2" t="inlineStr">
        <is>
          <t xml:space="preserve">Chuẩn hóa số điện thoại, ≤20, duy nhất.</t>
        </is>
      </c>
      <c r="G4" s="2" t="inlineStr">
        <is>
          <t xml:space="preserve">"0901234567"</t>
        </is>
      </c>
    </row>
    <row r="5" ht="70" customHeight="1">
      <c r="A5" s="0" t="inlineStr">
        <is>
          <t xml:space="preserve">API-001</t>
        </is>
      </c>
      <c r="B5" s="0" t="inlineStr">
        <is>
          <t xml:space="preserve">POST /auth/register</t>
        </is>
      </c>
      <c r="C5" s="0" t="inlineStr">
        <is>
          <t xml:space="preserve">password</t>
        </is>
      </c>
      <c r="D5" s="0" t="inlineStr">
        <is>
          <t xml:space="preserve">string</t>
        </is>
      </c>
      <c r="E5" s="0" t="inlineStr">
        <is>
          <t xml:space="preserve">Có</t>
        </is>
      </c>
      <c r="F5" s="0" t="inlineStr">
        <is>
          <t xml:space="preserve">Chính sách mật khẩu backend; không log/lưu nguyên văn.</t>
        </is>
      </c>
      <c r="G5" s="0" t="inlineStr">
        <is>
          <t xml:space="preserve">"Example-only-change-me"</t>
        </is>
      </c>
    </row>
    <row r="6" ht="70" customHeight="1">
      <c r="A6" s="2" t="inlineStr">
        <is>
          <t xml:space="preserve">API-002</t>
        </is>
      </c>
      <c r="B6" s="2" t="inlineStr">
        <is>
          <t xml:space="preserve">POST /auth/login</t>
        </is>
      </c>
      <c r="C6" s="2" t="inlineStr">
        <is>
          <t xml:space="preserve">identifier</t>
        </is>
      </c>
      <c r="D6" s="2" t="inlineStr">
        <is>
          <t xml:space="preserve">string</t>
        </is>
      </c>
      <c r="E6" s="2" t="inlineStr">
        <is>
          <t xml:space="preserve">Có</t>
        </is>
      </c>
      <c r="F6" s="2" t="inlineStr">
        <is>
          <t xml:space="preserve">Email hoặc điện thoại đã chuẩn hóa.</t>
        </is>
      </c>
      <c r="G6" s="2" t="inlineStr">
        <is>
          <t xml:space="preserve">"0901234567"</t>
        </is>
      </c>
    </row>
    <row r="7" ht="70" customHeight="1">
      <c r="A7" s="0" t="inlineStr">
        <is>
          <t xml:space="preserve">API-002</t>
        </is>
      </c>
      <c r="B7" s="0" t="inlineStr">
        <is>
          <t xml:space="preserve">POST /auth/login</t>
        </is>
      </c>
      <c r="C7" s="0" t="inlineStr">
        <is>
          <t xml:space="preserve">password</t>
        </is>
      </c>
      <c r="D7" s="0" t="inlineStr">
        <is>
          <t xml:space="preserve">string</t>
        </is>
      </c>
      <c r="E7" s="0" t="inlineStr">
        <is>
          <t xml:space="preserve">Có</t>
        </is>
      </c>
      <c r="F7" s="0" t="inlineStr">
        <is>
          <t xml:space="preserve">So sánh hash an toàn.</t>
        </is>
      </c>
      <c r="G7" s="0" t="inlineStr">
        <is>
          <t xml:space="preserve">"Example-only-change-me"</t>
        </is>
      </c>
    </row>
    <row r="8" ht="70" customHeight="1">
      <c r="A8" s="2" t="inlineStr">
        <is>
          <t xml:space="preserve">API-004</t>
        </is>
      </c>
      <c r="B8" s="2" t="inlineStr">
        <is>
          <t xml:space="preserve">PATCH /me/profile</t>
        </is>
      </c>
      <c r="C8" s="2" t="inlineStr">
        <is>
          <t xml:space="preserve">fullName</t>
        </is>
      </c>
      <c r="D8" s="2" t="inlineStr">
        <is>
          <t xml:space="preserve">string</t>
        </is>
      </c>
      <c r="E8" s="2" t="inlineStr">
        <is>
          <t xml:space="preserve">Không</t>
        </is>
      </c>
      <c r="F8" s="2" t="inlineStr">
        <is>
          <t xml:space="preserve">1–150 ký tự sau trim.</t>
        </is>
      </c>
      <c r="G8" s="2" t="inlineStr">
        <is>
          <t xml:space="preserve">"Nguyễn Thị Lan"</t>
        </is>
      </c>
    </row>
    <row r="9" ht="70" customHeight="1">
      <c r="A9" s="0" t="inlineStr">
        <is>
          <t xml:space="preserve">API-004</t>
        </is>
      </c>
      <c r="B9" s="0" t="inlineStr">
        <is>
          <t xml:space="preserve">PATCH /me/profile</t>
        </is>
      </c>
      <c r="C9" s="0" t="inlineStr">
        <is>
          <t xml:space="preserve">address</t>
        </is>
      </c>
      <c r="D9" s="0" t="inlineStr">
        <is>
          <t xml:space="preserve">string</t>
        </is>
      </c>
      <c r="E9" s="0" t="inlineStr">
        <is>
          <t xml:space="preserve">Không</t>
        </is>
      </c>
      <c r="F9" s="0" t="inlineStr">
        <is>
          <t xml:space="preserve">Tối đa 500 ký tự.</t>
        </is>
      </c>
      <c r="G9" s="0" t="inlineStr">
        <is>
          <t xml:space="preserve">""</t>
        </is>
      </c>
    </row>
    <row r="10" ht="70" customHeight="1">
      <c r="A10" s="2" t="inlineStr">
        <is>
          <t xml:space="preserve">API-004</t>
        </is>
      </c>
      <c r="B10" s="2" t="inlineStr">
        <is>
          <t xml:space="preserve">PATCH /me/profile</t>
        </is>
      </c>
      <c r="C10" s="2" t="inlineStr">
        <is>
          <t xml:space="preserve">gender</t>
        </is>
      </c>
      <c r="D10" s="2" t="inlineStr">
        <is>
          <t xml:space="preserve">string</t>
        </is>
      </c>
      <c r="E10" s="2" t="inlineStr">
        <is>
          <t xml:space="preserve">Không</t>
        </is>
      </c>
      <c r="F10" s="2" t="inlineStr">
        <is>
          <t xml:space="preserve">Tối đa 30 ký tự.</t>
        </is>
      </c>
      <c r="G10" s="2" t="inlineStr">
        <is>
          <t xml:space="preserve">""</t>
        </is>
      </c>
    </row>
    <row r="11" ht="70" customHeight="1">
      <c r="A11" s="0" t="inlineStr">
        <is>
          <t xml:space="preserve">API-004</t>
        </is>
      </c>
      <c r="B11" s="0" t="inlineStr">
        <is>
          <t xml:space="preserve">PATCH /me/profile</t>
        </is>
      </c>
      <c r="C11" s="0" t="inlineStr">
        <is>
          <t xml:space="preserve">occupation</t>
        </is>
      </c>
      <c r="D11" s="0" t="inlineStr">
        <is>
          <t xml:space="preserve">string</t>
        </is>
      </c>
      <c r="E11" s="0" t="inlineStr">
        <is>
          <t xml:space="preserve">Không</t>
        </is>
      </c>
      <c r="F11" s="0" t="inlineStr">
        <is>
          <t xml:space="preserve">Tối đa 150 ký tự.</t>
        </is>
      </c>
      <c r="G11" s="0" t="inlineStr">
        <is>
          <t xml:space="preserve">""</t>
        </is>
      </c>
    </row>
    <row r="12" ht="70" customHeight="1">
      <c r="A12" s="2" t="inlineStr">
        <is>
          <t xml:space="preserve">API-004</t>
        </is>
      </c>
      <c r="B12" s="2" t="inlineStr">
        <is>
          <t xml:space="preserve">PATCH /me/profile</t>
        </is>
      </c>
      <c r="C12" s="2" t="inlineStr">
        <is>
          <t xml:space="preserve">university</t>
        </is>
      </c>
      <c r="D12" s="2" t="inlineStr">
        <is>
          <t xml:space="preserve">string</t>
        </is>
      </c>
      <c r="E12" s="2" t="inlineStr">
        <is>
          <t xml:space="preserve">Không</t>
        </is>
      </c>
      <c r="F12" s="2" t="inlineStr">
        <is>
          <t xml:space="preserve">Tối đa 200 ký tự.</t>
        </is>
      </c>
      <c r="G12" s="2" t="inlineStr">
        <is>
          <t xml:space="preserve">""</t>
        </is>
      </c>
    </row>
    <row r="13" ht="70" customHeight="1">
      <c r="A13" s="0" t="inlineStr">
        <is>
          <t xml:space="preserve">API-004</t>
        </is>
      </c>
      <c r="B13" s="0" t="inlineStr">
        <is>
          <t xml:space="preserve">PATCH /me/profile</t>
        </is>
      </c>
      <c r="C13" s="0" t="inlineStr">
        <is>
          <t xml:space="preserve">bio</t>
        </is>
      </c>
      <c r="D13" s="0" t="inlineStr">
        <is>
          <t xml:space="preserve">string</t>
        </is>
      </c>
      <c r="E13" s="0" t="inlineStr">
        <is>
          <t xml:space="preserve">Không</t>
        </is>
      </c>
      <c r="F13" s="0" t="inlineStr">
        <is>
          <t xml:space="preserve">Giới hạn API cần cấu hình; SQL TEXT.</t>
        </is>
      </c>
      <c r="G13" s="0" t="inlineStr">
        <is>
          <t xml:space="preserve">""</t>
        </is>
      </c>
    </row>
    <row r="14" ht="70" customHeight="1">
      <c r="A14" s="2" t="inlineStr">
        <is>
          <t xml:space="preserve">API-004</t>
        </is>
      </c>
      <c r="B14" s="2" t="inlineStr">
        <is>
          <t xml:space="preserve">PATCH /me/profile</t>
        </is>
      </c>
      <c r="C14" s="2" t="inlineStr">
        <is>
          <t xml:space="preserve">avatarFileId</t>
        </is>
      </c>
      <c r="D14" s="2" t="inlineStr">
        <is>
          <t xml:space="preserve">id</t>
        </is>
      </c>
      <c r="E14" s="2" t="inlineStr">
        <is>
          <t xml:space="preserve">Không</t>
        </is>
      </c>
      <c r="F14" s="2" t="inlineStr">
        <is>
          <t xml:space="preserve">Tệp AVATAR ACTIVE thuộc người dùng.</t>
        </is>
      </c>
      <c r="G14" s="2" t="inlineStr">
        <is>
          <t xml:space="preserve">""</t>
        </is>
      </c>
    </row>
    <row r="15" ht="70" customHeight="1">
      <c r="A15" s="0" t="inlineStr">
        <is>
          <t xml:space="preserve">API-005</t>
        </is>
      </c>
      <c r="B15" s="0" t="inlineStr">
        <is>
          <t xml:space="preserve">PATCH /me/notification-settings</t>
        </is>
      </c>
      <c r="C15" s="0" t="inlineStr">
        <is>
          <t xml:space="preserve">inAppEnabled</t>
        </is>
      </c>
      <c r="D15" s="0" t="inlineStr">
        <is>
          <t xml:space="preserve">boolean</t>
        </is>
      </c>
      <c r="E15" s="0" t="inlineStr">
        <is>
          <t xml:space="preserve">Không</t>
        </is>
      </c>
      <c r="F15" s="0" t="inlineStr">
        <is>
          <t xml:space="preserve">Ít nhất một field.</t>
        </is>
      </c>
      <c r="G15" s="0" t="inlineStr">
        <is>
          <t xml:space="preserve">true</t>
        </is>
      </c>
    </row>
    <row r="16" ht="70" customHeight="1">
      <c r="A16" s="2" t="inlineStr">
        <is>
          <t xml:space="preserve">API-005</t>
        </is>
      </c>
      <c r="B16" s="2" t="inlineStr">
        <is>
          <t xml:space="preserve">PATCH /me/notification-settings</t>
        </is>
      </c>
      <c r="C16" s="2" t="inlineStr">
        <is>
          <t xml:space="preserve">emailEnabled</t>
        </is>
      </c>
      <c r="D16" s="2" t="inlineStr">
        <is>
          <t xml:space="preserve">boolean</t>
        </is>
      </c>
      <c r="E16" s="2" t="inlineStr">
        <is>
          <t xml:space="preserve">Không</t>
        </is>
      </c>
      <c r="F16" s="2" t="inlineStr">
        <is>
          <t xml:space="preserve">Chỉ bật kênh backend hỗ trợ.</t>
        </is>
      </c>
      <c r="G16" s="2" t="inlineStr">
        <is>
          <t xml:space="preserve">""</t>
        </is>
      </c>
    </row>
    <row r="17" ht="70" customHeight="1">
      <c r="A17" s="0" t="inlineStr">
        <is>
          <t xml:space="preserve">API-005</t>
        </is>
      </c>
      <c r="B17" s="0" t="inlineStr">
        <is>
          <t xml:space="preserve">PATCH /me/notification-settings</t>
        </is>
      </c>
      <c r="C17" s="0" t="inlineStr">
        <is>
          <t xml:space="preserve">pushEnabled</t>
        </is>
      </c>
      <c r="D17" s="0" t="inlineStr">
        <is>
          <t xml:space="preserve">boolean</t>
        </is>
      </c>
      <c r="E17" s="0" t="inlineStr">
        <is>
          <t xml:space="preserve">Không</t>
        </is>
      </c>
      <c r="F17" s="0" t="inlineStr">
        <is>
          <t xml:space="preserve">Push delivery cần provider/device registry bổ sung.</t>
        </is>
      </c>
      <c r="G17" s="0" t="inlineStr">
        <is>
          <t xml:space="preserve">""</t>
        </is>
      </c>
    </row>
    <row r="18" ht="70" customHeight="1">
      <c r="A18" s="2" t="inlineStr">
        <is>
          <t xml:space="preserve">API-006</t>
        </is>
      </c>
      <c r="B18" s="2" t="inlineStr">
        <is>
          <t xml:space="preserve">POST /me/identity-verifications</t>
        </is>
      </c>
      <c r="C18" s="2" t="inlineStr">
        <is>
          <t xml:space="preserve">identityNumber</t>
        </is>
      </c>
      <c r="D18" s="2" t="inlineStr">
        <is>
          <t xml:space="preserve">string</t>
        </is>
      </c>
      <c r="E18" s="2" t="inlineStr">
        <is>
          <t xml:space="preserve">Có</t>
        </is>
      </c>
      <c r="F18" s="2" t="inlineStr">
        <is>
          <t xml:space="preserve">1–30 ký tự, xử lý như dữ liệu riêng tư.</t>
        </is>
      </c>
      <c r="G18" s="2" t="inlineStr">
        <is>
          <t xml:space="preserve">"012345678901"</t>
        </is>
      </c>
    </row>
    <row r="19" ht="70" customHeight="1">
      <c r="A19" s="0" t="inlineStr">
        <is>
          <t xml:space="preserve">API-006</t>
        </is>
      </c>
      <c r="B19" s="0" t="inlineStr">
        <is>
          <t xml:space="preserve">POST /me/identity-verifications</t>
        </is>
      </c>
      <c r="C19" s="0" t="inlineStr">
        <is>
          <t xml:space="preserve">identityFileId</t>
        </is>
      </c>
      <c r="D19" s="0" t="inlineStr">
        <is>
          <t xml:space="preserve">id</t>
        </is>
      </c>
      <c r="E19" s="0" t="inlineStr">
        <is>
          <t xml:space="preserve">Có</t>
        </is>
      </c>
      <c r="F19" s="0" t="inlineStr">
        <is>
          <t xml:space="preserve">Tệp IDENTITY PRIVATE ACTIVE thuộc người nộp.</t>
        </is>
      </c>
      <c r="G19" s="0" t="inlineStr">
        <is>
          <t xml:space="preserve">"502"</t>
        </is>
      </c>
    </row>
    <row r="20" ht="70" customHeight="1">
      <c r="A20" s="2" t="inlineStr">
        <is>
          <t xml:space="preserve">API-009</t>
        </is>
      </c>
      <c r="B20" s="2" t="inlineStr">
        <is>
          <t xml:space="preserve">POST /me/landlord-verifications</t>
        </is>
      </c>
      <c r="C20" s="2" t="inlineStr">
        <is>
          <t xml:space="preserve">identityNumber</t>
        </is>
      </c>
      <c r="D20" s="2" t="inlineStr">
        <is>
          <t xml:space="preserve">string</t>
        </is>
      </c>
      <c r="E20" s="2" t="inlineStr">
        <is>
          <t xml:space="preserve">Có</t>
        </is>
      </c>
      <c r="F20" s="2" t="inlineStr">
        <is>
          <t xml:space="preserve">1–30 ký tự, xử lý như dữ liệu riêng tư.</t>
        </is>
      </c>
      <c r="G20" s="2" t="inlineStr">
        <is>
          <t xml:space="preserve">"012345678901"</t>
        </is>
      </c>
    </row>
    <row r="21" ht="70" customHeight="1">
      <c r="A21" s="0" t="inlineStr">
        <is>
          <t xml:space="preserve">API-009</t>
        </is>
      </c>
      <c r="B21" s="0" t="inlineStr">
        <is>
          <t xml:space="preserve">POST /me/landlord-verifications</t>
        </is>
      </c>
      <c r="C21" s="0" t="inlineStr">
        <is>
          <t xml:space="preserve">identityFileId</t>
        </is>
      </c>
      <c r="D21" s="0" t="inlineStr">
        <is>
          <t xml:space="preserve">id</t>
        </is>
      </c>
      <c r="E21" s="0" t="inlineStr">
        <is>
          <t xml:space="preserve">Có</t>
        </is>
      </c>
      <c r="F21" s="0" t="inlineStr">
        <is>
          <t xml:space="preserve">Tệp IDENTITY PRIVATE ACTIVE thuộc người nộp.</t>
        </is>
      </c>
      <c r="G21" s="0" t="inlineStr">
        <is>
          <t xml:space="preserve">"502"</t>
        </is>
      </c>
    </row>
    <row r="22" ht="70" customHeight="1">
      <c r="A22" s="2" t="inlineStr">
        <is>
          <t xml:space="preserve">API-014</t>
        </is>
      </c>
      <c r="B22" s="2" t="inlineStr">
        <is>
          <t xml:space="preserve">POST /admin/identity-verifications/{verificationId}/decision</t>
        </is>
      </c>
      <c r="C22" s="2" t="inlineStr">
        <is>
          <t xml:space="preserve">decision</t>
        </is>
      </c>
      <c r="D22" s="2" t="inlineStr">
        <is>
          <t xml:space="preserve">enum</t>
        </is>
      </c>
      <c r="E22" s="2" t="inlineStr">
        <is>
          <t xml:space="preserve">Có</t>
        </is>
      </c>
      <c r="F22" s="2" t="inlineStr">
        <is>
          <t xml:space="preserve">APPROVE hoặc REJECT.</t>
        </is>
      </c>
      <c r="G22" s="2" t="inlineStr">
        <is>
          <t xml:space="preserve">"APPROVE"</t>
        </is>
      </c>
    </row>
    <row r="23" ht="70" customHeight="1">
      <c r="A23" s="0" t="inlineStr">
        <is>
          <t xml:space="preserve">API-014</t>
        </is>
      </c>
      <c r="B23" s="0" t="inlineStr">
        <is>
          <t xml:space="preserve">POST /admin/identity-verifications/{verificationId}/decision</t>
        </is>
      </c>
      <c r="C23" s="0" t="inlineStr">
        <is>
          <t xml:space="preserve">reason</t>
        </is>
      </c>
      <c r="D23" s="0" t="inlineStr">
        <is>
          <t xml:space="preserve">string</t>
        </is>
      </c>
      <c r="E23" s="0" t="inlineStr">
        <is>
          <t xml:space="preserve">Không</t>
        </is>
      </c>
      <c r="F23" s="0" t="inlineStr">
        <is>
          <t xml:space="preserve">Bắt buộc khi REJECT; tối đa 1.000 ký tự.</t>
        </is>
      </c>
      <c r="G23" s="0" t="inlineStr">
        <is>
          <t xml:space="preserve">""</t>
        </is>
      </c>
    </row>
    <row r="24" ht="70" customHeight="1">
      <c r="A24" s="2" t="inlineStr">
        <is>
          <t xml:space="preserve">API-017</t>
        </is>
      </c>
      <c r="B24" s="2" t="inlineStr">
        <is>
          <t xml:space="preserve">POST /admin/landlord-verifications/{verificationId}/decision</t>
        </is>
      </c>
      <c r="C24" s="2" t="inlineStr">
        <is>
          <t xml:space="preserve">decision</t>
        </is>
      </c>
      <c r="D24" s="2" t="inlineStr">
        <is>
          <t xml:space="preserve">enum</t>
        </is>
      </c>
      <c r="E24" s="2" t="inlineStr">
        <is>
          <t xml:space="preserve">Có</t>
        </is>
      </c>
      <c r="F24" s="2" t="inlineStr">
        <is>
          <t xml:space="preserve">APPROVE hoặc REJECT.</t>
        </is>
      </c>
      <c r="G24" s="2" t="inlineStr">
        <is>
          <t xml:space="preserve">"APPROVE"</t>
        </is>
      </c>
    </row>
    <row r="25" ht="70" customHeight="1">
      <c r="A25" s="0" t="inlineStr">
        <is>
          <t xml:space="preserve">API-017</t>
        </is>
      </c>
      <c r="B25" s="0" t="inlineStr">
        <is>
          <t xml:space="preserve">POST /admin/landlord-verifications/{verificationId}/decision</t>
        </is>
      </c>
      <c r="C25" s="0" t="inlineStr">
        <is>
          <t xml:space="preserve">reason</t>
        </is>
      </c>
      <c r="D25" s="0" t="inlineStr">
        <is>
          <t xml:space="preserve">string</t>
        </is>
      </c>
      <c r="E25" s="0" t="inlineStr">
        <is>
          <t xml:space="preserve">Không</t>
        </is>
      </c>
      <c r="F25" s="0" t="inlineStr">
        <is>
          <t xml:space="preserve">Bắt buộc khi REJECT; tối đa 1.000 ký tự.</t>
        </is>
      </c>
      <c r="G25" s="0" t="inlineStr">
        <is>
          <t xml:space="preserve">""</t>
        </is>
      </c>
    </row>
    <row r="26" ht="70" customHeight="1">
      <c r="A26" s="2" t="inlineStr">
        <is>
          <t xml:space="preserve">API-022</t>
        </is>
      </c>
      <c r="B26" s="2" t="inlineStr">
        <is>
          <t xml:space="preserve">POST /auth/phone-verifications</t>
        </is>
      </c>
      <c r="C26" s="2" t="inlineStr">
        <is>
          <t xml:space="preserve">phoneNumber</t>
        </is>
      </c>
      <c r="D26" s="2" t="inlineStr">
        <is>
          <t xml:space="preserve">string</t>
        </is>
      </c>
      <c r="E26" s="2" t="inlineStr">
        <is>
          <t xml:space="preserve">Có</t>
        </is>
      </c>
      <c r="F26" s="2" t="inlineStr">
        <is>
          <t xml:space="preserve">Số chuẩn hóa ≤20 ký tự.</t>
        </is>
      </c>
      <c r="G26" s="2" t="inlineStr">
        <is>
          <t xml:space="preserve">"0901234567"</t>
        </is>
      </c>
    </row>
    <row r="27" ht="70" customHeight="1">
      <c r="A27" s="0" t="inlineStr">
        <is>
          <t xml:space="preserve">API-023</t>
        </is>
      </c>
      <c r="B27" s="0" t="inlineStr">
        <is>
          <t xml:space="preserve">POST /auth/phone-verifications/confirm</t>
        </is>
      </c>
      <c r="C27" s="0" t="inlineStr">
        <is>
          <t xml:space="preserve">selector</t>
        </is>
      </c>
      <c r="D27" s="0" t="inlineStr">
        <is>
          <t xml:space="preserve">uuid</t>
        </is>
      </c>
      <c r="E27" s="0" t="inlineStr">
        <is>
          <t xml:space="preserve">Có</t>
        </is>
      </c>
      <c r="F27" s="0" t="inlineStr">
        <is>
          <t xml:space="preserve">Token selector.</t>
        </is>
      </c>
      <c r="G27" s="0" t="inlineStr">
        <is>
          <t xml:space="preserve">"9cf1501e-e248-4b11-8d19-4b6cb7f923d1"</t>
        </is>
      </c>
    </row>
    <row r="28" ht="70" customHeight="1">
      <c r="A28" s="2" t="inlineStr">
        <is>
          <t xml:space="preserve">API-023</t>
        </is>
      </c>
      <c r="B28" s="2" t="inlineStr">
        <is>
          <t xml:space="preserve">POST /auth/phone-verifications/confirm</t>
        </is>
      </c>
      <c r="C28" s="2" t="inlineStr">
        <is>
          <t xml:space="preserve">code</t>
        </is>
      </c>
      <c r="D28" s="2" t="inlineStr">
        <is>
          <t xml:space="preserve">string</t>
        </is>
      </c>
      <c r="E28" s="2" t="inlineStr">
        <is>
          <t xml:space="preserve">Có</t>
        </is>
      </c>
      <c r="F28" s="2" t="inlineStr">
        <is>
          <t xml:space="preserve">Mã người dùng nhận; không log.</t>
        </is>
      </c>
      <c r="G28" s="2" t="inlineStr">
        <is>
          <t xml:space="preserve">"123456"</t>
        </is>
      </c>
    </row>
    <row r="29" ht="70" customHeight="1">
      <c r="A29" s="0" t="inlineStr">
        <is>
          <t xml:space="preserve">API-024</t>
        </is>
      </c>
      <c r="B29" s="0" t="inlineStr">
        <is>
          <t xml:space="preserve">POST /auth/password-resets</t>
        </is>
      </c>
      <c r="C29" s="0" t="inlineStr">
        <is>
          <t xml:space="preserve">identifier</t>
        </is>
      </c>
      <c r="D29" s="0" t="inlineStr">
        <is>
          <t xml:space="preserve">string</t>
        </is>
      </c>
      <c r="E29" s="0" t="inlineStr">
        <is>
          <t xml:space="preserve">Có</t>
        </is>
      </c>
      <c r="F29" s="0" t="inlineStr">
        <is>
          <t xml:space="preserve">Email/điện thoại.</t>
        </is>
      </c>
      <c r="G29" s="0" t="inlineStr">
        <is>
          <t xml:space="preserve">"0901234567"</t>
        </is>
      </c>
    </row>
    <row r="30" ht="70" customHeight="1">
      <c r="A30" s="2" t="inlineStr">
        <is>
          <t xml:space="preserve">API-025</t>
        </is>
      </c>
      <c r="B30" s="2" t="inlineStr">
        <is>
          <t xml:space="preserve">POST /auth/password-resets/verify</t>
        </is>
      </c>
      <c r="C30" s="2" t="inlineStr">
        <is>
          <t xml:space="preserve">selector</t>
        </is>
      </c>
      <c r="D30" s="2" t="inlineStr">
        <is>
          <t xml:space="preserve">uuid</t>
        </is>
      </c>
      <c r="E30" s="2" t="inlineStr">
        <is>
          <t xml:space="preserve">Có</t>
        </is>
      </c>
      <c r="F30" s="2" t="inlineStr">
        <is>
          <t xml:space="preserve">Token selector.</t>
        </is>
      </c>
      <c r="G30" s="2" t="inlineStr">
        <is>
          <t xml:space="preserve">"9cf1501e-e248-4b11-8d19-4b6cb7f923d1"</t>
        </is>
      </c>
    </row>
    <row r="31" ht="70" customHeight="1">
      <c r="A31" s="0" t="inlineStr">
        <is>
          <t xml:space="preserve">API-025</t>
        </is>
      </c>
      <c r="B31" s="0" t="inlineStr">
        <is>
          <t xml:space="preserve">POST /auth/password-resets/verify</t>
        </is>
      </c>
      <c r="C31" s="0" t="inlineStr">
        <is>
          <t xml:space="preserve">code</t>
        </is>
      </c>
      <c r="D31" s="0" t="inlineStr">
        <is>
          <t xml:space="preserve">string</t>
        </is>
      </c>
      <c r="E31" s="0" t="inlineStr">
        <is>
          <t xml:space="preserve">Có</t>
        </is>
      </c>
      <c r="F31" s="0" t="inlineStr">
        <is>
          <t xml:space="preserve">Mã người dùng nhận; không log.</t>
        </is>
      </c>
      <c r="G31" s="0" t="inlineStr">
        <is>
          <t xml:space="preserve">"123456"</t>
        </is>
      </c>
    </row>
    <row r="32" ht="70" customHeight="1">
      <c r="A32" s="2" t="inlineStr">
        <is>
          <t xml:space="preserve">API-026</t>
        </is>
      </c>
      <c r="B32" s="2" t="inlineStr">
        <is>
          <t xml:space="preserve">POST /auth/password-resets/complete</t>
        </is>
      </c>
      <c r="C32" s="2" t="inlineStr">
        <is>
          <t xml:space="preserve">resetGrant</t>
        </is>
      </c>
      <c r="D32" s="2" t="inlineStr">
        <is>
          <t xml:space="preserve">string</t>
        </is>
      </c>
      <c r="E32" s="2" t="inlineStr">
        <is>
          <t xml:space="preserve">Có</t>
        </is>
      </c>
      <c r="F32" s="2" t="inlineStr">
        <is>
          <t xml:space="preserve">Grant chưa tiêu thụ và còn hạn.</t>
        </is>
      </c>
      <c r="G32" s="2" t="inlineStr">
        <is>
          <t xml:space="preserve">"grant-example"</t>
        </is>
      </c>
    </row>
    <row r="33" ht="70" customHeight="1">
      <c r="A33" s="0" t="inlineStr">
        <is>
          <t xml:space="preserve">API-026</t>
        </is>
      </c>
      <c r="B33" s="0" t="inlineStr">
        <is>
          <t xml:space="preserve">POST /auth/password-resets/complete</t>
        </is>
      </c>
      <c r="C33" s="0" t="inlineStr">
        <is>
          <t xml:space="preserve">newPassword</t>
        </is>
      </c>
      <c r="D33" s="0" t="inlineStr">
        <is>
          <t xml:space="preserve">string</t>
        </is>
      </c>
      <c r="E33" s="0" t="inlineStr">
        <is>
          <t xml:space="preserve">Có</t>
        </is>
      </c>
      <c r="F33" s="0" t="inlineStr">
        <is>
          <t xml:space="preserve">Tuân chính sách backend.</t>
        </is>
      </c>
      <c r="G33" s="0" t="inlineStr">
        <is>
          <t xml:space="preserve">"Another-example-only-password"</t>
        </is>
      </c>
    </row>
    <row r="34" ht="70" customHeight="1">
      <c r="A34" s="2" t="inlineStr">
        <is>
          <t xml:space="preserve">API-028</t>
        </is>
      </c>
      <c r="B34" s="2" t="inlineStr">
        <is>
          <t xml:space="preserve">POST /me/residency-links</t>
        </is>
      </c>
      <c r="C34" s="2" t="inlineStr">
        <is>
          <t xml:space="preserve">selector</t>
        </is>
      </c>
      <c r="D34" s="2" t="inlineStr">
        <is>
          <t xml:space="preserve">uuid</t>
        </is>
      </c>
      <c r="E34" s="2" t="inlineStr">
        <is>
          <t xml:space="preserve">Có</t>
        </is>
      </c>
      <c r="F34" s="2" t="inlineStr">
        <is>
          <t xml:space="preserve">OCCUPANT_LINK còn hạn.</t>
        </is>
      </c>
      <c r="G34" s="2" t="inlineStr">
        <is>
          <t xml:space="preserve">"9cf1501e-e248-4b11-8d19-4b6cb7f923d1"</t>
        </is>
      </c>
    </row>
    <row r="35" ht="70" customHeight="1">
      <c r="A35" s="0" t="inlineStr">
        <is>
          <t xml:space="preserve">API-028</t>
        </is>
      </c>
      <c r="B35" s="0" t="inlineStr">
        <is>
          <t xml:space="preserve">POST /me/residency-links</t>
        </is>
      </c>
      <c r="C35" s="0" t="inlineStr">
        <is>
          <t xml:space="preserve">token</t>
        </is>
      </c>
      <c r="D35" s="0" t="inlineStr">
        <is>
          <t xml:space="preserve">string</t>
        </is>
      </c>
      <c r="E35" s="0" t="inlineStr">
        <is>
          <t xml:space="preserve">Có</t>
        </is>
      </c>
      <c r="F35" s="0" t="inlineStr">
        <is>
          <t xml:space="preserve">Mã được gửi tới đúng người.</t>
        </is>
      </c>
      <c r="G35" s="0" t="inlineStr">
        <is>
          <t xml:space="preserve">"example-link-token"</t>
        </is>
      </c>
    </row>
    <row r="36" ht="70" customHeight="1">
      <c r="A36" s="2" t="inlineStr">
        <is>
          <t xml:space="preserve">API-030</t>
        </is>
      </c>
      <c r="B36" s="2" t="inlineStr">
        <is>
          <t xml:space="preserve">POST /houses</t>
        </is>
      </c>
      <c r="C36" s="2" t="inlineStr">
        <is>
          <t xml:space="preserve">name</t>
        </is>
      </c>
      <c r="D36" s="2" t="inlineStr">
        <is>
          <t xml:space="preserve">string</t>
        </is>
      </c>
      <c r="E36" s="2" t="inlineStr">
        <is>
          <t xml:space="preserve">Có</t>
        </is>
      </c>
      <c r="F36" s="2" t="inlineStr">
        <is>
          <t xml:space="preserve">1–150 ký tự.</t>
        </is>
      </c>
      <c r="G36" s="2" t="inlineStr">
        <is>
          <t xml:space="preserve">"Nhà trọ Bình An"</t>
        </is>
      </c>
    </row>
    <row r="37" ht="70" customHeight="1">
      <c r="A37" s="0" t="inlineStr">
        <is>
          <t xml:space="preserve">API-030</t>
        </is>
      </c>
      <c r="B37" s="0" t="inlineStr">
        <is>
          <t xml:space="preserve">POST /houses</t>
        </is>
      </c>
      <c r="C37" s="0" t="inlineStr">
        <is>
          <t xml:space="preserve">address</t>
        </is>
      </c>
      <c r="D37" s="0" t="inlineStr">
        <is>
          <t xml:space="preserve">string</t>
        </is>
      </c>
      <c r="E37" s="0" t="inlineStr">
        <is>
          <t xml:space="preserve">Có</t>
        </is>
      </c>
      <c r="F37" s="0" t="inlineStr">
        <is>
          <t xml:space="preserve">1–500 ký tự.</t>
        </is>
      </c>
      <c r="G37" s="0" t="inlineStr">
        <is>
          <t xml:space="preserve">"12 Nguyễn Văn Cừ"</t>
        </is>
      </c>
    </row>
    <row r="38" ht="70" customHeight="1">
      <c r="A38" s="2" t="inlineStr">
        <is>
          <t xml:space="preserve">API-030</t>
        </is>
      </c>
      <c r="B38" s="2" t="inlineStr">
        <is>
          <t xml:space="preserve">POST /houses</t>
        </is>
      </c>
      <c r="C38" s="2" t="inlineStr">
        <is>
          <t xml:space="preserve">provinceCode</t>
        </is>
      </c>
      <c r="D38" s="2" t="inlineStr">
        <is>
          <t xml:space="preserve">string</t>
        </is>
      </c>
      <c r="E38" s="2" t="inlineStr">
        <is>
          <t xml:space="preserve">Có</t>
        </is>
      </c>
      <c r="F38" s="2" t="inlineStr">
        <is>
          <t xml:space="preserve">Mã tỉnh từ danh mục được backend cấu hình; tối đa 30 ký tự.</t>
        </is>
      </c>
      <c r="G38" s="2" t="inlineStr">
        <is>
          <t xml:space="preserve">"79"</t>
        </is>
      </c>
    </row>
    <row r="39" ht="70" customHeight="1">
      <c r="A39" s="0" t="inlineStr">
        <is>
          <t xml:space="preserve">API-032</t>
        </is>
      </c>
      <c r="B39" s="0" t="inlineStr">
        <is>
          <t xml:space="preserve">PATCH /houses/{houseId}</t>
        </is>
      </c>
      <c r="C39" s="0" t="inlineStr">
        <is>
          <t xml:space="preserve">name</t>
        </is>
      </c>
      <c r="D39" s="0" t="inlineStr">
        <is>
          <t xml:space="preserve">string</t>
        </is>
      </c>
      <c r="E39" s="0" t="inlineStr">
        <is>
          <t xml:space="preserve">Không</t>
        </is>
      </c>
      <c r="F39" s="0" t="inlineStr">
        <is>
          <t xml:space="preserve">1–150 ký tự.</t>
        </is>
      </c>
      <c r="G39" s="0" t="inlineStr">
        <is>
          <t xml:space="preserve">"Nhà trọ Bình An"</t>
        </is>
      </c>
    </row>
    <row r="40" ht="70" customHeight="1">
      <c r="A40" s="2" t="inlineStr">
        <is>
          <t xml:space="preserve">API-032</t>
        </is>
      </c>
      <c r="B40" s="2" t="inlineStr">
        <is>
          <t xml:space="preserve">PATCH /houses/{houseId}</t>
        </is>
      </c>
      <c r="C40" s="2" t="inlineStr">
        <is>
          <t xml:space="preserve">address</t>
        </is>
      </c>
      <c r="D40" s="2" t="inlineStr">
        <is>
          <t xml:space="preserve">string</t>
        </is>
      </c>
      <c r="E40" s="2" t="inlineStr">
        <is>
          <t xml:space="preserve">Không</t>
        </is>
      </c>
      <c r="F40" s="2" t="inlineStr">
        <is>
          <t xml:space="preserve">1–500 ký tự.</t>
        </is>
      </c>
      <c r="G40" s="2" t="inlineStr">
        <is>
          <t xml:space="preserve">"12 Nguyễn Văn Cừ"</t>
        </is>
      </c>
    </row>
    <row r="41" ht="70" customHeight="1">
      <c r="A41" s="0" t="inlineStr">
        <is>
          <t xml:space="preserve">API-032</t>
        </is>
      </c>
      <c r="B41" s="0" t="inlineStr">
        <is>
          <t xml:space="preserve">PATCH /houses/{houseId}</t>
        </is>
      </c>
      <c r="C41" s="0" t="inlineStr">
        <is>
          <t xml:space="preserve">provinceCode</t>
        </is>
      </c>
      <c r="D41" s="0" t="inlineStr">
        <is>
          <t xml:space="preserve">string</t>
        </is>
      </c>
      <c r="E41" s="0" t="inlineStr">
        <is>
          <t xml:space="preserve">Không</t>
        </is>
      </c>
      <c r="F41" s="0" t="inlineStr">
        <is>
          <t xml:space="preserve">Mã tỉnh từ danh mục được backend cấu hình; tối đa 30 ký tự.</t>
        </is>
      </c>
      <c r="G41" s="0" t="inlineStr">
        <is>
          <t xml:space="preserve">"79"</t>
        </is>
      </c>
    </row>
    <row r="42" ht="70" customHeight="1">
      <c r="A42" s="2" t="inlineStr">
        <is>
          <t xml:space="preserve">API-032</t>
        </is>
      </c>
      <c r="B42" s="2" t="inlineStr">
        <is>
          <t xml:space="preserve">PATCH /houses/{houseId}</t>
        </is>
      </c>
      <c r="C42" s="2" t="inlineStr">
        <is>
          <t xml:space="preserve">localityCode</t>
        </is>
      </c>
      <c r="D42" s="2" t="inlineStr">
        <is>
          <t xml:space="preserve">string</t>
        </is>
      </c>
      <c r="E42" s="2" t="inlineStr">
        <is>
          <t xml:space="preserve">Không</t>
        </is>
      </c>
      <c r="F42" s="2" t="inlineStr">
        <is>
          <t xml:space="preserve">Tối đa 30 ký tự; cùng tỉnh.</t>
        </is>
      </c>
      <c r="G42" s="2" t="inlineStr">
        <is>
          <t xml:space="preserve">""</t>
        </is>
      </c>
    </row>
    <row r="43" ht="70" customHeight="1">
      <c r="A43" s="0" t="inlineStr">
        <is>
          <t xml:space="preserve">API-032</t>
        </is>
      </c>
      <c r="B43" s="0" t="inlineStr">
        <is>
          <t xml:space="preserve">PATCH /houses/{houseId}</t>
        </is>
      </c>
      <c r="C43" s="0" t="inlineStr">
        <is>
          <t xml:space="preserve">areaLabel</t>
        </is>
      </c>
      <c r="D43" s="0" t="inlineStr">
        <is>
          <t xml:space="preserve">string</t>
        </is>
      </c>
      <c r="E43" s="0" t="inlineStr">
        <is>
          <t xml:space="preserve">Không</t>
        </is>
      </c>
      <c r="F43" s="0" t="inlineStr">
        <is>
          <t xml:space="preserve">Tối đa 150 ký tự.</t>
        </is>
      </c>
      <c r="G43" s="0" t="inlineStr">
        <is>
          <t xml:space="preserve">""</t>
        </is>
      </c>
    </row>
    <row r="44" ht="70" customHeight="1">
      <c r="A44" s="2" t="inlineStr">
        <is>
          <t xml:space="preserve">API-032</t>
        </is>
      </c>
      <c r="B44" s="2" t="inlineStr">
        <is>
          <t xml:space="preserve">PATCH /houses/{houseId}</t>
        </is>
      </c>
      <c r="C44" s="2" t="inlineStr">
        <is>
          <t xml:space="preserve">latitude</t>
        </is>
      </c>
      <c r="D44" s="2" t="inlineStr">
        <is>
          <t xml:space="preserve">decimal</t>
        </is>
      </c>
      <c r="E44" s="2" t="inlineStr">
        <is>
          <t xml:space="preserve">Không</t>
        </is>
      </c>
      <c r="F44" s="2" t="inlineStr">
        <is>
          <t xml:space="preserve">[-90,90]; phải có cả latitude và longitude hoặc cùng null.</t>
        </is>
      </c>
      <c r="G44" s="2" t="inlineStr">
        <is>
          <t xml:space="preserve">""</t>
        </is>
      </c>
    </row>
    <row r="45" ht="70" customHeight="1">
      <c r="A45" s="0" t="inlineStr">
        <is>
          <t xml:space="preserve">API-032</t>
        </is>
      </c>
      <c r="B45" s="0" t="inlineStr">
        <is>
          <t xml:space="preserve">PATCH /houses/{houseId}</t>
        </is>
      </c>
      <c r="C45" s="0" t="inlineStr">
        <is>
          <t xml:space="preserve">longitude</t>
        </is>
      </c>
      <c r="D45" s="0" t="inlineStr">
        <is>
          <t xml:space="preserve">decimal</t>
        </is>
      </c>
      <c r="E45" s="0" t="inlineStr">
        <is>
          <t xml:space="preserve">Không</t>
        </is>
      </c>
      <c r="F45" s="0" t="inlineStr">
        <is>
          <t xml:space="preserve">[-180,180]; tối đa 7 số thập phân.</t>
        </is>
      </c>
      <c r="G45" s="0" t="inlineStr">
        <is>
          <t xml:space="preserve">""</t>
        </is>
      </c>
    </row>
    <row r="46" ht="70" customHeight="1">
      <c r="A46" s="2" t="inlineStr">
        <is>
          <t xml:space="preserve">API-032</t>
        </is>
      </c>
      <c r="B46" s="2" t="inlineStr">
        <is>
          <t xml:space="preserve">PATCH /houses/{houseId}</t>
        </is>
      </c>
      <c r="C46" s="2" t="inlineStr">
        <is>
          <t xml:space="preserve">notes</t>
        </is>
      </c>
      <c r="D46" s="2" t="inlineStr">
        <is>
          <t xml:space="preserve">string</t>
        </is>
      </c>
      <c r="E46" s="2" t="inlineStr">
        <is>
          <t xml:space="preserve">Không</t>
        </is>
      </c>
      <c r="F46" s="2" t="inlineStr">
        <is>
          <t xml:space="preserve">Tối đa 2.000 ký tự.</t>
        </is>
      </c>
      <c r="G46" s="2" t="inlineStr">
        <is>
          <t xml:space="preserve">""</t>
        </is>
      </c>
    </row>
    <row r="47" ht="70" customHeight="1">
      <c r="A47" s="0" t="inlineStr">
        <is>
          <t xml:space="preserve">API-034</t>
        </is>
      </c>
      <c r="B47" s="0" t="inlineStr">
        <is>
          <t xml:space="preserve">POST /houses/{houseId}/verifications</t>
        </is>
      </c>
      <c r="C47" s="0" t="inlineStr">
        <is>
          <t xml:space="preserve">rightType</t>
        </is>
      </c>
      <c r="D47" s="0" t="inlineStr">
        <is>
          <t xml:space="preserve">enum</t>
        </is>
      </c>
      <c r="E47" s="0" t="inlineStr">
        <is>
          <t xml:space="preserve">Có</t>
        </is>
      </c>
      <c r="F47" s="0" t="inlineStr">
        <is>
          <t xml:space="preserve">OWNER / AUTHORIZED / SUBLESSOR.</t>
        </is>
      </c>
      <c r="G47" s="0" t="inlineStr">
        <is>
          <t xml:space="preserve">"OWNER"</t>
        </is>
      </c>
    </row>
    <row r="48" ht="70" customHeight="1">
      <c r="A48" s="2" t="inlineStr">
        <is>
          <t xml:space="preserve">API-034</t>
        </is>
      </c>
      <c r="B48" s="2" t="inlineStr">
        <is>
          <t xml:space="preserve">POST /houses/{houseId}/verifications</t>
        </is>
      </c>
      <c r="C48" s="2" t="inlineStr">
        <is>
          <t xml:space="preserve">scopeDescription</t>
        </is>
      </c>
      <c r="D48" s="2" t="inlineStr">
        <is>
          <t xml:space="preserve">string</t>
        </is>
      </c>
      <c r="E48" s="2" t="inlineStr">
        <is>
          <t xml:space="preserve">Có</t>
        </is>
      </c>
      <c r="F48" s="2" t="inlineStr">
        <is>
          <t xml:space="preserve">1–2.000 ký tự, phạm vi cho cả nhà.</t>
        </is>
      </c>
      <c r="G48" s="2" t="inlineStr">
        <is>
          <t xml:space="preserve">"Toàn bộ nhà và các phòng"</t>
        </is>
      </c>
    </row>
    <row r="49" ht="70" customHeight="1">
      <c r="A49" s="0" t="inlineStr">
        <is>
          <t xml:space="preserve">API-034</t>
        </is>
      </c>
      <c r="B49" s="0" t="inlineStr">
        <is>
          <t xml:space="preserve">POST /houses/{houseId}/verifications</t>
        </is>
      </c>
      <c r="C49" s="0" t="inlineStr">
        <is>
          <t xml:space="preserve">validFrom</t>
        </is>
      </c>
      <c r="D49" s="0" t="inlineStr">
        <is>
          <t xml:space="preserve">date</t>
        </is>
      </c>
      <c r="E49" s="0" t="inlineStr">
        <is>
          <t xml:space="preserve">Có</t>
        </is>
      </c>
      <c r="F49" s="0" t="inlineStr">
        <is>
          <t xml:space="preserve">Có thể nộp tương lai, chưa duyệt trước ngày này.</t>
        </is>
      </c>
      <c r="G49" s="0" t="inlineStr">
        <is>
          <t xml:space="preserve">"2026-10-29"</t>
        </is>
      </c>
    </row>
    <row r="50" ht="70" customHeight="1">
      <c r="A50" s="2" t="inlineStr">
        <is>
          <t xml:space="preserve">API-034</t>
        </is>
      </c>
      <c r="B50" s="2" t="inlineStr">
        <is>
          <t xml:space="preserve">POST /houses/{houseId}/verifications</t>
        </is>
      </c>
      <c r="C50" s="2" t="inlineStr">
        <is>
          <t xml:space="preserve">validUntil</t>
        </is>
      </c>
      <c r="D50" s="2" t="inlineStr">
        <is>
          <t xml:space="preserve">date</t>
        </is>
      </c>
      <c r="E50" s="2" t="inlineStr">
        <is>
          <t xml:space="preserve">Không</t>
        </is>
      </c>
      <c r="F50" s="2" t="inlineStr">
        <is>
          <t xml:space="preserve">Bắt buộc AUTHORIZED/SUBLESSOR; ≥ validFrom và không trước hôm nay.</t>
        </is>
      </c>
      <c r="G50" s="2" t="inlineStr">
        <is>
          <t xml:space="preserve">""</t>
        </is>
      </c>
    </row>
    <row r="51" ht="70" customHeight="1">
      <c r="A51" s="0" t="inlineStr">
        <is>
          <t xml:space="preserve">API-034</t>
        </is>
      </c>
      <c r="B51" s="0" t="inlineStr">
        <is>
          <t xml:space="preserve">POST /houses/{houseId}/verifications</t>
        </is>
      </c>
      <c r="C51" s="0" t="inlineStr">
        <is>
          <t xml:space="preserve">documents</t>
        </is>
      </c>
      <c r="D51" s="0" t="inlineStr">
        <is>
          <t xml:space="preserve">object[]</t>
        </is>
      </c>
      <c r="E51" s="0" t="inlineStr">
        <is>
          <t xml:space="preserve">Có</t>
        </is>
      </c>
      <c r="F51" s="0" t="inlineStr">
        <is>
          <t xml:space="preserve">1–8 phần tử {fileId,documentType}. OWNER: OWNER_PROOF; AUTHORIZED thêm AUTHORIZATION; SUBLESSOR: LEASE_AGREEMENT + SUBLET_CONSENT.</t>
        </is>
      </c>
      <c r="G51" s="0" t="inlineStr">
        <is>
          <t xml:space="preserve">[{"fileId": "503", "documentType": "OWNER_PROOF"}]</t>
        </is>
      </c>
    </row>
    <row r="52" ht="70" customHeight="1">
      <c r="A52" s="2" t="inlineStr">
        <is>
          <t xml:space="preserve">API-039</t>
        </is>
      </c>
      <c r="B52" s="2" t="inlineStr">
        <is>
          <t xml:space="preserve">POST /admin/house-verifications/{verificationId}/decision</t>
        </is>
      </c>
      <c r="C52" s="2" t="inlineStr">
        <is>
          <t xml:space="preserve">decision</t>
        </is>
      </c>
      <c r="D52" s="2" t="inlineStr">
        <is>
          <t xml:space="preserve">enum</t>
        </is>
      </c>
      <c r="E52" s="2" t="inlineStr">
        <is>
          <t xml:space="preserve">Có</t>
        </is>
      </c>
      <c r="F52" s="2" t="inlineStr">
        <is>
          <t xml:space="preserve">APPROVE hoặc REJECT.</t>
        </is>
      </c>
      <c r="G52" s="2" t="inlineStr">
        <is>
          <t xml:space="preserve">"APPROVE"</t>
        </is>
      </c>
    </row>
    <row r="53" ht="70" customHeight="1">
      <c r="A53" s="0" t="inlineStr">
        <is>
          <t xml:space="preserve">API-039</t>
        </is>
      </c>
      <c r="B53" s="0" t="inlineStr">
        <is>
          <t xml:space="preserve">POST /admin/house-verifications/{verificationId}/decision</t>
        </is>
      </c>
      <c r="C53" s="0" t="inlineStr">
        <is>
          <t xml:space="preserve">reason</t>
        </is>
      </c>
      <c r="D53" s="0" t="inlineStr">
        <is>
          <t xml:space="preserve">string</t>
        </is>
      </c>
      <c r="E53" s="0" t="inlineStr">
        <is>
          <t xml:space="preserve">Không</t>
        </is>
      </c>
      <c r="F53" s="0" t="inlineStr">
        <is>
          <t xml:space="preserve">Bắt buộc khi REJECT; tối đa 1.000 ký tự.</t>
        </is>
      </c>
      <c r="G53" s="0" t="inlineStr">
        <is>
          <t xml:space="preserve">""</t>
        </is>
      </c>
    </row>
    <row r="54" ht="70" customHeight="1">
      <c r="A54" s="2" t="inlineStr">
        <is>
          <t xml:space="preserve">API-039</t>
        </is>
      </c>
      <c r="B54" s="2" t="inlineStr">
        <is>
          <t xml:space="preserve">POST /admin/house-verifications/{verificationId}/decision</t>
        </is>
      </c>
      <c r="C54" s="2" t="inlineStr">
        <is>
          <t xml:space="preserve">evidenceChecked</t>
        </is>
      </c>
      <c r="D54" s="2" t="inlineStr">
        <is>
          <t xml:space="preserve">boolean</t>
        </is>
      </c>
      <c r="E54" s="2" t="inlineStr">
        <is>
          <t xml:space="preserve">Không</t>
        </is>
      </c>
      <c r="F54" s="2" t="inlineStr">
        <is>
          <t xml:space="preserve">Bắt buộc true khi APPROVE.</t>
        </is>
      </c>
      <c r="G54" s="2" t="inlineStr">
        <is>
          <t xml:space="preserve">true</t>
        </is>
      </c>
    </row>
    <row r="55" ht="70" customHeight="1">
      <c r="A55" s="0" t="inlineStr">
        <is>
          <t xml:space="preserve">API-040</t>
        </is>
      </c>
      <c r="B55" s="0" t="inlineStr">
        <is>
          <t xml:space="preserve">POST /admin/house-verifications/{verificationId}/revoke</t>
        </is>
      </c>
      <c r="C55" s="0" t="inlineStr">
        <is>
          <t xml:space="preserve">reason</t>
        </is>
      </c>
      <c r="D55" s="0" t="inlineStr">
        <is>
          <t xml:space="preserve">string</t>
        </is>
      </c>
      <c r="E55" s="0" t="inlineStr">
        <is>
          <t xml:space="preserve">Có</t>
        </is>
      </c>
      <c r="F55" s="0" t="inlineStr">
        <is>
          <t xml:space="preserve">Không chỉ khoảng trắng; tối đa 1.000 ký tự.</t>
        </is>
      </c>
      <c r="G55" s="0" t="inlineStr">
        <is>
          <t xml:space="preserve">"Người thuê thay đổi kế hoạch"</t>
        </is>
      </c>
    </row>
    <row r="56" ht="70" customHeight="1">
      <c r="A56" s="2" t="inlineStr">
        <is>
          <t xml:space="preserve">API-043</t>
        </is>
      </c>
      <c r="B56" s="2" t="inlineStr">
        <is>
          <t xml:space="preserve">POST /houses/{houseId}/rooms</t>
        </is>
      </c>
      <c r="C56" s="2" t="inlineStr">
        <is>
          <t xml:space="preserve">code</t>
        </is>
      </c>
      <c r="D56" s="2" t="inlineStr">
        <is>
          <t xml:space="preserve">string</t>
        </is>
      </c>
      <c r="E56" s="2" t="inlineStr">
        <is>
          <t xml:space="preserve">Có</t>
        </is>
      </c>
      <c r="F56" s="2" t="inlineStr">
        <is>
          <t xml:space="preserve">Ánh xạ room_number; không trùng trong nhà; tối đa 100 ký tự.</t>
        </is>
      </c>
      <c r="G56" s="2" t="inlineStr">
        <is>
          <t xml:space="preserve">"P101"</t>
        </is>
      </c>
    </row>
    <row r="57" ht="70" customHeight="1">
      <c r="A57" s="0" t="inlineStr">
        <is>
          <t xml:space="preserve">API-043</t>
        </is>
      </c>
      <c r="B57" s="0" t="inlineStr">
        <is>
          <t xml:space="preserve">POST /houses/{houseId}/rooms</t>
        </is>
      </c>
      <c r="C57" s="0" t="inlineStr">
        <is>
          <t xml:space="preserve">area</t>
        </is>
      </c>
      <c r="D57" s="0" t="inlineStr">
        <is>
          <t xml:space="preserve">decimal</t>
        </is>
      </c>
      <c r="E57" s="0" t="inlineStr">
        <is>
          <t xml:space="preserve">Có</t>
        </is>
      </c>
      <c r="F57" s="0" t="inlineStr">
        <is>
          <t xml:space="preserve">&gt; 0; tương thích DECIMAL(10,2).</t>
        </is>
      </c>
      <c r="G57" s="0" t="inlineStr">
        <is>
          <t xml:space="preserve">"22.00"</t>
        </is>
      </c>
    </row>
    <row r="58" ht="70" customHeight="1">
      <c r="A58" s="2" t="inlineStr">
        <is>
          <t xml:space="preserve">API-043</t>
        </is>
      </c>
      <c r="B58" s="2" t="inlineStr">
        <is>
          <t xml:space="preserve">POST /houses/{houseId}/rooms</t>
        </is>
      </c>
      <c r="C58" s="2" t="inlineStr">
        <is>
          <t xml:space="preserve">rentAmount</t>
        </is>
      </c>
      <c r="D58" s="2" t="inlineStr">
        <is>
          <t xml:space="preserve">money</t>
        </is>
      </c>
      <c r="E58" s="2" t="inlineStr">
        <is>
          <t xml:space="preserve">Có</t>
        </is>
      </c>
      <c r="F58" s="2" t="inlineStr">
        <is>
          <t xml:space="preserve">Ánh xạ rent_price; không âm; DECIMAL(15,2).</t>
        </is>
      </c>
      <c r="G58" s="2" t="inlineStr">
        <is>
          <t xml:space="preserve">"3800000.00"</t>
        </is>
      </c>
    </row>
    <row r="59" ht="70" customHeight="1">
      <c r="A59" s="0" t="inlineStr">
        <is>
          <t xml:space="preserve">API-043</t>
        </is>
      </c>
      <c r="B59" s="0" t="inlineStr">
        <is>
          <t xml:space="preserve">POST /houses/{houseId}/rooms</t>
        </is>
      </c>
      <c r="C59" s="0" t="inlineStr">
        <is>
          <t xml:space="preserve">depositAmount</t>
        </is>
      </c>
      <c r="D59" s="0" t="inlineStr">
        <is>
          <t xml:space="preserve">money</t>
        </is>
      </c>
      <c r="E59" s="0" t="inlineStr">
        <is>
          <t xml:space="preserve">Có</t>
        </is>
      </c>
      <c r="F59" s="0" t="inlineStr">
        <is>
          <t xml:space="preserve">Không âm; DECIMAL(15,2).</t>
        </is>
      </c>
      <c r="G59" s="0" t="inlineStr">
        <is>
          <t xml:space="preserve">"3800000.00"</t>
        </is>
      </c>
    </row>
    <row r="60" ht="70" customHeight="1">
      <c r="A60" s="2" t="inlineStr">
        <is>
          <t xml:space="preserve">API-043</t>
        </is>
      </c>
      <c r="B60" s="2" t="inlineStr">
        <is>
          <t xml:space="preserve">POST /houses/{houseId}/rooms</t>
        </is>
      </c>
      <c r="C60" s="2" t="inlineStr">
        <is>
          <t xml:space="preserve">capacity</t>
        </is>
      </c>
      <c r="D60" s="2" t="inlineStr">
        <is>
          <t xml:space="preserve">integer</t>
        </is>
      </c>
      <c r="E60" s="2" t="inlineStr">
        <is>
          <t xml:space="preserve">Có</t>
        </is>
      </c>
      <c r="F60" s="2" t="inlineStr">
        <is>
          <t xml:space="preserve">Ánh xạ max_occupants; số nguyên &gt; 0 và ≥ tải phòng hiện tại.</t>
        </is>
      </c>
      <c r="G60" s="2" t="inlineStr">
        <is>
          <t xml:space="preserve">2</t>
        </is>
      </c>
    </row>
    <row r="61" ht="70" customHeight="1">
      <c r="A61" s="0" t="inlineStr">
        <is>
          <t xml:space="preserve">API-043</t>
        </is>
      </c>
      <c r="B61" s="0" t="inlineStr">
        <is>
          <t xml:space="preserve">POST /houses/{houseId}/rooms</t>
        </is>
      </c>
      <c r="C61" s="0" t="inlineStr">
        <is>
          <t xml:space="preserve">status</t>
        </is>
      </c>
      <c r="D61" s="0" t="inlineStr">
        <is>
          <t xml:space="preserve">enum</t>
        </is>
      </c>
      <c r="E61" s="0" t="inlineStr">
        <is>
          <t xml:space="preserve">Có</t>
        </is>
      </c>
      <c r="F61" s="0" t="inlineStr">
        <is>
          <t xml:space="preserve">Chỉ chọn AVAILABLE/MAINTENANCE nếu không có người/chỗ/hợp đồng mở; RESERVED/OCCUPIED do nghiệp vụ tính.</t>
        </is>
      </c>
      <c r="G61" s="0" t="inlineStr">
        <is>
          <t xml:space="preserve">"AVAILABLE"</t>
        </is>
      </c>
    </row>
    <row r="62" ht="70" customHeight="1">
      <c r="A62" s="2" t="inlineStr">
        <is>
          <t xml:space="preserve">API-043</t>
        </is>
      </c>
      <c r="B62" s="2" t="inlineStr">
        <is>
          <t xml:space="preserve">POST /houses/{houseId}/rooms</t>
        </is>
      </c>
      <c r="C62" s="2" t="inlineStr">
        <is>
          <t xml:space="preserve">allowAdditionalOccupants</t>
        </is>
      </c>
      <c r="D62" s="2" t="inlineStr">
        <is>
          <t xml:space="preserve">boolean</t>
        </is>
      </c>
      <c r="E62" s="2" t="inlineStr">
        <is>
          <t xml:space="preserve">Không</t>
        </is>
      </c>
      <c r="F62" s="2" t="inlineStr">
        <is>
          <t xml:space="preserve">Ánh xạ allow_additional_occupants, điều kiện tiếp nhận thêm người.</t>
        </is>
      </c>
      <c r="G62" s="2" t="inlineStr">
        <is>
          <t xml:space="preserve">false</t>
        </is>
      </c>
    </row>
    <row r="63" ht="70" customHeight="1">
      <c r="A63" s="0" t="inlineStr">
        <is>
          <t xml:space="preserve">API-043</t>
        </is>
      </c>
      <c r="B63" s="0" t="inlineStr">
        <is>
          <t xml:space="preserve">POST /houses/{houseId}/rooms</t>
        </is>
      </c>
      <c r="C63" s="0" t="inlineStr">
        <is>
          <t xml:space="preserve">notes</t>
        </is>
      </c>
      <c r="D63" s="0" t="inlineStr">
        <is>
          <t xml:space="preserve">string</t>
        </is>
      </c>
      <c r="E63" s="0" t="inlineStr">
        <is>
          <t xml:space="preserve">Không</t>
        </is>
      </c>
      <c r="F63" s="0" t="inlineStr">
        <is>
          <t xml:space="preserve">Tối đa 2.000 ký tự.</t>
        </is>
      </c>
      <c r="G63" s="0" t="inlineStr">
        <is>
          <t xml:space="preserve">""</t>
        </is>
      </c>
    </row>
    <row r="64" ht="70" customHeight="1">
      <c r="A64" s="2" t="inlineStr">
        <is>
          <t xml:space="preserve">API-044</t>
        </is>
      </c>
      <c r="B64" s="2" t="inlineStr">
        <is>
          <t xml:space="preserve">PATCH /rooms/{roomId}</t>
        </is>
      </c>
      <c r="C64" s="2" t="inlineStr">
        <is>
          <t xml:space="preserve">code</t>
        </is>
      </c>
      <c r="D64" s="2" t="inlineStr">
        <is>
          <t xml:space="preserve">string</t>
        </is>
      </c>
      <c r="E64" s="2" t="inlineStr">
        <is>
          <t xml:space="preserve">Không</t>
        </is>
      </c>
      <c r="F64" s="2" t="inlineStr">
        <is>
          <t xml:space="preserve">Ánh xạ room_number; không trùng trong nhà; tối đa 100 ký tự.</t>
        </is>
      </c>
      <c r="G64" s="2" t="inlineStr">
        <is>
          <t xml:space="preserve">"P101"</t>
        </is>
      </c>
    </row>
    <row r="65" ht="70" customHeight="1">
      <c r="A65" s="0" t="inlineStr">
        <is>
          <t xml:space="preserve">API-044</t>
        </is>
      </c>
      <c r="B65" s="0" t="inlineStr">
        <is>
          <t xml:space="preserve">PATCH /rooms/{roomId}</t>
        </is>
      </c>
      <c r="C65" s="0" t="inlineStr">
        <is>
          <t xml:space="preserve">area</t>
        </is>
      </c>
      <c r="D65" s="0" t="inlineStr">
        <is>
          <t xml:space="preserve">decimal</t>
        </is>
      </c>
      <c r="E65" s="0" t="inlineStr">
        <is>
          <t xml:space="preserve">Không</t>
        </is>
      </c>
      <c r="F65" s="0" t="inlineStr">
        <is>
          <t xml:space="preserve">&gt; 0; tương thích DECIMAL(10,2).</t>
        </is>
      </c>
      <c r="G65" s="0" t="inlineStr">
        <is>
          <t xml:space="preserve">"22.00"</t>
        </is>
      </c>
    </row>
    <row r="66" ht="70" customHeight="1">
      <c r="A66" s="2" t="inlineStr">
        <is>
          <t xml:space="preserve">API-044</t>
        </is>
      </c>
      <c r="B66" s="2" t="inlineStr">
        <is>
          <t xml:space="preserve">PATCH /rooms/{roomId}</t>
        </is>
      </c>
      <c r="C66" s="2" t="inlineStr">
        <is>
          <t xml:space="preserve">rentAmount</t>
        </is>
      </c>
      <c r="D66" s="2" t="inlineStr">
        <is>
          <t xml:space="preserve">money</t>
        </is>
      </c>
      <c r="E66" s="2" t="inlineStr">
        <is>
          <t xml:space="preserve">Không</t>
        </is>
      </c>
      <c r="F66" s="2" t="inlineStr">
        <is>
          <t xml:space="preserve">Ánh xạ rent_price; không âm; DECIMAL(15,2).</t>
        </is>
      </c>
      <c r="G66" s="2" t="inlineStr">
        <is>
          <t xml:space="preserve">"3800000.00"</t>
        </is>
      </c>
    </row>
    <row r="67" ht="70" customHeight="1">
      <c r="A67" s="0" t="inlineStr">
        <is>
          <t xml:space="preserve">API-044</t>
        </is>
      </c>
      <c r="B67" s="0" t="inlineStr">
        <is>
          <t xml:space="preserve">PATCH /rooms/{roomId}</t>
        </is>
      </c>
      <c r="C67" s="0" t="inlineStr">
        <is>
          <t xml:space="preserve">depositAmount</t>
        </is>
      </c>
      <c r="D67" s="0" t="inlineStr">
        <is>
          <t xml:space="preserve">money</t>
        </is>
      </c>
      <c r="E67" s="0" t="inlineStr">
        <is>
          <t xml:space="preserve">Không</t>
        </is>
      </c>
      <c r="F67" s="0" t="inlineStr">
        <is>
          <t xml:space="preserve">Không âm; DECIMAL(15,2).</t>
        </is>
      </c>
      <c r="G67" s="0" t="inlineStr">
        <is>
          <t xml:space="preserve">"3800000.00"</t>
        </is>
      </c>
    </row>
    <row r="68" ht="70" customHeight="1">
      <c r="A68" s="2" t="inlineStr">
        <is>
          <t xml:space="preserve">API-044</t>
        </is>
      </c>
      <c r="B68" s="2" t="inlineStr">
        <is>
          <t xml:space="preserve">PATCH /rooms/{roomId}</t>
        </is>
      </c>
      <c r="C68" s="2" t="inlineStr">
        <is>
          <t xml:space="preserve">status</t>
        </is>
      </c>
      <c r="D68" s="2" t="inlineStr">
        <is>
          <t xml:space="preserve">enum</t>
        </is>
      </c>
      <c r="E68" s="2" t="inlineStr">
        <is>
          <t xml:space="preserve">Không</t>
        </is>
      </c>
      <c r="F68" s="2" t="inlineStr">
        <is>
          <t xml:space="preserve">Chỉ chọn AVAILABLE/MAINTENANCE nếu không có người/chỗ/hợp đồng mở; RESERVED/OCCUPIED do nghiệp vụ tính.</t>
        </is>
      </c>
      <c r="G68" s="2" t="inlineStr">
        <is>
          <t xml:space="preserve">"AVAILABLE"</t>
        </is>
      </c>
    </row>
    <row r="69" ht="70" customHeight="1">
      <c r="A69" s="0" t="inlineStr">
        <is>
          <t xml:space="preserve">API-044</t>
        </is>
      </c>
      <c r="B69" s="0" t="inlineStr">
        <is>
          <t xml:space="preserve">PATCH /rooms/{roomId}</t>
        </is>
      </c>
      <c r="C69" s="0" t="inlineStr">
        <is>
          <t xml:space="preserve">allowAdditionalOccupants</t>
        </is>
      </c>
      <c r="D69" s="0" t="inlineStr">
        <is>
          <t xml:space="preserve">boolean</t>
        </is>
      </c>
      <c r="E69" s="0" t="inlineStr">
        <is>
          <t xml:space="preserve">Không</t>
        </is>
      </c>
      <c r="F69" s="0" t="inlineStr">
        <is>
          <t xml:space="preserve">Ánh xạ allow_additional_occupants, điều kiện tiếp nhận thêm người.</t>
        </is>
      </c>
      <c r="G69" s="0" t="inlineStr">
        <is>
          <t xml:space="preserve">false</t>
        </is>
      </c>
    </row>
    <row r="70" ht="70" customHeight="1">
      <c r="A70" s="2" t="inlineStr">
        <is>
          <t xml:space="preserve">API-044</t>
        </is>
      </c>
      <c r="B70" s="2" t="inlineStr">
        <is>
          <t xml:space="preserve">PATCH /rooms/{roomId}</t>
        </is>
      </c>
      <c r="C70" s="2" t="inlineStr">
        <is>
          <t xml:space="preserve">notes</t>
        </is>
      </c>
      <c r="D70" s="2" t="inlineStr">
        <is>
          <t xml:space="preserve">string</t>
        </is>
      </c>
      <c r="E70" s="2" t="inlineStr">
        <is>
          <t xml:space="preserve">Không</t>
        </is>
      </c>
      <c r="F70" s="2" t="inlineStr">
        <is>
          <t xml:space="preserve">Tối đa 2.000 ký tự.</t>
        </is>
      </c>
      <c r="G70" s="2" t="inlineStr">
        <is>
          <t xml:space="preserve">""</t>
        </is>
      </c>
    </row>
    <row r="71" ht="70" customHeight="1">
      <c r="A71" s="0" t="inlineStr">
        <is>
          <t xml:space="preserve">API-045</t>
        </is>
      </c>
      <c r="B71" s="0" t="inlineStr">
        <is>
          <t xml:space="preserve">PUT /rooms/{roomId}/capacity</t>
        </is>
      </c>
      <c r="C71" s="0" t="inlineStr">
        <is>
          <t xml:space="preserve">capacity</t>
        </is>
      </c>
      <c r="D71" s="0" t="inlineStr">
        <is>
          <t xml:space="preserve">integer</t>
        </is>
      </c>
      <c r="E71" s="0" t="inlineStr">
        <is>
          <t xml:space="preserve">Có</t>
        </is>
      </c>
      <c r="F71" s="0" t="inlineStr">
        <is>
          <t xml:space="preserve">&gt;0 và ≥ ACTIVE + PLANNED mở + hold còn hạn.</t>
        </is>
      </c>
      <c r="G71" s="0" t="inlineStr">
        <is>
          <t xml:space="preserve">3</t>
        </is>
      </c>
    </row>
    <row r="72" ht="70" customHeight="1">
      <c r="A72" s="2" t="inlineStr">
        <is>
          <t xml:space="preserve">API-051</t>
        </is>
      </c>
      <c r="B72" s="2" t="inlineStr">
        <is>
          <t xml:space="preserve">POST /posts</t>
        </is>
      </c>
      <c r="C72" s="2" t="inlineStr">
        <is>
          <t xml:space="preserve">roomId</t>
        </is>
      </c>
      <c r="D72" s="2" t="inlineStr">
        <is>
          <t xml:space="preserve">id</t>
        </is>
      </c>
      <c r="E72" s="2" t="inlineStr">
        <is>
          <t xml:space="preserve">Có</t>
        </is>
      </c>
      <c r="F72" s="2" t="inlineStr">
        <is>
          <t xml:space="preserve">Phòng thuộc chủ trọ. Khi sửa giữ nguyên roomId.</t>
        </is>
      </c>
      <c r="G72" s="2" t="inlineStr">
        <is>
          <t xml:space="preserve">"101"</t>
        </is>
      </c>
    </row>
    <row r="73" ht="70" customHeight="1">
      <c r="A73" s="0" t="inlineStr">
        <is>
          <t xml:space="preserve">API-051</t>
        </is>
      </c>
      <c r="B73" s="0" t="inlineStr">
        <is>
          <t xml:space="preserve">POST /posts</t>
        </is>
      </c>
      <c r="C73" s="0" t="inlineStr">
        <is>
          <t xml:space="preserve">title</t>
        </is>
      </c>
      <c r="D73" s="0" t="inlineStr">
        <is>
          <t xml:space="preserve">string</t>
        </is>
      </c>
      <c r="E73" s="0" t="inlineStr">
        <is>
          <t xml:space="preserve">Có</t>
        </is>
      </c>
      <c r="F73" s="0" t="inlineStr">
        <is>
          <t xml:space="preserve">1–200 ký tự sau trim.</t>
        </is>
      </c>
      <c r="G73" s="0" t="inlineStr">
        <is>
          <t xml:space="preserve">"Studio thoáng sáng"</t>
        </is>
      </c>
    </row>
    <row r="74" ht="70" customHeight="1">
      <c r="A74" s="2" t="inlineStr">
        <is>
          <t xml:space="preserve">API-051</t>
        </is>
      </c>
      <c r="B74" s="2" t="inlineStr">
        <is>
          <t xml:space="preserve">POST /posts</t>
        </is>
      </c>
      <c r="C74" s="2" t="inlineStr">
        <is>
          <t xml:space="preserve">content</t>
        </is>
      </c>
      <c r="D74" s="2" t="inlineStr">
        <is>
          <t xml:space="preserve">string</t>
        </is>
      </c>
      <c r="E74" s="2" t="inlineStr">
        <is>
          <t xml:space="preserve">Có</t>
        </is>
      </c>
      <c r="F74" s="2" t="inlineStr">
        <is>
          <t xml:space="preserve">Không trống; posts.content là TEXT (≤65.535 bytes UTF-8), dù tham số procedure LONGTEXT. API kiểm tra byte length trước ghi.</t>
        </is>
      </c>
      <c r="G74" s="2" t="inlineStr">
        <is>
          <t xml:space="preserve">"Phòng có bếp và vệ sinh riêng."</t>
        </is>
      </c>
    </row>
    <row r="75" ht="70" customHeight="1">
      <c r="A75" s="0" t="inlineStr">
        <is>
          <t xml:space="preserve">API-051</t>
        </is>
      </c>
      <c r="B75" s="0" t="inlineStr">
        <is>
          <t xml:space="preserve">POST /posts</t>
        </is>
      </c>
      <c r="C75" s="0" t="inlineStr">
        <is>
          <t xml:space="preserve">imageFileIds</t>
        </is>
      </c>
      <c r="D75" s="0" t="inlineStr">
        <is>
          <t xml:space="preserve">id[]</t>
        </is>
      </c>
      <c r="E75" s="0" t="inlineStr">
        <is>
          <t xml:space="preserve">Có</t>
        </is>
      </c>
      <c r="F75" s="0" t="inlineStr">
        <is>
          <t xml:space="preserve">Ít nhất 1 tệp POST_IMAGE ACTIVE của chủ trọ; thứ tự mảng là thứ tự ảnh.</t>
        </is>
      </c>
      <c r="G75" s="0" t="inlineStr">
        <is>
          <t xml:space="preserve">["501"]</t>
        </is>
      </c>
    </row>
    <row r="76" ht="70" customHeight="1">
      <c r="A76" s="2" t="inlineStr">
        <is>
          <t xml:space="preserve">API-051</t>
        </is>
      </c>
      <c r="B76" s="2" t="inlineStr">
        <is>
          <t xml:space="preserve">POST /posts</t>
        </is>
      </c>
      <c r="C76" s="2" t="inlineStr">
        <is>
          <t xml:space="preserve">amenities</t>
        </is>
      </c>
      <c r="D76" s="2" t="inlineStr">
        <is>
          <t xml:space="preserve">string[]</t>
        </is>
      </c>
      <c r="E76" s="2" t="inlineStr">
        <is>
          <t xml:space="preserve">Không</t>
        </is>
      </c>
      <c r="F76" s="2" t="inlineStr">
        <is>
          <t xml:space="preserve">Chuẩn hóa, loại trùng; mỗi amenity ≤100 ký tự theo SQL; giới hạn số mục API cần cấu hình.</t>
        </is>
      </c>
      <c r="G76" s="2" t="inlineStr">
        <is>
          <t xml:space="preserve">""</t>
        </is>
      </c>
    </row>
    <row r="77" ht="70" customHeight="1">
      <c r="A77" s="0" t="inlineStr">
        <is>
          <t xml:space="preserve">API-052</t>
        </is>
      </c>
      <c r="B77" s="0" t="inlineStr">
        <is>
          <t xml:space="preserve">PATCH /posts/{postId}</t>
        </is>
      </c>
      <c r="C77" s="0" t="inlineStr">
        <is>
          <t xml:space="preserve">roomId</t>
        </is>
      </c>
      <c r="D77" s="0" t="inlineStr">
        <is>
          <t xml:space="preserve">id</t>
        </is>
      </c>
      <c r="E77" s="0" t="inlineStr">
        <is>
          <t xml:space="preserve">Không</t>
        </is>
      </c>
      <c r="F77" s="0" t="inlineStr">
        <is>
          <t xml:space="preserve">Phòng thuộc chủ trọ. Khi sửa giữ nguyên roomId.</t>
        </is>
      </c>
      <c r="G77" s="0" t="inlineStr">
        <is>
          <t xml:space="preserve">"101"</t>
        </is>
      </c>
    </row>
    <row r="78" ht="70" customHeight="1">
      <c r="A78" s="2" t="inlineStr">
        <is>
          <t xml:space="preserve">API-052</t>
        </is>
      </c>
      <c r="B78" s="2" t="inlineStr">
        <is>
          <t xml:space="preserve">PATCH /posts/{postId}</t>
        </is>
      </c>
      <c r="C78" s="2" t="inlineStr">
        <is>
          <t xml:space="preserve">title</t>
        </is>
      </c>
      <c r="D78" s="2" t="inlineStr">
        <is>
          <t xml:space="preserve">string</t>
        </is>
      </c>
      <c r="E78" s="2" t="inlineStr">
        <is>
          <t xml:space="preserve">Không</t>
        </is>
      </c>
      <c r="F78" s="2" t="inlineStr">
        <is>
          <t xml:space="preserve">1–200 ký tự sau trim.</t>
        </is>
      </c>
      <c r="G78" s="2" t="inlineStr">
        <is>
          <t xml:space="preserve">"Studio thoáng sáng"</t>
        </is>
      </c>
    </row>
    <row r="79" ht="70" customHeight="1">
      <c r="A79" s="0" t="inlineStr">
        <is>
          <t xml:space="preserve">API-052</t>
        </is>
      </c>
      <c r="B79" s="0" t="inlineStr">
        <is>
          <t xml:space="preserve">PATCH /posts/{postId}</t>
        </is>
      </c>
      <c r="C79" s="0" t="inlineStr">
        <is>
          <t xml:space="preserve">content</t>
        </is>
      </c>
      <c r="D79" s="0" t="inlineStr">
        <is>
          <t xml:space="preserve">string</t>
        </is>
      </c>
      <c r="E79" s="0" t="inlineStr">
        <is>
          <t xml:space="preserve">Không</t>
        </is>
      </c>
      <c r="F79" s="0" t="inlineStr">
        <is>
          <t xml:space="preserve">Không trống; posts.content là TEXT (≤65.535 bytes UTF-8), dù tham số procedure LONGTEXT. API kiểm tra byte length trước ghi.</t>
        </is>
      </c>
      <c r="G79" s="0" t="inlineStr">
        <is>
          <t xml:space="preserve">"Phòng có bếp và vệ sinh riêng."</t>
        </is>
      </c>
    </row>
    <row r="80" ht="70" customHeight="1">
      <c r="A80" s="2" t="inlineStr">
        <is>
          <t xml:space="preserve">API-052</t>
        </is>
      </c>
      <c r="B80" s="2" t="inlineStr">
        <is>
          <t xml:space="preserve">PATCH /posts/{postId}</t>
        </is>
      </c>
      <c r="C80" s="2" t="inlineStr">
        <is>
          <t xml:space="preserve">imageFileIds</t>
        </is>
      </c>
      <c r="D80" s="2" t="inlineStr">
        <is>
          <t xml:space="preserve">id[]</t>
        </is>
      </c>
      <c r="E80" s="2" t="inlineStr">
        <is>
          <t xml:space="preserve">Không</t>
        </is>
      </c>
      <c r="F80" s="2" t="inlineStr">
        <is>
          <t xml:space="preserve">Ít nhất 1 tệp POST_IMAGE ACTIVE của chủ trọ; thứ tự mảng là thứ tự ảnh.</t>
        </is>
      </c>
      <c r="G80" s="2" t="inlineStr">
        <is>
          <t xml:space="preserve">["501"]</t>
        </is>
      </c>
    </row>
    <row r="81" ht="70" customHeight="1">
      <c r="A81" s="0" t="inlineStr">
        <is>
          <t xml:space="preserve">API-052</t>
        </is>
      </c>
      <c r="B81" s="0" t="inlineStr">
        <is>
          <t xml:space="preserve">PATCH /posts/{postId}</t>
        </is>
      </c>
      <c r="C81" s="0" t="inlineStr">
        <is>
          <t xml:space="preserve">amenities</t>
        </is>
      </c>
      <c r="D81" s="0" t="inlineStr">
        <is>
          <t xml:space="preserve">string[]</t>
        </is>
      </c>
      <c r="E81" s="0" t="inlineStr">
        <is>
          <t xml:space="preserve">Không</t>
        </is>
      </c>
      <c r="F81" s="0" t="inlineStr">
        <is>
          <t xml:space="preserve">Chuẩn hóa, loại trùng; mỗi amenity ≤100 ký tự theo SQL; giới hạn số mục API cần cấu hình.</t>
        </is>
      </c>
      <c r="G81" s="0" t="inlineStr">
        <is>
          <t xml:space="preserve">""</t>
        </is>
      </c>
    </row>
    <row r="82" ht="70" customHeight="1">
      <c r="A82" s="2" t="inlineStr">
        <is>
          <t xml:space="preserve">API-054</t>
        </is>
      </c>
      <c r="B82" s="2" t="inlineStr">
        <is>
          <t xml:space="preserve">POST /admin/posts/{postId}/decision</t>
        </is>
      </c>
      <c r="C82" s="2" t="inlineStr">
        <is>
          <t xml:space="preserve">decision</t>
        </is>
      </c>
      <c r="D82" s="2" t="inlineStr">
        <is>
          <t xml:space="preserve">enum</t>
        </is>
      </c>
      <c r="E82" s="2" t="inlineStr">
        <is>
          <t xml:space="preserve">Có</t>
        </is>
      </c>
      <c r="F82" s="2" t="inlineStr">
        <is>
          <t xml:space="preserve">APPROVE hoặc REJECT.</t>
        </is>
      </c>
      <c r="G82" s="2" t="inlineStr">
        <is>
          <t xml:space="preserve">"APPROVE"</t>
        </is>
      </c>
    </row>
    <row r="83" ht="70" customHeight="1">
      <c r="A83" s="0" t="inlineStr">
        <is>
          <t xml:space="preserve">API-054</t>
        </is>
      </c>
      <c r="B83" s="0" t="inlineStr">
        <is>
          <t xml:space="preserve">POST /admin/posts/{postId}/decision</t>
        </is>
      </c>
      <c r="C83" s="0" t="inlineStr">
        <is>
          <t xml:space="preserve">reason</t>
        </is>
      </c>
      <c r="D83" s="0" t="inlineStr">
        <is>
          <t xml:space="preserve">string</t>
        </is>
      </c>
      <c r="E83" s="0" t="inlineStr">
        <is>
          <t xml:space="preserve">Không</t>
        </is>
      </c>
      <c r="F83" s="0" t="inlineStr">
        <is>
          <t xml:space="preserve">Bắt buộc khi REJECT; tối đa 1.000 ký tự.</t>
        </is>
      </c>
      <c r="G83" s="0" t="inlineStr">
        <is>
          <t xml:space="preserve">""</t>
        </is>
      </c>
    </row>
    <row r="84" ht="70" customHeight="1">
      <c r="A84" s="2" t="inlineStr">
        <is>
          <t xml:space="preserve">API-055</t>
        </is>
      </c>
      <c r="B84" s="2" t="inlineStr">
        <is>
          <t xml:space="preserve">POST /posts/{postId}/hide</t>
        </is>
      </c>
      <c r="C84" s="2" t="inlineStr">
        <is>
          <t xml:space="preserve">reason</t>
        </is>
      </c>
      <c r="D84" s="2" t="inlineStr">
        <is>
          <t xml:space="preserve">string</t>
        </is>
      </c>
      <c r="E84" s="2" t="inlineStr">
        <is>
          <t xml:space="preserve">Có</t>
        </is>
      </c>
      <c r="F84" s="2" t="inlineStr">
        <is>
          <t xml:space="preserve">Không chỉ khoảng trắng; tối đa 1.000 ký tự.</t>
        </is>
      </c>
      <c r="G84" s="2" t="inlineStr">
        <is>
          <t xml:space="preserve">"Người thuê thay đổi kế hoạch"</t>
        </is>
      </c>
    </row>
    <row r="85" ht="70" customHeight="1">
      <c r="A85" s="0" t="inlineStr">
        <is>
          <t xml:space="preserve">API-056</t>
        </is>
      </c>
      <c r="B85" s="0" t="inlineStr">
        <is>
          <t xml:space="preserve">POST /admin/posts/{postId}/restore</t>
        </is>
      </c>
      <c r="C85" s="0" t="inlineStr">
        <is>
          <t xml:space="preserve">reason</t>
        </is>
      </c>
      <c r="D85" s="0" t="inlineStr">
        <is>
          <t xml:space="preserve">string</t>
        </is>
      </c>
      <c r="E85" s="0" t="inlineStr">
        <is>
          <t xml:space="preserve">Có</t>
        </is>
      </c>
      <c r="F85" s="0" t="inlineStr">
        <is>
          <t xml:space="preserve">Không chỉ khoảng trắng; tối đa 1.000 ký tự.</t>
        </is>
      </c>
      <c r="G85" s="0" t="inlineStr">
        <is>
          <t xml:space="preserve">"Người thuê thay đổi kế hoạch"</t>
        </is>
      </c>
    </row>
    <row r="86" ht="70" customHeight="1">
      <c r="A86" s="2" t="inlineStr">
        <is>
          <t xml:space="preserve">API-063</t>
        </is>
      </c>
      <c r="B86" s="2" t="inlineStr">
        <is>
          <t xml:space="preserve">PUT /me/roommate-profile</t>
        </is>
      </c>
      <c r="C86" s="2" t="inlineStr">
        <is>
          <t xml:space="preserve">housingStatus</t>
        </is>
      </c>
      <c r="D86" s="2" t="inlineStr">
        <is>
          <t xml:space="preserve">enum</t>
        </is>
      </c>
      <c r="E86" s="2" t="inlineStr">
        <is>
          <t xml:space="preserve">Có</t>
        </is>
      </c>
      <c r="F86" s="2" t="inlineStr">
        <is>
          <t xml:space="preserve">NO_ACCOMMODATION / EXTERNAL; IN_SYSTEM do server xác định từ ACTIVE.</t>
        </is>
      </c>
      <c r="G86" s="2" t="inlineStr">
        <is>
          <t xml:space="preserve">"NO_ACCOMMODATION"</t>
        </is>
      </c>
    </row>
    <row r="87" ht="70" customHeight="1">
      <c r="A87" s="0" t="inlineStr">
        <is>
          <t xml:space="preserve">API-063</t>
        </is>
      </c>
      <c r="B87" s="0" t="inlineStr">
        <is>
          <t xml:space="preserve">PUT /me/roommate-profile</t>
        </is>
      </c>
      <c r="C87" s="0" t="inlineStr">
        <is>
          <t xml:space="preserve">externalContext</t>
        </is>
      </c>
      <c r="D87" s="0" t="inlineStr">
        <is>
          <t xml:space="preserve">string</t>
        </is>
      </c>
      <c r="E87" s="0" t="inlineStr">
        <is>
          <t xml:space="preserve">Không</t>
        </is>
      </c>
      <c r="F87" s="0" t="inlineStr">
        <is>
          <t xml:space="preserve">Chỉ EXTERNAL, tối đa 1.000 ký tự.</t>
        </is>
      </c>
      <c r="G87" s="0" t="inlineStr">
        <is>
          <t xml:space="preserve">""</t>
        </is>
      </c>
    </row>
    <row r="88" ht="70" customHeight="1">
      <c r="A88" s="2" t="inlineStr">
        <is>
          <t xml:space="preserve">API-063</t>
        </is>
      </c>
      <c r="B88" s="2" t="inlineStr">
        <is>
          <t xml:space="preserve">PUT /me/roommate-profile</t>
        </is>
      </c>
      <c r="C88" s="2" t="inlineStr">
        <is>
          <t xml:space="preserve">availableFrom</t>
        </is>
      </c>
      <c r="D88" s="2" t="inlineStr">
        <is>
          <t xml:space="preserve">date</t>
        </is>
      </c>
      <c r="E88" s="2" t="inlineStr">
        <is>
          <t xml:space="preserve">Có</t>
        </is>
      </c>
      <c r="F88" s="2" t="inlineStr">
        <is>
          <t xml:space="preserve">Ngày hợp lệ.</t>
        </is>
      </c>
      <c r="G88" s="2" t="inlineStr">
        <is>
          <t xml:space="preserve">"2026-11-01"</t>
        </is>
      </c>
    </row>
    <row r="89" ht="70" customHeight="1">
      <c r="A89" s="0" t="inlineStr">
        <is>
          <t xml:space="preserve">API-063</t>
        </is>
      </c>
      <c r="B89" s="0" t="inlineStr">
        <is>
          <t xml:space="preserve">PUT /me/roommate-profile</t>
        </is>
      </c>
      <c r="C89" s="0" t="inlineStr">
        <is>
          <t xml:space="preserve">budgetMin</t>
        </is>
      </c>
      <c r="D89" s="0" t="inlineStr">
        <is>
          <t xml:space="preserve">money</t>
        </is>
      </c>
      <c r="E89" s="0" t="inlineStr">
        <is>
          <t xml:space="preserve">Không</t>
        </is>
      </c>
      <c r="F89" s="0" t="inlineStr">
        <is>
          <t xml:space="preserve">≥0.</t>
        </is>
      </c>
      <c r="G89" s="0" t="inlineStr">
        <is>
          <t xml:space="preserve">"1500000.00"</t>
        </is>
      </c>
    </row>
    <row r="90" ht="70" customHeight="1">
      <c r="A90" s="2" t="inlineStr">
        <is>
          <t xml:space="preserve">API-063</t>
        </is>
      </c>
      <c r="B90" s="2" t="inlineStr">
        <is>
          <t xml:space="preserve">PUT /me/roommate-profile</t>
        </is>
      </c>
      <c r="C90" s="2" t="inlineStr">
        <is>
          <t xml:space="preserve">budgetMax</t>
        </is>
      </c>
      <c r="D90" s="2" t="inlineStr">
        <is>
          <t xml:space="preserve">money</t>
        </is>
      </c>
      <c r="E90" s="2" t="inlineStr">
        <is>
          <t xml:space="preserve">Không</t>
        </is>
      </c>
      <c r="F90" s="2" t="inlineStr">
        <is>
          <t xml:space="preserve">≥ budgetMin.</t>
        </is>
      </c>
      <c r="G90" s="2" t="inlineStr">
        <is>
          <t xml:space="preserve">"3000000.00"</t>
        </is>
      </c>
    </row>
    <row r="91" ht="70" customHeight="1">
      <c r="A91" s="0" t="inlineStr">
        <is>
          <t xml:space="preserve">API-063</t>
        </is>
      </c>
      <c r="B91" s="0" t="inlineStr">
        <is>
          <t xml:space="preserve">PUT /me/roommate-profile</t>
        </is>
      </c>
      <c r="C91" s="0" t="inlineStr">
        <is>
          <t xml:space="preserve">preferredLocation</t>
        </is>
      </c>
      <c r="D91" s="0" t="inlineStr">
        <is>
          <t xml:space="preserve">string</t>
        </is>
      </c>
      <c r="E91" s="0" t="inlineStr">
        <is>
          <t xml:space="preserve">Có</t>
        </is>
      </c>
      <c r="F91" s="0" t="inlineStr">
        <is>
          <t xml:space="preserve">1–500 ký tự.</t>
        </is>
      </c>
      <c r="G91" s="0" t="inlineStr">
        <is>
          <t xml:space="preserve">"Quận trung tâm"</t>
        </is>
      </c>
    </row>
    <row r="92" ht="70" customHeight="1">
      <c r="A92" s="2" t="inlineStr">
        <is>
          <t xml:space="preserve">API-063</t>
        </is>
      </c>
      <c r="B92" s="2" t="inlineStr">
        <is>
          <t xml:space="preserve">PUT /me/roommate-profile</t>
        </is>
      </c>
      <c r="C92" s="2" t="inlineStr">
        <is>
          <t xml:space="preserve">preferredGender</t>
        </is>
      </c>
      <c r="D92" s="2" t="inlineStr">
        <is>
          <t xml:space="preserve">string</t>
        </is>
      </c>
      <c r="E92" s="2" t="inlineStr">
        <is>
          <t xml:space="preserve">Không</t>
        </is>
      </c>
      <c r="F92" s="2" t="inlineStr">
        <is>
          <t xml:space="preserve">≤30 ký tự.</t>
        </is>
      </c>
      <c r="G92" s="2" t="inlineStr">
        <is>
          <t xml:space="preserve">""</t>
        </is>
      </c>
    </row>
    <row r="93" ht="70" customHeight="1">
      <c r="A93" s="0" t="inlineStr">
        <is>
          <t xml:space="preserve">API-063</t>
        </is>
      </c>
      <c r="B93" s="0" t="inlineStr">
        <is>
          <t xml:space="preserve">PUT /me/roommate-profile</t>
        </is>
      </c>
      <c r="C93" s="0" t="inlineStr">
        <is>
          <t xml:space="preserve">requirementsSnapshot</t>
        </is>
      </c>
      <c r="D93" s="0" t="inlineStr">
        <is>
          <t xml:space="preserve">object</t>
        </is>
      </c>
      <c r="E93" s="0" t="inlineStr">
        <is>
          <t xml:space="preserve">Không</t>
        </is>
      </c>
      <c r="F93" s="0" t="inlineStr">
        <is>
          <t xml:space="preserve">Nhu cầu tự khai; schema cần chốt.</t>
        </is>
      </c>
      <c r="G93" s="0" t="inlineStr">
        <is>
          <t xml:space="preserve">""</t>
        </is>
      </c>
    </row>
    <row r="94" ht="70" customHeight="1">
      <c r="A94" s="2" t="inlineStr">
        <is>
          <t xml:space="preserve">API-063</t>
        </is>
      </c>
      <c r="B94" s="2" t="inlineStr">
        <is>
          <t xml:space="preserve">PUT /me/roommate-profile</t>
        </is>
      </c>
      <c r="C94" s="2" t="inlineStr">
        <is>
          <t xml:space="preserve">active</t>
        </is>
      </c>
      <c r="D94" s="2" t="inlineStr">
        <is>
          <t xml:space="preserve">boolean</t>
        </is>
      </c>
      <c r="E94" s="2" t="inlineStr">
        <is>
          <t xml:space="preserve">Có</t>
        </is>
      </c>
      <c r="F94" s="2" t="inlineStr">
        <is>
          <t xml:space="preserve">Bật cho phép tìm kiếm.</t>
        </is>
      </c>
      <c r="G94" s="2" t="inlineStr">
        <is>
          <t xml:space="preserve">true</t>
        </is>
      </c>
    </row>
    <row r="95" ht="70" customHeight="1">
      <c r="A95" s="0" t="inlineStr">
        <is>
          <t xml:space="preserve">API-067</t>
        </is>
      </c>
      <c r="B95" s="0" t="inlineStr">
        <is>
          <t xml:space="preserve">PUT /me/roommate-profile/lifestyles</t>
        </is>
      </c>
      <c r="C95" s="0" t="inlineStr">
        <is>
          <t xml:space="preserve">criteria</t>
        </is>
      </c>
      <c r="D95" s="0" t="inlineStr">
        <is>
          <t xml:space="preserve">object[]</t>
        </is>
      </c>
      <c r="E95" s="0" t="inlineStr">
        <is>
          <t xml:space="preserve">Có</t>
        </is>
      </c>
      <c r="F95" s="0" t="inlineStr">
        <is>
          <t xml:space="preserve">Mỗi criterionId duy nhất; có selfValue hoặc preferredValue; mandatory cần preferredValue; importance 0–5.</t>
        </is>
      </c>
      <c r="G95" s="0" t="inlineStr">
        <is>
          <t xml:space="preserve">[{"criterionId": "1", "selfValue": false, "preferredValue": false, "isMandatory": true, "importance": 5}]</t>
        </is>
      </c>
    </row>
    <row r="96" ht="70" customHeight="1">
      <c r="A96" s="2" t="inlineStr">
        <is>
          <t xml:space="preserve">API-069</t>
        </is>
      </c>
      <c r="B96" s="2" t="inlineStr">
        <is>
          <t xml:space="preserve">POST /admin/lifestyle-criteria</t>
        </is>
      </c>
      <c r="C96" s="2" t="inlineStr">
        <is>
          <t xml:space="preserve">code</t>
        </is>
      </c>
      <c r="D96" s="2" t="inlineStr">
        <is>
          <t xml:space="preserve">string</t>
        </is>
      </c>
      <c r="E96" s="2" t="inlineStr">
        <is>
          <t xml:space="preserve">Có</t>
        </is>
      </c>
      <c r="F96" s="2" t="inlineStr">
        <is>
          <t xml:space="preserve">Duy nhất; ≤80 ký tự.</t>
        </is>
      </c>
      <c r="G96" s="2" t="inlineStr">
        <is>
          <t xml:space="preserve">"SMOKING"</t>
        </is>
      </c>
    </row>
    <row r="97" ht="70" customHeight="1">
      <c r="A97" s="0" t="inlineStr">
        <is>
          <t xml:space="preserve">API-069</t>
        </is>
      </c>
      <c r="B97" s="0" t="inlineStr">
        <is>
          <t xml:space="preserve">POST /admin/lifestyle-criteria</t>
        </is>
      </c>
      <c r="C97" s="0" t="inlineStr">
        <is>
          <t xml:space="preserve">name</t>
        </is>
      </c>
      <c r="D97" s="0" t="inlineStr">
        <is>
          <t xml:space="preserve">string</t>
        </is>
      </c>
      <c r="E97" s="0" t="inlineStr">
        <is>
          <t xml:space="preserve">Có</t>
        </is>
      </c>
      <c r="F97" s="0" t="inlineStr">
        <is>
          <t xml:space="preserve">≤100 ký tự.</t>
        </is>
      </c>
      <c r="G97" s="0" t="inlineStr">
        <is>
          <t xml:space="preserve">"Hút thuốc"</t>
        </is>
      </c>
    </row>
    <row r="98" ht="70" customHeight="1">
      <c r="A98" s="2" t="inlineStr">
        <is>
          <t xml:space="preserve">API-069</t>
        </is>
      </c>
      <c r="B98" s="2" t="inlineStr">
        <is>
          <t xml:space="preserve">POST /admin/lifestyle-criteria</t>
        </is>
      </c>
      <c r="C98" s="2" t="inlineStr">
        <is>
          <t xml:space="preserve">category</t>
        </is>
      </c>
      <c r="D98" s="2" t="inlineStr">
        <is>
          <t xml:space="preserve">string</t>
        </is>
      </c>
      <c r="E98" s="2" t="inlineStr">
        <is>
          <t xml:space="preserve">Có</t>
        </is>
      </c>
      <c r="F98" s="2" t="inlineStr">
        <is>
          <t xml:space="preserve">≤100 ký tự.</t>
        </is>
      </c>
      <c r="G98" s="2" t="inlineStr">
        <is>
          <t xml:space="preserve">"Thói quen"</t>
        </is>
      </c>
    </row>
    <row r="99" ht="70" customHeight="1">
      <c r="A99" s="0" t="inlineStr">
        <is>
          <t xml:space="preserve">API-069</t>
        </is>
      </c>
      <c r="B99" s="0" t="inlineStr">
        <is>
          <t xml:space="preserve">POST /admin/lifestyle-criteria</t>
        </is>
      </c>
      <c r="C99" s="0" t="inlineStr">
        <is>
          <t xml:space="preserve">valueType</t>
        </is>
      </c>
      <c r="D99" s="0" t="inlineStr">
        <is>
          <t xml:space="preserve">enum</t>
        </is>
      </c>
      <c r="E99" s="0" t="inlineStr">
        <is>
          <t xml:space="preserve">Có</t>
        </is>
      </c>
      <c r="F99" s="0" t="inlineStr">
        <is>
          <t xml:space="preserve">BOOLEAN/NUMBER/CATEGORY/TIME/RANGE.</t>
        </is>
      </c>
      <c r="G99" s="0" t="inlineStr">
        <is>
          <t xml:space="preserve">"BOOLEAN"</t>
        </is>
      </c>
    </row>
    <row r="100" ht="70" customHeight="1">
      <c r="A100" s="2" t="inlineStr">
        <is>
          <t xml:space="preserve">API-069</t>
        </is>
      </c>
      <c r="B100" s="2" t="inlineStr">
        <is>
          <t xml:space="preserve">POST /admin/lifestyle-criteria</t>
        </is>
      </c>
      <c r="C100" s="2" t="inlineStr">
        <is>
          <t xml:space="preserve">allowedValues</t>
        </is>
      </c>
      <c r="D100" s="2" t="inlineStr">
        <is>
          <t xml:space="preserve">object</t>
        </is>
      </c>
      <c r="E100" s="2" t="inlineStr">
        <is>
          <t xml:space="preserve">Không</t>
        </is>
      </c>
      <c r="F100" s="2" t="inlineStr">
        <is>
          <t xml:space="preserve">JSON phải tương thích kiểu.</t>
        </is>
      </c>
      <c r="G100" s="2" t="inlineStr">
        <is>
          <t xml:space="preserve">""</t>
        </is>
      </c>
    </row>
    <row r="101" ht="70" customHeight="1">
      <c r="A101" s="0" t="inlineStr">
        <is>
          <t xml:space="preserve">API-069</t>
        </is>
      </c>
      <c r="B101" s="0" t="inlineStr">
        <is>
          <t xml:space="preserve">POST /admin/lifestyle-criteria</t>
        </is>
      </c>
      <c r="C101" s="0" t="inlineStr">
        <is>
          <t xml:space="preserve">active</t>
        </is>
      </c>
      <c r="D101" s="0" t="inlineStr">
        <is>
          <t xml:space="preserve">boolean</t>
        </is>
      </c>
      <c r="E101" s="0" t="inlineStr">
        <is>
          <t xml:space="preserve">Có</t>
        </is>
      </c>
      <c r="F101" s="0" t="inlineStr">
        <is>
          <t xml:space="preserve">Bật/ngừng.</t>
        </is>
      </c>
      <c r="G101" s="0" t="inlineStr">
        <is>
          <t xml:space="preserve">true</t>
        </is>
      </c>
    </row>
    <row r="102" ht="70" customHeight="1">
      <c r="A102" s="2" t="inlineStr">
        <is>
          <t xml:space="preserve">API-070</t>
        </is>
      </c>
      <c r="B102" s="2" t="inlineStr">
        <is>
          <t xml:space="preserve">PATCH /admin/lifestyle-criteria/{criterionId}</t>
        </is>
      </c>
      <c r="C102" s="2" t="inlineStr">
        <is>
          <t xml:space="preserve">code</t>
        </is>
      </c>
      <c r="D102" s="2" t="inlineStr">
        <is>
          <t xml:space="preserve">string</t>
        </is>
      </c>
      <c r="E102" s="2" t="inlineStr">
        <is>
          <t xml:space="preserve">Không</t>
        </is>
      </c>
      <c r="F102" s="2" t="inlineStr">
        <is>
          <t xml:space="preserve">Duy nhất; ≤80 ký tự.</t>
        </is>
      </c>
      <c r="G102" s="2" t="inlineStr">
        <is>
          <t xml:space="preserve">"SMOKING"</t>
        </is>
      </c>
    </row>
    <row r="103" ht="70" customHeight="1">
      <c r="A103" s="0" t="inlineStr">
        <is>
          <t xml:space="preserve">API-070</t>
        </is>
      </c>
      <c r="B103" s="0" t="inlineStr">
        <is>
          <t xml:space="preserve">PATCH /admin/lifestyle-criteria/{criterionId}</t>
        </is>
      </c>
      <c r="C103" s="0" t="inlineStr">
        <is>
          <t xml:space="preserve">name</t>
        </is>
      </c>
      <c r="D103" s="0" t="inlineStr">
        <is>
          <t xml:space="preserve">string</t>
        </is>
      </c>
      <c r="E103" s="0" t="inlineStr">
        <is>
          <t xml:space="preserve">Không</t>
        </is>
      </c>
      <c r="F103" s="0" t="inlineStr">
        <is>
          <t xml:space="preserve">≤100 ký tự.</t>
        </is>
      </c>
      <c r="G103" s="0" t="inlineStr">
        <is>
          <t xml:space="preserve">"Hút thuốc"</t>
        </is>
      </c>
    </row>
    <row r="104" ht="70" customHeight="1">
      <c r="A104" s="2" t="inlineStr">
        <is>
          <t xml:space="preserve">API-070</t>
        </is>
      </c>
      <c r="B104" s="2" t="inlineStr">
        <is>
          <t xml:space="preserve">PATCH /admin/lifestyle-criteria/{criterionId}</t>
        </is>
      </c>
      <c r="C104" s="2" t="inlineStr">
        <is>
          <t xml:space="preserve">category</t>
        </is>
      </c>
      <c r="D104" s="2" t="inlineStr">
        <is>
          <t xml:space="preserve">string</t>
        </is>
      </c>
      <c r="E104" s="2" t="inlineStr">
        <is>
          <t xml:space="preserve">Không</t>
        </is>
      </c>
      <c r="F104" s="2" t="inlineStr">
        <is>
          <t xml:space="preserve">≤100 ký tự.</t>
        </is>
      </c>
      <c r="G104" s="2" t="inlineStr">
        <is>
          <t xml:space="preserve">"Thói quen"</t>
        </is>
      </c>
    </row>
    <row r="105" ht="70" customHeight="1">
      <c r="A105" s="0" t="inlineStr">
        <is>
          <t xml:space="preserve">API-070</t>
        </is>
      </c>
      <c r="B105" s="0" t="inlineStr">
        <is>
          <t xml:space="preserve">PATCH /admin/lifestyle-criteria/{criterionId}</t>
        </is>
      </c>
      <c r="C105" s="0" t="inlineStr">
        <is>
          <t xml:space="preserve">valueType</t>
        </is>
      </c>
      <c r="D105" s="0" t="inlineStr">
        <is>
          <t xml:space="preserve">enum</t>
        </is>
      </c>
      <c r="E105" s="0" t="inlineStr">
        <is>
          <t xml:space="preserve">Không</t>
        </is>
      </c>
      <c r="F105" s="0" t="inlineStr">
        <is>
          <t xml:space="preserve">BOOLEAN/NUMBER/CATEGORY/TIME/RANGE.</t>
        </is>
      </c>
      <c r="G105" s="0" t="inlineStr">
        <is>
          <t xml:space="preserve">"BOOLEAN"</t>
        </is>
      </c>
    </row>
    <row r="106" ht="70" customHeight="1">
      <c r="A106" s="2" t="inlineStr">
        <is>
          <t xml:space="preserve">API-070</t>
        </is>
      </c>
      <c r="B106" s="2" t="inlineStr">
        <is>
          <t xml:space="preserve">PATCH /admin/lifestyle-criteria/{criterionId}</t>
        </is>
      </c>
      <c r="C106" s="2" t="inlineStr">
        <is>
          <t xml:space="preserve">allowedValues</t>
        </is>
      </c>
      <c r="D106" s="2" t="inlineStr">
        <is>
          <t xml:space="preserve">object</t>
        </is>
      </c>
      <c r="E106" s="2" t="inlineStr">
        <is>
          <t xml:space="preserve">Không</t>
        </is>
      </c>
      <c r="F106" s="2" t="inlineStr">
        <is>
          <t xml:space="preserve">JSON phải tương thích kiểu.</t>
        </is>
      </c>
      <c r="G106" s="2" t="inlineStr">
        <is>
          <t xml:space="preserve">""</t>
        </is>
      </c>
    </row>
    <row r="107" ht="70" customHeight="1">
      <c r="A107" s="0" t="inlineStr">
        <is>
          <t xml:space="preserve">API-070</t>
        </is>
      </c>
      <c r="B107" s="0" t="inlineStr">
        <is>
          <t xml:space="preserve">PATCH /admin/lifestyle-criteria/{criterionId}</t>
        </is>
      </c>
      <c r="C107" s="0" t="inlineStr">
        <is>
          <t xml:space="preserve">active</t>
        </is>
      </c>
      <c r="D107" s="0" t="inlineStr">
        <is>
          <t xml:space="preserve">boolean</t>
        </is>
      </c>
      <c r="E107" s="0" t="inlineStr">
        <is>
          <t xml:space="preserve">Không</t>
        </is>
      </c>
      <c r="F107" s="0" t="inlineStr">
        <is>
          <t xml:space="preserve">Bật/ngừng.</t>
        </is>
      </c>
      <c r="G107" s="0" t="inlineStr">
        <is>
          <t xml:space="preserve">true</t>
        </is>
      </c>
    </row>
    <row r="108" ht="70" customHeight="1">
      <c r="A108" s="2" t="inlineStr">
        <is>
          <t xml:space="preserve">API-072</t>
        </is>
      </c>
      <c r="B108" s="2" t="inlineStr">
        <is>
          <t xml:space="preserve">POST /roommate-requests</t>
        </is>
      </c>
      <c r="C108" s="2" t="inlineStr">
        <is>
          <t xml:space="preserve">receiverId</t>
        </is>
      </c>
      <c r="D108" s="2" t="inlineStr">
        <is>
          <t xml:space="preserve">id</t>
        </is>
      </c>
      <c r="E108" s="2" t="inlineStr">
        <is>
          <t xml:space="preserve">Có</t>
        </is>
      </c>
      <c r="F108" s="2" t="inlineStr">
        <is>
          <t xml:space="preserve">TENANT ACTIVE khác actor.</t>
        </is>
      </c>
      <c r="G108" s="2" t="inlineStr">
        <is>
          <t xml:space="preserve">"22"</t>
        </is>
      </c>
    </row>
    <row r="109" ht="70" customHeight="1">
      <c r="A109" s="0" t="inlineStr">
        <is>
          <t xml:space="preserve">API-072</t>
        </is>
      </c>
      <c r="B109" s="0" t="inlineStr">
        <is>
          <t xml:space="preserve">POST /roommate-requests</t>
        </is>
      </c>
      <c r="C109" s="0" t="inlineStr">
        <is>
          <t xml:space="preserve">scenario</t>
        </is>
      </c>
      <c r="D109" s="0" t="inlineStr">
        <is>
          <t xml:space="preserve">enum</t>
        </is>
      </c>
      <c r="E109" s="0" t="inlineStr">
        <is>
          <t xml:space="preserve">Có</t>
        </is>
      </c>
      <c r="F109" s="0" t="inlineStr">
        <is>
          <t xml:space="preserve">SEARCH_TOGETHER/JOIN_EXTERNAL_HOME/JOIN_SYSTEM_ROOM.</t>
        </is>
      </c>
      <c r="G109" s="0" t="inlineStr">
        <is>
          <t xml:space="preserve">"SEARCH_TOGETHER"</t>
        </is>
      </c>
    </row>
    <row r="110" ht="70" customHeight="1">
      <c r="A110" s="2" t="inlineStr">
        <is>
          <t xml:space="preserve">API-072</t>
        </is>
      </c>
      <c r="B110" s="2" t="inlineStr">
        <is>
          <t xml:space="preserve">POST /roommate-requests</t>
        </is>
      </c>
      <c r="C110" s="2" t="inlineStr">
        <is>
          <t xml:space="preserve">targetContractId</t>
        </is>
      </c>
      <c r="D110" s="2" t="inlineStr">
        <is>
          <t xml:space="preserve">id</t>
        </is>
      </c>
      <c r="E110" s="2" t="inlineStr">
        <is>
          <t xml:space="preserve">Không</t>
        </is>
      </c>
      <c r="F110" s="2" t="inlineStr">
        <is>
          <t xml:space="preserve">Bắt buộc chỉ JOIN_SYSTEM_ROOM, đúng ngữ cảnh đại diện.</t>
        </is>
      </c>
      <c r="G110" s="2" t="inlineStr">
        <is>
          <t xml:space="preserve">""</t>
        </is>
      </c>
    </row>
    <row r="111" ht="70" customHeight="1">
      <c r="A111" s="0" t="inlineStr">
        <is>
          <t xml:space="preserve">API-072</t>
        </is>
      </c>
      <c r="B111" s="0" t="inlineStr">
        <is>
          <t xml:space="preserve">POST /roommate-requests</t>
        </is>
      </c>
      <c r="C111" s="0" t="inlineStr">
        <is>
          <t xml:space="preserve">message</t>
        </is>
      </c>
      <c r="D111" s="0" t="inlineStr">
        <is>
          <t xml:space="preserve">string</t>
        </is>
      </c>
      <c r="E111" s="0" t="inlineStr">
        <is>
          <t xml:space="preserve">Không</t>
        </is>
      </c>
      <c r="F111" s="0" t="inlineStr">
        <is>
          <t xml:space="preserve">≤2.000 ký tự.</t>
        </is>
      </c>
      <c r="G111" s="0" t="inlineStr">
        <is>
          <t xml:space="preserve">""</t>
        </is>
      </c>
    </row>
    <row r="112" ht="70" customHeight="1">
      <c r="A112" s="2" t="inlineStr">
        <is>
          <t xml:space="preserve">API-073</t>
        </is>
      </c>
      <c r="B112" s="2" t="inlineStr">
        <is>
          <t xml:space="preserve">POST /roommate-requests/{requestId}/response</t>
        </is>
      </c>
      <c r="C112" s="2" t="inlineStr">
        <is>
          <t xml:space="preserve">decision</t>
        </is>
      </c>
      <c r="D112" s="2" t="inlineStr">
        <is>
          <t xml:space="preserve">enum</t>
        </is>
      </c>
      <c r="E112" s="2" t="inlineStr">
        <is>
          <t xml:space="preserve">Có</t>
        </is>
      </c>
      <c r="F112" s="2" t="inlineStr">
        <is>
          <t xml:space="preserve">ACCEPT / REJECT.</t>
        </is>
      </c>
      <c r="G112" s="2" t="inlineStr">
        <is>
          <t xml:space="preserve">"ACCEPT"</t>
        </is>
      </c>
    </row>
    <row r="113" ht="70" customHeight="1">
      <c r="A113" s="0" t="inlineStr">
        <is>
          <t xml:space="preserve">API-074</t>
        </is>
      </c>
      <c r="B113" s="0" t="inlineStr">
        <is>
          <t xml:space="preserve">POST /roommate-requests/{requestId}/cancel</t>
        </is>
      </c>
      <c r="C113" s="0" t="inlineStr">
        <is>
          <t xml:space="preserve">reason</t>
        </is>
      </c>
      <c r="D113" s="0" t="inlineStr">
        <is>
          <t xml:space="preserve">string</t>
        </is>
      </c>
      <c r="E113" s="0" t="inlineStr">
        <is>
          <t xml:space="preserve">Có</t>
        </is>
      </c>
      <c r="F113" s="0" t="inlineStr">
        <is>
          <t xml:space="preserve">Không chỉ khoảng trắng; tối đa 1.000 ký tự.</t>
        </is>
      </c>
      <c r="G113" s="0" t="inlineStr">
        <is>
          <t xml:space="preserve">"Người thuê thay đổi kế hoạch"</t>
        </is>
      </c>
    </row>
    <row r="114" ht="70" customHeight="1">
      <c r="A114" s="2" t="inlineStr">
        <is>
          <t xml:space="preserve">API-075</t>
        </is>
      </c>
      <c r="B114" s="2" t="inlineStr">
        <is>
          <t xml:space="preserve">POST /roommate-requests/{requestId}/end</t>
        </is>
      </c>
      <c r="C114" s="2" t="inlineStr">
        <is>
          <t xml:space="preserve">reason</t>
        </is>
      </c>
      <c r="D114" s="2" t="inlineStr">
        <is>
          <t xml:space="preserve">string</t>
        </is>
      </c>
      <c r="E114" s="2" t="inlineStr">
        <is>
          <t xml:space="preserve">Có</t>
        </is>
      </c>
      <c r="F114" s="2" t="inlineStr">
        <is>
          <t xml:space="preserve">Không chỉ khoảng trắng; tối đa 1.000 ký tự.</t>
        </is>
      </c>
      <c r="G114" s="2" t="inlineStr">
        <is>
          <t xml:space="preserve">"Người thuê thay đổi kế hoạch"</t>
        </is>
      </c>
    </row>
    <row r="115" ht="70" customHeight="1">
      <c r="A115" s="0" t="inlineStr">
        <is>
          <t xml:space="preserve">API-076</t>
        </is>
      </c>
      <c r="B115" s="0" t="inlineStr">
        <is>
          <t xml:space="preserve">POST /conversations/room-inquiries</t>
        </is>
      </c>
      <c r="C115" s="0" t="inlineStr">
        <is>
          <t xml:space="preserve">postId</t>
        </is>
      </c>
      <c r="D115" s="0" t="inlineStr">
        <is>
          <t xml:space="preserve">id</t>
        </is>
      </c>
      <c r="E115" s="0" t="inlineStr">
        <is>
          <t xml:space="preserve">Có</t>
        </is>
      </c>
      <c r="F115" s="0" t="inlineStr">
        <is>
          <t xml:space="preserve">Tin công khai có quyền hiện tại.</t>
        </is>
      </c>
      <c r="G115" s="0" t="inlineStr">
        <is>
          <t xml:space="preserve">"201"</t>
        </is>
      </c>
    </row>
    <row r="116" ht="70" customHeight="1">
      <c r="A116" s="2" t="inlineStr">
        <is>
          <t xml:space="preserve">API-080</t>
        </is>
      </c>
      <c r="B116" s="2" t="inlineStr">
        <is>
          <t xml:space="preserve">POST /conversations/{conversationId}/messages</t>
        </is>
      </c>
      <c r="C116" s="2" t="inlineStr">
        <is>
          <t xml:space="preserve">clientMessageKey</t>
        </is>
      </c>
      <c r="D116" s="2" t="inlineStr">
        <is>
          <t xml:space="preserve">uuid</t>
        </is>
      </c>
      <c r="E116" s="2" t="inlineStr">
        <is>
          <t xml:space="preserve">Có</t>
        </is>
      </c>
      <c r="F116" s="2" t="inlineStr">
        <is>
          <t xml:space="preserve">Duy nhất theo sender, dùng lại khi retry.</t>
        </is>
      </c>
      <c r="G116" s="2" t="inlineStr">
        <is>
          <t xml:space="preserve">"8b00655c-4028-4265-b43e-8340ef5ddcf2"</t>
        </is>
      </c>
    </row>
    <row r="117" ht="70" customHeight="1">
      <c r="A117" s="0" t="inlineStr">
        <is>
          <t xml:space="preserve">API-080</t>
        </is>
      </c>
      <c r="B117" s="0" t="inlineStr">
        <is>
          <t xml:space="preserve">POST /conversations/{conversationId}/messages</t>
        </is>
      </c>
      <c r="C117" s="0" t="inlineStr">
        <is>
          <t xml:space="preserve">type</t>
        </is>
      </c>
      <c r="D117" s="0" t="inlineStr">
        <is>
          <t xml:space="preserve">enum</t>
        </is>
      </c>
      <c r="E117" s="0" t="inlineStr">
        <is>
          <t xml:space="preserve">Có</t>
        </is>
      </c>
      <c r="F117" s="0" t="inlineStr">
        <is>
          <t xml:space="preserve">TEXT / IMAGE; SYSTEM chỉ server, POST_SHARE dùng route riêng.</t>
        </is>
      </c>
      <c r="G117" s="0" t="inlineStr">
        <is>
          <t xml:space="preserve">"TEXT"</t>
        </is>
      </c>
    </row>
    <row r="118" ht="70" customHeight="1">
      <c r="A118" s="2" t="inlineStr">
        <is>
          <t xml:space="preserve">API-080</t>
        </is>
      </c>
      <c r="B118" s="2" t="inlineStr">
        <is>
          <t xml:space="preserve">POST /conversations/{conversationId}/messages</t>
        </is>
      </c>
      <c r="C118" s="2" t="inlineStr">
        <is>
          <t xml:space="preserve">content</t>
        </is>
      </c>
      <c r="D118" s="2" t="inlineStr">
        <is>
          <t xml:space="preserve">string</t>
        </is>
      </c>
      <c r="E118" s="2" t="inlineStr">
        <is>
          <t xml:space="preserve">Không</t>
        </is>
      </c>
      <c r="F118" s="2" t="inlineStr">
        <is>
          <t xml:space="preserve">TEXT bắt buộc trim không rỗng, tối đa 2.000 ký tự.</t>
        </is>
      </c>
      <c r="G118" s="2" t="inlineStr">
        <is>
          <t xml:space="preserve">"Tôi muốn hỏi thêm về phòng này."</t>
        </is>
      </c>
    </row>
    <row r="119" ht="70" customHeight="1">
      <c r="A119" s="0" t="inlineStr">
        <is>
          <t xml:space="preserve">API-080</t>
        </is>
      </c>
      <c r="B119" s="0" t="inlineStr">
        <is>
          <t xml:space="preserve">POST /conversations/{conversationId}/messages</t>
        </is>
      </c>
      <c r="C119" s="0" t="inlineStr">
        <is>
          <t xml:space="preserve">fileIds</t>
        </is>
      </c>
      <c r="D119" s="0" t="inlineStr">
        <is>
          <t xml:space="preserve">id[]</t>
        </is>
      </c>
      <c r="E119" s="0" t="inlineStr">
        <is>
          <t xml:space="preserve">Không</t>
        </is>
      </c>
      <c r="F119" s="0" t="inlineStr">
        <is>
          <t xml:space="preserve">IMAGE bắt buộc file CHAT_IMAGE ACTIVE PRIVATE thuộc mình.</t>
        </is>
      </c>
      <c r="G119" s="0" t="inlineStr">
        <is>
          <t xml:space="preserve">""</t>
        </is>
      </c>
    </row>
    <row r="120" ht="70" customHeight="1">
      <c r="A120" s="2" t="inlineStr">
        <is>
          <t xml:space="preserve">API-081</t>
        </is>
      </c>
      <c r="B120" s="2" t="inlineStr">
        <is>
          <t xml:space="preserve">PUT /conversations/{conversationId}/read-state</t>
        </is>
      </c>
      <c r="C120" s="2" t="inlineStr">
        <is>
          <t xml:space="preserve">lastReadMessageId</t>
        </is>
      </c>
      <c r="D120" s="2" t="inlineStr">
        <is>
          <t xml:space="preserve">id</t>
        </is>
      </c>
      <c r="E120" s="2" t="inlineStr">
        <is>
          <t xml:space="preserve">Có</t>
        </is>
      </c>
      <c r="F120" s="2" t="inlineStr">
        <is>
          <t xml:space="preserve">Tin thuộc đúng conversation.</t>
        </is>
      </c>
      <c r="G120" s="2" t="inlineStr">
        <is>
          <t xml:space="preserve">"1001"</t>
        </is>
      </c>
    </row>
    <row r="121" ht="70" customHeight="1">
      <c r="A121" s="0" t="inlineStr">
        <is>
          <t xml:space="preserve">API-082</t>
        </is>
      </c>
      <c r="B121" s="0" t="inlineStr">
        <is>
          <t xml:space="preserve">PATCH /conversations/{conversationId}/preferences</t>
        </is>
      </c>
      <c r="C121" s="0" t="inlineStr">
        <is>
          <t xml:space="preserve">muted</t>
        </is>
      </c>
      <c r="D121" s="0" t="inlineStr">
        <is>
          <t xml:space="preserve">boolean</t>
        </is>
      </c>
      <c r="E121" s="0" t="inlineStr">
        <is>
          <t xml:space="preserve">Không</t>
        </is>
      </c>
      <c r="F121" s="0" t="inlineStr">
        <is>
          <t xml:space="preserve">Chỉ participant actor.</t>
        </is>
      </c>
      <c r="G121" s="0" t="inlineStr">
        <is>
          <t xml:space="preserve">true</t>
        </is>
      </c>
    </row>
    <row r="122" ht="70" customHeight="1">
      <c r="A122" s="2" t="inlineStr">
        <is>
          <t xml:space="preserve">API-082</t>
        </is>
      </c>
      <c r="B122" s="2" t="inlineStr">
        <is>
          <t xml:space="preserve">PATCH /conversations/{conversationId}/preferences</t>
        </is>
      </c>
      <c r="C122" s="2" t="inlineStr">
        <is>
          <t xml:space="preserve">archived</t>
        </is>
      </c>
      <c r="D122" s="2" t="inlineStr">
        <is>
          <t xml:space="preserve">boolean</t>
        </is>
      </c>
      <c r="E122" s="2" t="inlineStr">
        <is>
          <t xml:space="preserve">Không</t>
        </is>
      </c>
      <c r="F122" s="2" t="inlineStr">
        <is>
          <t xml:space="preserve">Không xóa phía bên kia.</t>
        </is>
      </c>
      <c r="G122" s="2" t="inlineStr">
        <is>
          <t xml:space="preserve">""</t>
        </is>
      </c>
    </row>
    <row r="123" ht="70" customHeight="1">
      <c r="A123" s="0" t="inlineStr">
        <is>
          <t xml:space="preserve">API-082</t>
        </is>
      </c>
      <c r="B123" s="0" t="inlineStr">
        <is>
          <t xml:space="preserve">PATCH /conversations/{conversationId}/preferences</t>
        </is>
      </c>
      <c r="C123" s="0" t="inlineStr">
        <is>
          <t xml:space="preserve">deleted</t>
        </is>
      </c>
      <c r="D123" s="0" t="inlineStr">
        <is>
          <t xml:space="preserve">boolean</t>
        </is>
      </c>
      <c r="E123" s="0" t="inlineStr">
        <is>
          <t xml:space="preserve">Không</t>
        </is>
      </c>
      <c r="F123" s="0" t="inlineStr">
        <is>
          <t xml:space="preserve">Ẩn phía mình theo chính sách.</t>
        </is>
      </c>
      <c r="G123" s="0" t="inlineStr">
        <is>
          <t xml:space="preserve">""</t>
        </is>
      </c>
    </row>
    <row r="124" ht="70" customHeight="1">
      <c r="A124" s="2" t="inlineStr">
        <is>
          <t xml:space="preserve">API-085</t>
        </is>
      </c>
      <c r="B124" s="2" t="inlineStr">
        <is>
          <t xml:space="preserve">POST /conversations/{conversationId}/post-shares</t>
        </is>
      </c>
      <c r="C124" s="2" t="inlineStr">
        <is>
          <t xml:space="preserve">clientMessageKey</t>
        </is>
      </c>
      <c r="D124" s="2" t="inlineStr">
        <is>
          <t xml:space="preserve">uuid</t>
        </is>
      </c>
      <c r="E124" s="2" t="inlineStr">
        <is>
          <t xml:space="preserve">Có</t>
        </is>
      </c>
      <c r="F124" s="2" t="inlineStr">
        <is>
          <t xml:space="preserve">Chống lặp theo sender.</t>
        </is>
      </c>
      <c r="G124" s="2" t="inlineStr">
        <is>
          <t xml:space="preserve">"8b00655c-4028-4265-b43e-8340ef5ddcf2"</t>
        </is>
      </c>
    </row>
    <row r="125" ht="70" customHeight="1">
      <c r="A125" s="0" t="inlineStr">
        <is>
          <t xml:space="preserve">API-085</t>
        </is>
      </c>
      <c r="B125" s="0" t="inlineStr">
        <is>
          <t xml:space="preserve">POST /conversations/{conversationId}/post-shares</t>
        </is>
      </c>
      <c r="C125" s="0" t="inlineStr">
        <is>
          <t xml:space="preserve">postId</t>
        </is>
      </c>
      <c r="D125" s="0" t="inlineStr">
        <is>
          <t xml:space="preserve">id</t>
        </is>
      </c>
      <c r="E125" s="0" t="inlineStr">
        <is>
          <t xml:space="preserve">Có</t>
        </is>
      </c>
      <c r="F125" s="0" t="inlineStr">
        <is>
          <t xml:space="preserve">Bài công khai từ v_public_house_posts.</t>
        </is>
      </c>
      <c r="G125" s="0" t="inlineStr">
        <is>
          <t xml:space="preserve">"201"</t>
        </is>
      </c>
    </row>
    <row r="126" ht="70" customHeight="1">
      <c r="A126" s="2" t="inlineStr">
        <is>
          <t xml:space="preserve">API-085</t>
        </is>
      </c>
      <c r="B126" s="2" t="inlineStr">
        <is>
          <t xml:space="preserve">POST /conversations/{conversationId}/post-shares</t>
        </is>
      </c>
      <c r="C126" s="2" t="inlineStr">
        <is>
          <t xml:space="preserve">content</t>
        </is>
      </c>
      <c r="D126" s="2" t="inlineStr">
        <is>
          <t xml:space="preserve">string</t>
        </is>
      </c>
      <c r="E126" s="2" t="inlineStr">
        <is>
          <t xml:space="preserve">Không</t>
        </is>
      </c>
      <c r="F126" s="2" t="inlineStr">
        <is>
          <t xml:space="preserve">Ghi chú ≤2.000 ký tự.</t>
        </is>
      </c>
      <c r="G126" s="2" t="inlineStr">
        <is>
          <t xml:space="preserve">""</t>
        </is>
      </c>
    </row>
    <row r="127" ht="70" customHeight="1">
      <c r="A127" s="0" t="inlineStr">
        <is>
          <t xml:space="preserve">API-088</t>
        </is>
      </c>
      <c r="B127" s="0" t="inlineStr">
        <is>
          <t xml:space="preserve">PUT /me/notifications/{notificationId}/read-state</t>
        </is>
      </c>
      <c r="C127" s="0" t="inlineStr">
        <is>
          <t xml:space="preserve">isRead</t>
        </is>
      </c>
      <c r="D127" s="0" t="inlineStr">
        <is>
          <t xml:space="preserve">boolean</t>
        </is>
      </c>
      <c r="E127" s="0" t="inlineStr">
        <is>
          <t xml:space="preserve">Có</t>
        </is>
      </c>
      <c r="F127" s="0" t="inlineStr">
        <is>
          <t xml:space="preserve">Chỉ true trong hợp đồng API này.</t>
        </is>
      </c>
      <c r="G127" s="0" t="inlineStr">
        <is>
          <t xml:space="preserve">true</t>
        </is>
      </c>
    </row>
    <row r="128" ht="70" customHeight="1">
      <c r="A128" s="2" t="inlineStr">
        <is>
          <t xml:space="preserve">API-089</t>
        </is>
      </c>
      <c r="B128" s="2" t="inlineStr">
        <is>
          <t xml:space="preserve">POST /me/notifications/read-all</t>
        </is>
      </c>
      <c r="C128" s="2" t="inlineStr">
        <is>
          <t xml:space="preserve">throughCreatedAt</t>
        </is>
      </c>
      <c r="D128" s="2" t="inlineStr">
        <is>
          <t xml:space="preserve">datetime</t>
        </is>
      </c>
      <c r="E128" s="2" t="inlineStr">
        <is>
          <t xml:space="preserve">Có</t>
        </is>
      </c>
      <c r="F128" s="2" t="inlineStr">
        <is>
          <t xml:space="preserve">Mốc server trả trong feed; không đánh dấu thông báo mới đến sau đó.</t>
        </is>
      </c>
      <c r="G128" s="2" t="inlineStr">
        <is>
          <t xml:space="preserve">"2026-10-29T03:00:00Z"</t>
        </is>
      </c>
    </row>
    <row r="129" ht="70" customHeight="1">
      <c r="A129" s="0" t="inlineStr">
        <is>
          <t xml:space="preserve">API-092</t>
        </is>
      </c>
      <c r="B129" s="0" t="inlineStr">
        <is>
          <t xml:space="preserve">POST /viewing-proposals</t>
        </is>
      </c>
      <c r="C129" s="0" t="inlineStr">
        <is>
          <t xml:space="preserve">conversationId</t>
        </is>
      </c>
      <c r="D129" s="0" t="inlineStr">
        <is>
          <t xml:space="preserve">id</t>
        </is>
      </c>
      <c r="E129" s="0" t="inlineStr">
        <is>
          <t xml:space="preserve">Có</t>
        </is>
      </c>
      <c r="F129" s="0" t="inlineStr">
        <is>
          <t xml:space="preserve">ROOM_INQUIRY của đúng cặp người, phòng và tin.</t>
        </is>
      </c>
      <c r="G129" s="0" t="inlineStr">
        <is>
          <t xml:space="preserve">"301"</t>
        </is>
      </c>
    </row>
    <row r="130" ht="70" customHeight="1">
      <c r="A130" s="2" t="inlineStr">
        <is>
          <t xml:space="preserve">API-092</t>
        </is>
      </c>
      <c r="B130" s="2" t="inlineStr">
        <is>
          <t xml:space="preserve">POST /viewing-proposals</t>
        </is>
      </c>
      <c r="C130" s="2" t="inlineStr">
        <is>
          <t xml:space="preserve">roomId</t>
        </is>
      </c>
      <c r="D130" s="2" t="inlineStr">
        <is>
          <t xml:space="preserve">id</t>
        </is>
      </c>
      <c r="E130" s="2" t="inlineStr">
        <is>
          <t xml:space="preserve">Có</t>
        </is>
      </c>
      <c r="F130" s="2" t="inlineStr">
        <is>
          <t xml:space="preserve">AVAILABLE, chưa hợp đồng mở, không tải phòng.</t>
        </is>
      </c>
      <c r="G130" s="2" t="inlineStr">
        <is>
          <t xml:space="preserve">"101"</t>
        </is>
      </c>
    </row>
    <row r="131" ht="70" customHeight="1">
      <c r="A131" s="0" t="inlineStr">
        <is>
          <t xml:space="preserve">API-092</t>
        </is>
      </c>
      <c r="B131" s="0" t="inlineStr">
        <is>
          <t xml:space="preserve">POST /viewing-proposals</t>
        </is>
      </c>
      <c r="C131" s="0" t="inlineStr">
        <is>
          <t xml:space="preserve">startsAt</t>
        </is>
      </c>
      <c r="D131" s="0" t="inlineStr">
        <is>
          <t xml:space="preserve">datetime</t>
        </is>
      </c>
      <c r="E131" s="0" t="inlineStr">
        <is>
          <t xml:space="preserve">Có</t>
        </is>
      </c>
      <c r="F131" s="0" t="inlineStr">
        <is>
          <t xml:space="preserve">ISO 8601 có offset; tương lai. Lưu UTC, ngày/giờ nghiệp vụ Asia/Ho_Chi_Minh.</t>
        </is>
      </c>
      <c r="G131" s="0" t="inlineStr">
        <is>
          <t xml:space="preserve">"2026-11-02T09:00:00+07:00"</t>
        </is>
      </c>
    </row>
    <row r="132" ht="70" customHeight="1">
      <c r="A132" s="2" t="inlineStr">
        <is>
          <t xml:space="preserve">API-092</t>
        </is>
      </c>
      <c r="B132" s="2" t="inlineStr">
        <is>
          <t xml:space="preserve">POST /viewing-proposals</t>
        </is>
      </c>
      <c r="C132" s="2" t="inlineStr">
        <is>
          <t xml:space="preserve">durationMinutes</t>
        </is>
      </c>
      <c r="D132" s="2" t="inlineStr">
        <is>
          <t xml:space="preserve">integer</t>
        </is>
      </c>
      <c r="E132" s="2" t="inlineStr">
        <is>
          <t xml:space="preserve">Có</t>
        </is>
      </c>
      <c r="F132" s="2" t="inlineStr">
        <is>
          <t xml:space="preserve">Chỉ 30/60/90/120.</t>
        </is>
      </c>
      <c r="G132" s="2" t="inlineStr">
        <is>
          <t xml:space="preserve">60</t>
        </is>
      </c>
    </row>
    <row r="133" ht="70" customHeight="1">
      <c r="A133" s="0" t="inlineStr">
        <is>
          <t xml:space="preserve">API-092</t>
        </is>
      </c>
      <c r="B133" s="0" t="inlineStr">
        <is>
          <t xml:space="preserve">POST /viewing-proposals</t>
        </is>
      </c>
      <c r="C133" s="0" t="inlineStr">
        <is>
          <t xml:space="preserve">notes</t>
        </is>
      </c>
      <c r="D133" s="0" t="inlineStr">
        <is>
          <t xml:space="preserve">string</t>
        </is>
      </c>
      <c r="E133" s="0" t="inlineStr">
        <is>
          <t xml:space="preserve">Không</t>
        </is>
      </c>
      <c r="F133" s="0" t="inlineStr">
        <is>
          <t xml:space="preserve">Tối đa 2.000 ký tự.</t>
        </is>
      </c>
      <c r="G133" s="0" t="inlineStr">
        <is>
          <t xml:space="preserve">""</t>
        </is>
      </c>
    </row>
    <row r="134" ht="70" customHeight="1">
      <c r="A134" s="2" t="inlineStr">
        <is>
          <t xml:space="preserve">API-093</t>
        </is>
      </c>
      <c r="B134" s="2" t="inlineStr">
        <is>
          <t xml:space="preserve">POST /viewing-proposals/{proposalId}/decision</t>
        </is>
      </c>
      <c r="C134" s="2" t="inlineStr">
        <is>
          <t xml:space="preserve">decision</t>
        </is>
      </c>
      <c r="D134" s="2" t="inlineStr">
        <is>
          <t xml:space="preserve">enum</t>
        </is>
      </c>
      <c r="E134" s="2" t="inlineStr">
        <is>
          <t xml:space="preserve">Có</t>
        </is>
      </c>
      <c r="F134" s="2" t="inlineStr">
        <is>
          <t xml:space="preserve">ACCEPT / REJECT.</t>
        </is>
      </c>
      <c r="G134" s="2" t="inlineStr">
        <is>
          <t xml:space="preserve">"ACCEPT"</t>
        </is>
      </c>
    </row>
    <row r="135" ht="70" customHeight="1">
      <c r="A135" s="0" t="inlineStr">
        <is>
          <t xml:space="preserve">API-093</t>
        </is>
      </c>
      <c r="B135" s="0" t="inlineStr">
        <is>
          <t xml:space="preserve">POST /viewing-proposals/{proposalId}/decision</t>
        </is>
      </c>
      <c r="C135" s="0" t="inlineStr">
        <is>
          <t xml:space="preserve">reason</t>
        </is>
      </c>
      <c r="D135" s="0" t="inlineStr">
        <is>
          <t xml:space="preserve">string</t>
        </is>
      </c>
      <c r="E135" s="0" t="inlineStr">
        <is>
          <t xml:space="preserve">Không</t>
        </is>
      </c>
      <c r="F135" s="0" t="inlineStr">
        <is>
          <t xml:space="preserve">Bắt buộc REJECT, ≤1.000 ký tự.</t>
        </is>
      </c>
      <c r="G135" s="0" t="inlineStr">
        <is>
          <t xml:space="preserve">""</t>
        </is>
      </c>
    </row>
    <row r="136" ht="70" customHeight="1">
      <c r="A136" s="2" t="inlineStr">
        <is>
          <t xml:space="preserve">API-097</t>
        </is>
      </c>
      <c r="B136" s="2" t="inlineStr">
        <is>
          <t xml:space="preserve">POST /viewings</t>
        </is>
      </c>
      <c r="C136" s="2" t="inlineStr">
        <is>
          <t xml:space="preserve">conversationId</t>
        </is>
      </c>
      <c r="D136" s="2" t="inlineStr">
        <is>
          <t xml:space="preserve">id</t>
        </is>
      </c>
      <c r="E136" s="2" t="inlineStr">
        <is>
          <t xml:space="preserve">Có</t>
        </is>
      </c>
      <c r="F136" s="2" t="inlineStr">
        <is>
          <t xml:space="preserve">ROOM_INQUIRY của đúng cặp người, phòng và tin.</t>
        </is>
      </c>
      <c r="G136" s="2" t="inlineStr">
        <is>
          <t xml:space="preserve">"301"</t>
        </is>
      </c>
    </row>
    <row r="137" ht="70" customHeight="1">
      <c r="A137" s="0" t="inlineStr">
        <is>
          <t xml:space="preserve">API-097</t>
        </is>
      </c>
      <c r="B137" s="0" t="inlineStr">
        <is>
          <t xml:space="preserve">POST /viewings</t>
        </is>
      </c>
      <c r="C137" s="0" t="inlineStr">
        <is>
          <t xml:space="preserve">roomId</t>
        </is>
      </c>
      <c r="D137" s="0" t="inlineStr">
        <is>
          <t xml:space="preserve">id</t>
        </is>
      </c>
      <c r="E137" s="0" t="inlineStr">
        <is>
          <t xml:space="preserve">Có</t>
        </is>
      </c>
      <c r="F137" s="0" t="inlineStr">
        <is>
          <t xml:space="preserve">AVAILABLE, chưa hợp đồng mở, không tải phòng.</t>
        </is>
      </c>
      <c r="G137" s="0" t="inlineStr">
        <is>
          <t xml:space="preserve">"101"</t>
        </is>
      </c>
    </row>
    <row r="138" ht="70" customHeight="1">
      <c r="A138" s="2" t="inlineStr">
        <is>
          <t xml:space="preserve">API-097</t>
        </is>
      </c>
      <c r="B138" s="2" t="inlineStr">
        <is>
          <t xml:space="preserve">POST /viewings</t>
        </is>
      </c>
      <c r="C138" s="2" t="inlineStr">
        <is>
          <t xml:space="preserve">startsAt</t>
        </is>
      </c>
      <c r="D138" s="2" t="inlineStr">
        <is>
          <t xml:space="preserve">datetime</t>
        </is>
      </c>
      <c r="E138" s="2" t="inlineStr">
        <is>
          <t xml:space="preserve">Có</t>
        </is>
      </c>
      <c r="F138" s="2" t="inlineStr">
        <is>
          <t xml:space="preserve">ISO 8601 có offset; tương lai. Lưu UTC, ngày/giờ nghiệp vụ Asia/Ho_Chi_Minh.</t>
        </is>
      </c>
      <c r="G138" s="2" t="inlineStr">
        <is>
          <t xml:space="preserve">"2026-11-02T09:00:00+07:00"</t>
        </is>
      </c>
    </row>
    <row r="139" ht="70" customHeight="1">
      <c r="A139" s="0" t="inlineStr">
        <is>
          <t xml:space="preserve">API-097</t>
        </is>
      </c>
      <c r="B139" s="0" t="inlineStr">
        <is>
          <t xml:space="preserve">POST /viewings</t>
        </is>
      </c>
      <c r="C139" s="0" t="inlineStr">
        <is>
          <t xml:space="preserve">durationMinutes</t>
        </is>
      </c>
      <c r="D139" s="0" t="inlineStr">
        <is>
          <t xml:space="preserve">integer</t>
        </is>
      </c>
      <c r="E139" s="0" t="inlineStr">
        <is>
          <t xml:space="preserve">Có</t>
        </is>
      </c>
      <c r="F139" s="0" t="inlineStr">
        <is>
          <t xml:space="preserve">Chỉ 30/60/90/120.</t>
        </is>
      </c>
      <c r="G139" s="0" t="inlineStr">
        <is>
          <t xml:space="preserve">60</t>
        </is>
      </c>
    </row>
    <row r="140" ht="70" customHeight="1">
      <c r="A140" s="2" t="inlineStr">
        <is>
          <t xml:space="preserve">API-097</t>
        </is>
      </c>
      <c r="B140" s="2" t="inlineStr">
        <is>
          <t xml:space="preserve">POST /viewings</t>
        </is>
      </c>
      <c r="C140" s="2" t="inlineStr">
        <is>
          <t xml:space="preserve">notes</t>
        </is>
      </c>
      <c r="D140" s="2" t="inlineStr">
        <is>
          <t xml:space="preserve">string</t>
        </is>
      </c>
      <c r="E140" s="2" t="inlineStr">
        <is>
          <t xml:space="preserve">Không</t>
        </is>
      </c>
      <c r="F140" s="2" t="inlineStr">
        <is>
          <t xml:space="preserve">Tối đa 2.000 ký tự.</t>
        </is>
      </c>
      <c r="G140" s="2" t="inlineStr">
        <is>
          <t xml:space="preserve">""</t>
        </is>
      </c>
    </row>
    <row r="141" ht="70" customHeight="1">
      <c r="A141" s="0" t="inlineStr">
        <is>
          <t xml:space="preserve">API-097</t>
        </is>
      </c>
      <c r="B141" s="0" t="inlineStr">
        <is>
          <t xml:space="preserve">POST /viewings</t>
        </is>
      </c>
      <c r="C141" s="0" t="inlineStr">
        <is>
          <t xml:space="preserve">tenantId</t>
        </is>
      </c>
      <c r="D141" s="0" t="inlineStr">
        <is>
          <t xml:space="preserve">id</t>
        </is>
      </c>
      <c r="E141" s="0" t="inlineStr">
        <is>
          <t xml:space="preserve">Có</t>
        </is>
      </c>
      <c r="F141" s="0" t="inlineStr">
        <is>
          <t xml:space="preserve">Đúng tenant trong ROOM_INQUIRY, đã gửi tin về phòng.</t>
        </is>
      </c>
      <c r="G141" s="0" t="inlineStr">
        <is>
          <t xml:space="preserve">"21"</t>
        </is>
      </c>
    </row>
    <row r="142" ht="70" customHeight="1">
      <c r="A142" s="2" t="inlineStr">
        <is>
          <t xml:space="preserve">API-098</t>
        </is>
      </c>
      <c r="B142" s="2" t="inlineStr">
        <is>
          <t xml:space="preserve">POST /viewings/{viewingId}/attendance</t>
        </is>
      </c>
      <c r="C142" s="2" t="inlineStr">
        <is>
          <t xml:space="preserve">outcome</t>
        </is>
      </c>
      <c r="D142" s="2" t="inlineStr">
        <is>
          <t xml:space="preserve">enum</t>
        </is>
      </c>
      <c r="E142" s="2" t="inlineStr">
        <is>
          <t xml:space="preserve">Có</t>
        </is>
      </c>
      <c r="F142" s="2" t="inlineStr">
        <is>
          <t xml:space="preserve">ATTENDED / NO_SHOW.</t>
        </is>
      </c>
      <c r="G142" s="2" t="inlineStr">
        <is>
          <t xml:space="preserve">"ATTENDED"</t>
        </is>
      </c>
    </row>
    <row r="143" ht="70" customHeight="1">
      <c r="A143" s="0" t="inlineStr">
        <is>
          <t xml:space="preserve">API-099</t>
        </is>
      </c>
      <c r="B143" s="0" t="inlineStr">
        <is>
          <t xml:space="preserve">POST /viewings/{viewingId}/cancel</t>
        </is>
      </c>
      <c r="C143" s="0" t="inlineStr">
        <is>
          <t xml:space="preserve">reason</t>
        </is>
      </c>
      <c r="D143" s="0" t="inlineStr">
        <is>
          <t xml:space="preserve">string</t>
        </is>
      </c>
      <c r="E143" s="0" t="inlineStr">
        <is>
          <t xml:space="preserve">Có</t>
        </is>
      </c>
      <c r="F143" s="0" t="inlineStr">
        <is>
          <t xml:space="preserve">Không chỉ khoảng trắng; tối đa 1.000 ký tự.</t>
        </is>
      </c>
      <c r="G143" s="0" t="inlineStr">
        <is>
          <t xml:space="preserve">"Người thuê thay đổi kế hoạch"</t>
        </is>
      </c>
    </row>
    <row r="144" ht="70" customHeight="1">
      <c r="A144" s="2" t="inlineStr">
        <is>
          <t xml:space="preserve">API-100</t>
        </is>
      </c>
      <c r="B144" s="2" t="inlineStr">
        <is>
          <t xml:space="preserve">POST /viewings/{viewingId}/rental-decision</t>
        </is>
      </c>
      <c r="C144" s="2" t="inlineStr">
        <is>
          <t xml:space="preserve">decision</t>
        </is>
      </c>
      <c r="D144" s="2" t="inlineStr">
        <is>
          <t xml:space="preserve">enum</t>
        </is>
      </c>
      <c r="E144" s="2" t="inlineStr">
        <is>
          <t xml:space="preserve">Có</t>
        </is>
      </c>
      <c r="F144" s="2" t="inlineStr">
        <is>
          <t xml:space="preserve">AGREE / DECLINE / WITHDRAW.</t>
        </is>
      </c>
      <c r="G144" s="2" t="inlineStr">
        <is>
          <t xml:space="preserve">"AGREE"</t>
        </is>
      </c>
    </row>
    <row r="145" ht="70" customHeight="1">
      <c r="A145" s="0" t="inlineStr">
        <is>
          <t xml:space="preserve">API-103</t>
        </is>
      </c>
      <c r="B145" s="0" t="inlineStr">
        <is>
          <t xml:space="preserve">POST /contracts</t>
        </is>
      </c>
      <c r="C145" s="0" t="inlineStr">
        <is>
          <t xml:space="preserve">viewingId</t>
        </is>
      </c>
      <c r="D145" s="0" t="inlineStr">
        <is>
          <t xml:space="preserve">id</t>
        </is>
      </c>
      <c r="E145" s="0" t="inlineStr">
        <is>
          <t xml:space="preserve">Có</t>
        </is>
      </c>
      <c r="F145" s="0" t="inlineStr">
        <is>
          <t xml:space="preserve">COMPLETED + AGREED; chưa có hợp đồng mở.</t>
        </is>
      </c>
      <c r="G145" s="0" t="inlineStr">
        <is>
          <t xml:space="preserve">"701"</t>
        </is>
      </c>
    </row>
    <row r="146" ht="70" customHeight="1">
      <c r="A146" s="2" t="inlineStr">
        <is>
          <t xml:space="preserve">API-103</t>
        </is>
      </c>
      <c r="B146" s="2" t="inlineStr">
        <is>
          <t xml:space="preserve">POST /contracts</t>
        </is>
      </c>
      <c r="C146" s="2" t="inlineStr">
        <is>
          <t xml:space="preserve">contractNumber</t>
        </is>
      </c>
      <c r="D146" s="2" t="inlineStr">
        <is>
          <t xml:space="preserve">string</t>
        </is>
      </c>
      <c r="E146" s="2" t="inlineStr">
        <is>
          <t xml:space="preserve">Có</t>
        </is>
      </c>
      <c r="F146" s="2" t="inlineStr">
        <is>
          <t xml:space="preserve">Duy nhất; 1–100 ký tự.</t>
        </is>
      </c>
      <c r="G146" s="2" t="inlineStr">
        <is>
          <t xml:space="preserve">"HD-2026-101"</t>
        </is>
      </c>
    </row>
    <row r="147" ht="70" customHeight="1">
      <c r="A147" s="0" t="inlineStr">
        <is>
          <t xml:space="preserve">API-103</t>
        </is>
      </c>
      <c r="B147" s="0" t="inlineStr">
        <is>
          <t xml:space="preserve">POST /contracts</t>
        </is>
      </c>
      <c r="C147" s="0" t="inlineStr">
        <is>
          <t xml:space="preserve">startDate</t>
        </is>
      </c>
      <c r="D147" s="0" t="inlineStr">
        <is>
          <t xml:space="preserve">date</t>
        </is>
      </c>
      <c r="E147" s="0" t="inlineStr">
        <is>
          <t xml:space="preserve">Có</t>
        </is>
      </c>
      <c r="F147" s="0" t="inlineStr">
        <is>
          <t xml:space="preserve">Ngày bắt đầu theo Việt Nam.</t>
        </is>
      </c>
      <c r="G147" s="0" t="inlineStr">
        <is>
          <t xml:space="preserve">"2026-11-02"</t>
        </is>
      </c>
    </row>
    <row r="148" ht="70" customHeight="1">
      <c r="A148" s="2" t="inlineStr">
        <is>
          <t xml:space="preserve">API-103</t>
        </is>
      </c>
      <c r="B148" s="2" t="inlineStr">
        <is>
          <t xml:space="preserve">POST /contracts</t>
        </is>
      </c>
      <c r="C148" s="2" t="inlineStr">
        <is>
          <t xml:space="preserve">endDate</t>
        </is>
      </c>
      <c r="D148" s="2" t="inlineStr">
        <is>
          <t xml:space="preserve">date</t>
        </is>
      </c>
      <c r="E148" s="2" t="inlineStr">
        <is>
          <t xml:space="preserve">Có</t>
        </is>
      </c>
      <c r="F148" s="2" t="inlineStr">
        <is>
          <t xml:space="preserve">≥ startDate.</t>
        </is>
      </c>
      <c r="G148" s="2" t="inlineStr">
        <is>
          <t xml:space="preserve">"2027-11-01"</t>
        </is>
      </c>
    </row>
    <row r="149" ht="70" customHeight="1">
      <c r="A149" s="0" t="inlineStr">
        <is>
          <t xml:space="preserve">API-103</t>
        </is>
      </c>
      <c r="B149" s="0" t="inlineStr">
        <is>
          <t xml:space="preserve">POST /contracts</t>
        </is>
      </c>
      <c r="C149" s="0" t="inlineStr">
        <is>
          <t xml:space="preserve">rentAmount</t>
        </is>
      </c>
      <c r="D149" s="0" t="inlineStr">
        <is>
          <t xml:space="preserve">money</t>
        </is>
      </c>
      <c r="E149" s="0" t="inlineStr">
        <is>
          <t xml:space="preserve">Có</t>
        </is>
      </c>
      <c r="F149" s="0" t="inlineStr">
        <is>
          <t xml:space="preserve">Không âm.</t>
        </is>
      </c>
      <c r="G149" s="0" t="inlineStr">
        <is>
          <t xml:space="preserve">"3800000.00"</t>
        </is>
      </c>
    </row>
    <row r="150" ht="70" customHeight="1">
      <c r="A150" s="2" t="inlineStr">
        <is>
          <t xml:space="preserve">API-103</t>
        </is>
      </c>
      <c r="B150" s="2" t="inlineStr">
        <is>
          <t xml:space="preserve">POST /contracts</t>
        </is>
      </c>
      <c r="C150" s="2" t="inlineStr">
        <is>
          <t xml:space="preserve">depositAmount</t>
        </is>
      </c>
      <c r="D150" s="2" t="inlineStr">
        <is>
          <t xml:space="preserve">money</t>
        </is>
      </c>
      <c r="E150" s="2" t="inlineStr">
        <is>
          <t xml:space="preserve">Có</t>
        </is>
      </c>
      <c r="F150" s="2" t="inlineStr">
        <is>
          <t xml:space="preserve">Không âm.</t>
        </is>
      </c>
      <c r="G150" s="2" t="inlineStr">
        <is>
          <t xml:space="preserve">"3800000.00"</t>
        </is>
      </c>
    </row>
    <row r="151" ht="70" customHeight="1">
      <c r="A151" s="0" t="inlineStr">
        <is>
          <t xml:space="preserve">API-103</t>
        </is>
      </c>
      <c r="B151" s="0" t="inlineStr">
        <is>
          <t xml:space="preserve">POST /contracts</t>
        </is>
      </c>
      <c r="C151" s="0" t="inlineStr">
        <is>
          <t xml:space="preserve">content</t>
        </is>
      </c>
      <c r="D151" s="0" t="inlineStr">
        <is>
          <t xml:space="preserve">string</t>
        </is>
      </c>
      <c r="E151" s="0" t="inlineStr">
        <is>
          <t xml:space="preserve">Có</t>
        </is>
      </c>
      <c r="F151" s="0" t="inlineStr">
        <is>
          <t xml:space="preserve">Điều khoản đã chuẩn bị; không trống.</t>
        </is>
      </c>
      <c r="G151" s="0" t="inlineStr">
        <is>
          <t xml:space="preserve">"Nội dung hợp đồng được hai bên đối chiếu."</t>
        </is>
      </c>
    </row>
    <row r="152" ht="70" customHeight="1">
      <c r="A152" s="2" t="inlineStr">
        <is>
          <t xml:space="preserve">API-103</t>
        </is>
      </c>
      <c r="B152" s="2" t="inlineStr">
        <is>
          <t xml:space="preserve">POST /contracts</t>
        </is>
      </c>
      <c r="C152" s="2" t="inlineStr">
        <is>
          <t xml:space="preserve">templateId</t>
        </is>
      </c>
      <c r="D152" s="2" t="inlineStr">
        <is>
          <t xml:space="preserve">id</t>
        </is>
      </c>
      <c r="E152" s="2" t="inlineStr">
        <is>
          <t xml:space="preserve">Không</t>
        </is>
      </c>
      <c r="F152" s="2" t="inlineStr">
        <is>
          <t xml:space="preserve">Mẫu còn active; không thay thế snapshot nội dung.</t>
        </is>
      </c>
      <c r="G152" s="2" t="inlineStr">
        <is>
          <t xml:space="preserve">""</t>
        </is>
      </c>
    </row>
    <row r="153" ht="70" customHeight="1">
      <c r="A153" s="0" t="inlineStr">
        <is>
          <t xml:space="preserve">API-103</t>
        </is>
      </c>
      <c r="B153" s="0" t="inlineStr">
        <is>
          <t xml:space="preserve">POST /contracts</t>
        </is>
      </c>
      <c r="C153" s="0" t="inlineStr">
        <is>
          <t xml:space="preserve">extraMembers</t>
        </is>
      </c>
      <c r="D153" s="0" t="inlineStr">
        <is>
          <t xml:space="preserve">PlannedMember[]</t>
        </is>
      </c>
      <c r="E153" s="0" t="inlineStr">
        <is>
          <t xml:space="preserve">Có</t>
        </is>
      </c>
      <c r="F153" s="0" t="inlineStr">
        <is>
          <t xml:space="preserve">Không gồm đại diện từ viewing; tổng đại diện + mảng ≤ capacity.</t>
        </is>
      </c>
      <c r="G153" s="0" t="inlineStr">
        <is>
          <t xml:space="preserve">[]</t>
        </is>
      </c>
    </row>
    <row r="154" ht="70" customHeight="1">
      <c r="A154" s="2" t="inlineStr">
        <is>
          <t xml:space="preserve">API-106</t>
        </is>
      </c>
      <c r="B154" s="2" t="inlineStr">
        <is>
          <t xml:space="preserve">POST /contracts/{contractId}/revision-requests</t>
        </is>
      </c>
      <c r="C154" s="2" t="inlineStr">
        <is>
          <t xml:space="preserve">reason</t>
        </is>
      </c>
      <c r="D154" s="2" t="inlineStr">
        <is>
          <t xml:space="preserve">string</t>
        </is>
      </c>
      <c r="E154" s="2" t="inlineStr">
        <is>
          <t xml:space="preserve">Có</t>
        </is>
      </c>
      <c r="F154" s="2" t="inlineStr">
        <is>
          <t xml:space="preserve">Không chỉ khoảng trắng; tối đa 1.000 ký tự.</t>
        </is>
      </c>
      <c r="G154" s="2" t="inlineStr">
        <is>
          <t xml:space="preserve">"Người thuê thay đổi kế hoạch"</t>
        </is>
      </c>
    </row>
    <row r="155" ht="70" customHeight="1">
      <c r="A155" s="0" t="inlineStr">
        <is>
          <t xml:space="preserve">API-107</t>
        </is>
      </c>
      <c r="B155" s="0" t="inlineStr">
        <is>
          <t xml:space="preserve">PATCH /contracts/{contractId}/revisions/{revisionId}</t>
        </is>
      </c>
      <c r="C155" s="0" t="inlineStr">
        <is>
          <t xml:space="preserve">baseRevisionId</t>
        </is>
      </c>
      <c r="D155" s="0" t="inlineStr">
        <is>
          <t xml:space="preserve">id</t>
        </is>
      </c>
      <c r="E155" s="0" t="inlineStr">
        <is>
          <t xml:space="preserve">Không</t>
        </is>
      </c>
      <c r="F155" s="0" t="inlineStr">
        <is>
          <t xml:space="preserve">Phiên bản hiện tại đã đọc.</t>
        </is>
      </c>
      <c r="G155" s="0" t="inlineStr">
        <is>
          <t xml:space="preserve">"901"</t>
        </is>
      </c>
    </row>
    <row r="156" ht="70" customHeight="1">
      <c r="A156" s="2" t="inlineStr">
        <is>
          <t xml:space="preserve">API-107</t>
        </is>
      </c>
      <c r="B156" s="2" t="inlineStr">
        <is>
          <t xml:space="preserve">PATCH /contracts/{contractId}/revisions/{revisionId}</t>
        </is>
      </c>
      <c r="C156" s="2" t="inlineStr">
        <is>
          <t xml:space="preserve">endDate</t>
        </is>
      </c>
      <c r="D156" s="2" t="inlineStr">
        <is>
          <t xml:space="preserve">date</t>
        </is>
      </c>
      <c r="E156" s="2" t="inlineStr">
        <is>
          <t xml:space="preserve">Không</t>
        </is>
      </c>
      <c r="F156" s="2" t="inlineStr">
        <is>
          <t xml:space="preserve">Không trước ngày bắt đầu.</t>
        </is>
      </c>
      <c r="G156" s="2" t="inlineStr">
        <is>
          <t xml:space="preserve">"2027-11-01"</t>
        </is>
      </c>
    </row>
    <row r="157" ht="70" customHeight="1">
      <c r="A157" s="0" t="inlineStr">
        <is>
          <t xml:space="preserve">API-107</t>
        </is>
      </c>
      <c r="B157" s="0" t="inlineStr">
        <is>
          <t xml:space="preserve">PATCH /contracts/{contractId}/revisions/{revisionId}</t>
        </is>
      </c>
      <c r="C157" s="0" t="inlineStr">
        <is>
          <t xml:space="preserve">rentAmount</t>
        </is>
      </c>
      <c r="D157" s="0" t="inlineStr">
        <is>
          <t xml:space="preserve">money</t>
        </is>
      </c>
      <c r="E157" s="0" t="inlineStr">
        <is>
          <t xml:space="preserve">Không</t>
        </is>
      </c>
      <c r="F157" s="0" t="inlineStr">
        <is>
          <t xml:space="preserve">Không âm.</t>
        </is>
      </c>
      <c r="G157" s="0" t="inlineStr">
        <is>
          <t xml:space="preserve">"3800000.00"</t>
        </is>
      </c>
    </row>
    <row r="158" ht="70" customHeight="1">
      <c r="A158" s="2" t="inlineStr">
        <is>
          <t xml:space="preserve">API-107</t>
        </is>
      </c>
      <c r="B158" s="2" t="inlineStr">
        <is>
          <t xml:space="preserve">PATCH /contracts/{contractId}/revisions/{revisionId}</t>
        </is>
      </c>
      <c r="C158" s="2" t="inlineStr">
        <is>
          <t xml:space="preserve">depositAmount</t>
        </is>
      </c>
      <c r="D158" s="2" t="inlineStr">
        <is>
          <t xml:space="preserve">money</t>
        </is>
      </c>
      <c r="E158" s="2" t="inlineStr">
        <is>
          <t xml:space="preserve">Không</t>
        </is>
      </c>
      <c r="F158" s="2" t="inlineStr">
        <is>
          <t xml:space="preserve">Không âm.</t>
        </is>
      </c>
      <c r="G158" s="2" t="inlineStr">
        <is>
          <t xml:space="preserve">"3800000.00"</t>
        </is>
      </c>
    </row>
    <row r="159" ht="70" customHeight="1">
      <c r="A159" s="0" t="inlineStr">
        <is>
          <t xml:space="preserve">API-107</t>
        </is>
      </c>
      <c r="B159" s="0" t="inlineStr">
        <is>
          <t xml:space="preserve">PATCH /contracts/{contractId}/revisions/{revisionId}</t>
        </is>
      </c>
      <c r="C159" s="0" t="inlineStr">
        <is>
          <t xml:space="preserve">content</t>
        </is>
      </c>
      <c r="D159" s="0" t="inlineStr">
        <is>
          <t xml:space="preserve">string</t>
        </is>
      </c>
      <c r="E159" s="0" t="inlineStr">
        <is>
          <t xml:space="preserve">Không</t>
        </is>
      </c>
      <c r="F159" s="0" t="inlineStr">
        <is>
          <t xml:space="preserve">Điều khoản phiên bản mới.</t>
        </is>
      </c>
      <c r="G159" s="0" t="inlineStr">
        <is>
          <t xml:space="preserve">"Điều khoản đã điều chỉnh"</t>
        </is>
      </c>
    </row>
    <row r="160" ht="70" customHeight="1">
      <c r="A160" s="2" t="inlineStr">
        <is>
          <t xml:space="preserve">API-107</t>
        </is>
      </c>
      <c r="B160" s="2" t="inlineStr">
        <is>
          <t xml:space="preserve">PATCH /contracts/{contractId}/revisions/{revisionId}</t>
        </is>
      </c>
      <c r="C160" s="2" t="inlineStr">
        <is>
          <t xml:space="preserve">templateId</t>
        </is>
      </c>
      <c r="D160" s="2" t="inlineStr">
        <is>
          <t xml:space="preserve">id</t>
        </is>
      </c>
      <c r="E160" s="2" t="inlineStr">
        <is>
          <t xml:space="preserve">Không</t>
        </is>
      </c>
      <c r="F160" s="2" t="inlineStr">
        <is>
          <t xml:space="preserve">Mẫu active nếu có.</t>
        </is>
      </c>
      <c r="G160" s="2" t="inlineStr">
        <is>
          <t xml:space="preserve">""</t>
        </is>
      </c>
    </row>
    <row r="161" ht="70" customHeight="1">
      <c r="A161" s="0" t="inlineStr">
        <is>
          <t xml:space="preserve">API-109</t>
        </is>
      </c>
      <c r="B161" s="0" t="inlineStr">
        <is>
          <t xml:space="preserve">POST /contracts/{contractId}/confirm</t>
        </is>
      </c>
      <c r="C161" s="0" t="inlineStr">
        <is>
          <t xml:space="preserve">revisionId</t>
        </is>
      </c>
      <c r="D161" s="0" t="inlineStr">
        <is>
          <t xml:space="preserve">id</t>
        </is>
      </c>
      <c r="E161" s="0" t="inlineStr">
        <is>
          <t xml:space="preserve">Có</t>
        </is>
      </c>
      <c r="F161" s="0" t="inlineStr">
        <is>
          <t xml:space="preserve">Phải là current_revision_id đang chờ.</t>
        </is>
      </c>
      <c r="G161" s="0" t="inlineStr">
        <is>
          <t xml:space="preserve">"901"</t>
        </is>
      </c>
    </row>
    <row r="162" ht="70" customHeight="1">
      <c r="A162" s="2" t="inlineStr">
        <is>
          <t xml:space="preserve">API-110</t>
        </is>
      </c>
      <c r="B162" s="2" t="inlineStr">
        <is>
          <t xml:space="preserve">POST /contracts/{contractId}/move-ins</t>
        </is>
      </c>
      <c r="C162" s="2" t="inlineStr">
        <is>
          <t xml:space="preserve">memberIds</t>
        </is>
      </c>
      <c r="D162" s="2" t="inlineStr">
        <is>
          <t xml:space="preserve">id[]</t>
        </is>
      </c>
      <c r="E162" s="2" t="inlineStr">
        <is>
          <t xml:space="preserve">Có</t>
        </is>
      </c>
      <c r="F162" s="2" t="inlineStr">
        <is>
          <t xml:space="preserve">Các room_tenant ID PLANNED của contract, không lặp; lần đầu gồm đại diện.</t>
        </is>
      </c>
      <c r="G162" s="2" t="inlineStr">
        <is>
          <t xml:space="preserve">["1101"]</t>
        </is>
      </c>
    </row>
    <row r="163" ht="70" customHeight="1">
      <c r="A163" s="0" t="inlineStr">
        <is>
          <t xml:space="preserve">API-110</t>
        </is>
      </c>
      <c r="B163" s="0" t="inlineStr">
        <is>
          <t xml:space="preserve">POST /contracts/{contractId}/move-ins</t>
        </is>
      </c>
      <c r="C163" s="0" t="inlineStr">
        <is>
          <t xml:space="preserve">moveInDate</t>
        </is>
      </c>
      <c r="D163" s="0" t="inlineStr">
        <is>
          <t xml:space="preserve">date</t>
        </is>
      </c>
      <c r="E163" s="0" t="inlineStr">
        <is>
          <t xml:space="preserve">Có</t>
        </is>
      </c>
      <c r="F163" s="0" t="inlineStr">
        <is>
          <t xml:space="preserve">Không tương lai, nằm trong thời hạn hợp đồng.</t>
        </is>
      </c>
      <c r="G163" s="0" t="inlineStr">
        <is>
          <t xml:space="preserve">"2026-11-02"</t>
        </is>
      </c>
    </row>
    <row r="164" ht="70" customHeight="1">
      <c r="A164" s="2" t="inlineStr">
        <is>
          <t xml:space="preserve">API-111</t>
        </is>
      </c>
      <c r="B164" s="2" t="inlineStr">
        <is>
          <t xml:space="preserve">POST /contracts/{contractId}/cancel</t>
        </is>
      </c>
      <c r="C164" s="2" t="inlineStr">
        <is>
          <t xml:space="preserve">reason</t>
        </is>
      </c>
      <c r="D164" s="2" t="inlineStr">
        <is>
          <t xml:space="preserve">string</t>
        </is>
      </c>
      <c r="E164" s="2" t="inlineStr">
        <is>
          <t xml:space="preserve">Có</t>
        </is>
      </c>
      <c r="F164" s="2" t="inlineStr">
        <is>
          <t xml:space="preserve">Không chỉ khoảng trắng; tối đa 1.000 ký tự.</t>
        </is>
      </c>
      <c r="G164" s="2" t="inlineStr">
        <is>
          <t xml:space="preserve">"Người thuê thay đổi kế hoạch"</t>
        </is>
      </c>
    </row>
    <row r="165" ht="70" customHeight="1">
      <c r="A165" s="0" t="inlineStr">
        <is>
          <t xml:space="preserve">API-112</t>
        </is>
      </c>
      <c r="B165" s="0" t="inlineStr">
        <is>
          <t xml:space="preserve">POST /contracts/{contractId}/members/{memberId}/cancel</t>
        </is>
      </c>
      <c r="C165" s="0" t="inlineStr">
        <is>
          <t xml:space="preserve">reason</t>
        </is>
      </c>
      <c r="D165" s="0" t="inlineStr">
        <is>
          <t xml:space="preserve">string</t>
        </is>
      </c>
      <c r="E165" s="0" t="inlineStr">
        <is>
          <t xml:space="preserve">Có</t>
        </is>
      </c>
      <c r="F165" s="0" t="inlineStr">
        <is>
          <t xml:space="preserve">Không chỉ khoảng trắng; tối đa 1.000 ký tự.</t>
        </is>
      </c>
      <c r="G165" s="0" t="inlineStr">
        <is>
          <t xml:space="preserve">"Người thuê thay đổi kế hoạch"</t>
        </is>
      </c>
    </row>
    <row r="166" ht="70" customHeight="1">
      <c r="A166" s="2" t="inlineStr">
        <is>
          <t xml:space="preserve">API-113</t>
        </is>
      </c>
      <c r="B166" s="2" t="inlineStr">
        <is>
          <t xml:space="preserve">POST /contract-imports</t>
        </is>
      </c>
      <c r="C166" s="2" t="inlineStr">
        <is>
          <t xml:space="preserve">paperDocumentFileId</t>
        </is>
      </c>
      <c r="D166" s="2" t="inlineStr">
        <is>
          <t xml:space="preserve">id</t>
        </is>
      </c>
      <c r="E166" s="2" t="inlineStr">
        <is>
          <t xml:space="preserve">Có</t>
        </is>
      </c>
      <c r="F166" s="2" t="inlineStr">
        <is>
          <t xml:space="preserve">CONTRACT PRIVATE ACTIVE thuộc chủ; chứng cứ đã ký.</t>
        </is>
      </c>
      <c r="G166" s="2" t="inlineStr">
        <is>
          <t xml:space="preserve">"504"</t>
        </is>
      </c>
    </row>
    <row r="167" ht="70" customHeight="1">
      <c r="A167" s="0" t="inlineStr">
        <is>
          <t xml:space="preserve">API-113</t>
        </is>
      </c>
      <c r="B167" s="0" t="inlineStr">
        <is>
          <t xml:space="preserve">POST /contract-imports</t>
        </is>
      </c>
      <c r="C167" s="0" t="inlineStr">
        <is>
          <t xml:space="preserve">roomId</t>
        </is>
      </c>
      <c r="D167" s="0" t="inlineStr">
        <is>
          <t xml:space="preserve">id</t>
        </is>
      </c>
      <c r="E167" s="0" t="inlineStr">
        <is>
          <t xml:space="preserve">Có</t>
        </is>
      </c>
      <c r="F167" s="0" t="inlineStr">
        <is>
          <t xml:space="preserve">Phòng của mình.</t>
        </is>
      </c>
      <c r="G167" s="0" t="inlineStr">
        <is>
          <t xml:space="preserve">"101"</t>
        </is>
      </c>
    </row>
    <row r="168" ht="70" customHeight="1">
      <c r="A168" s="2" t="inlineStr">
        <is>
          <t xml:space="preserve">API-113</t>
        </is>
      </c>
      <c r="B168" s="2" t="inlineStr">
        <is>
          <t xml:space="preserve">POST /contract-imports</t>
        </is>
      </c>
      <c r="C168" s="2" t="inlineStr">
        <is>
          <t xml:space="preserve">contractNumber</t>
        </is>
      </c>
      <c r="D168" s="2" t="inlineStr">
        <is>
          <t xml:space="preserve">string</t>
        </is>
      </c>
      <c r="E168" s="2" t="inlineStr">
        <is>
          <t xml:space="preserve">Có</t>
        </is>
      </c>
      <c r="F168" s="2" t="inlineStr">
        <is>
          <t xml:space="preserve">Duy nhất, ≤100 ký tự.</t>
        </is>
      </c>
      <c r="G168" s="2" t="inlineStr">
        <is>
          <t xml:space="preserve">"HD-GIAY-001"</t>
        </is>
      </c>
    </row>
    <row r="169" ht="70" customHeight="1">
      <c r="A169" s="0" t="inlineStr">
        <is>
          <t xml:space="preserve">API-113</t>
        </is>
      </c>
      <c r="B169" s="0" t="inlineStr">
        <is>
          <t xml:space="preserve">POST /contract-imports</t>
        </is>
      </c>
      <c r="C169" s="0" t="inlineStr">
        <is>
          <t xml:space="preserve">startDate</t>
        </is>
      </c>
      <c r="D169" s="0" t="inlineStr">
        <is>
          <t xml:space="preserve">date</t>
        </is>
      </c>
      <c r="E169" s="0" t="inlineStr">
        <is>
          <t xml:space="preserve">Có</t>
        </is>
      </c>
      <c r="F169" s="0" t="inlineStr">
        <is>
          <t xml:space="preserve">Thời hạn đã ký.</t>
        </is>
      </c>
      <c r="G169" s="0" t="inlineStr">
        <is>
          <t xml:space="preserve">"2026-10-01"</t>
        </is>
      </c>
    </row>
    <row r="170" ht="70" customHeight="1">
      <c r="A170" s="2" t="inlineStr">
        <is>
          <t xml:space="preserve">API-113</t>
        </is>
      </c>
      <c r="B170" s="2" t="inlineStr">
        <is>
          <t xml:space="preserve">POST /contract-imports</t>
        </is>
      </c>
      <c r="C170" s="2" t="inlineStr">
        <is>
          <t xml:space="preserve">endDate</t>
        </is>
      </c>
      <c r="D170" s="2" t="inlineStr">
        <is>
          <t xml:space="preserve">date</t>
        </is>
      </c>
      <c r="E170" s="2" t="inlineStr">
        <is>
          <t xml:space="preserve">Có</t>
        </is>
      </c>
      <c r="F170" s="2" t="inlineStr">
        <is>
          <t xml:space="preserve">≥ startDate.</t>
        </is>
      </c>
      <c r="G170" s="2" t="inlineStr">
        <is>
          <t xml:space="preserve">"2027-09-30"</t>
        </is>
      </c>
    </row>
    <row r="171" ht="70" customHeight="1">
      <c r="A171" s="0" t="inlineStr">
        <is>
          <t xml:space="preserve">API-113</t>
        </is>
      </c>
      <c r="B171" s="0" t="inlineStr">
        <is>
          <t xml:space="preserve">POST /contract-imports</t>
        </is>
      </c>
      <c r="C171" s="0" t="inlineStr">
        <is>
          <t xml:space="preserve">rentAmount</t>
        </is>
      </c>
      <c r="D171" s="0" t="inlineStr">
        <is>
          <t xml:space="preserve">money</t>
        </is>
      </c>
      <c r="E171" s="0" t="inlineStr">
        <is>
          <t xml:space="preserve">Có</t>
        </is>
      </c>
      <c r="F171" s="0" t="inlineStr">
        <is>
          <t xml:space="preserve">Không âm.</t>
        </is>
      </c>
      <c r="G171" s="0" t="inlineStr">
        <is>
          <t xml:space="preserve">"3800000.00"</t>
        </is>
      </c>
    </row>
    <row r="172" ht="70" customHeight="1">
      <c r="A172" s="2" t="inlineStr">
        <is>
          <t xml:space="preserve">API-113</t>
        </is>
      </c>
      <c r="B172" s="2" t="inlineStr">
        <is>
          <t xml:space="preserve">POST /contract-imports</t>
        </is>
      </c>
      <c r="C172" s="2" t="inlineStr">
        <is>
          <t xml:space="preserve">depositAmount</t>
        </is>
      </c>
      <c r="D172" s="2" t="inlineStr">
        <is>
          <t xml:space="preserve">money</t>
        </is>
      </c>
      <c r="E172" s="2" t="inlineStr">
        <is>
          <t xml:space="preserve">Có</t>
        </is>
      </c>
      <c r="F172" s="2" t="inlineStr">
        <is>
          <t xml:space="preserve">Không âm.</t>
        </is>
      </c>
      <c r="G172" s="2" t="inlineStr">
        <is>
          <t xml:space="preserve">"3800000.00"</t>
        </is>
      </c>
    </row>
    <row r="173" ht="70" customHeight="1">
      <c r="A173" s="0" t="inlineStr">
        <is>
          <t xml:space="preserve">API-113</t>
        </is>
      </c>
      <c r="B173" s="0" t="inlineStr">
        <is>
          <t xml:space="preserve">POST /contract-imports</t>
        </is>
      </c>
      <c r="C173" s="0" t="inlineStr">
        <is>
          <t xml:space="preserve">content</t>
        </is>
      </c>
      <c r="D173" s="0" t="inlineStr">
        <is>
          <t xml:space="preserve">string</t>
        </is>
      </c>
      <c r="E173" s="0" t="inlineStr">
        <is>
          <t xml:space="preserve">Có</t>
        </is>
      </c>
      <c r="F173" s="0" t="inlineStr">
        <is>
          <t xml:space="preserve">Snapshot nội dung đã ký.</t>
        </is>
      </c>
      <c r="G173" s="0" t="inlineStr">
        <is>
          <t xml:space="preserve">"Điều khoản trong hợp đồng giấy"</t>
        </is>
      </c>
    </row>
    <row r="174" ht="70" customHeight="1">
      <c r="A174" s="2" t="inlineStr">
        <is>
          <t xml:space="preserve">API-113</t>
        </is>
      </c>
      <c r="B174" s="2" t="inlineStr">
        <is>
          <t xml:space="preserve">POST /contract-imports</t>
        </is>
      </c>
      <c r="C174" s="2" t="inlineStr">
        <is>
          <t xml:space="preserve">members</t>
        </is>
      </c>
      <c r="D174" s="2" t="inlineStr">
        <is>
          <t xml:space="preserve">object[]</t>
        </is>
      </c>
      <c r="E174" s="2" t="inlineStr">
        <is>
          <t xml:space="preserve">Có</t>
        </is>
      </c>
      <c r="F174" s="2" t="inlineStr">
        <is>
          <t xml:space="preserve">Danh sách + đại diện, trạng thái và chứng cứ ngày vào thực tế; cần chốt JSON chi tiết.</t>
        </is>
      </c>
      <c r="G174" s="2" t="inlineStr">
        <is>
          <t xml:space="preserve">""</t>
        </is>
      </c>
    </row>
    <row r="175" ht="70" customHeight="1">
      <c r="A175" s="0" t="inlineStr">
        <is>
          <t xml:space="preserve">API-118</t>
        </is>
      </c>
      <c r="B175" s="0" t="inlineStr">
        <is>
          <t xml:space="preserve">POST /occupant-join-requests</t>
        </is>
      </c>
      <c r="C175" s="0" t="inlineStr">
        <is>
          <t xml:space="preserve">contractId</t>
        </is>
      </c>
      <c r="D175" s="0" t="inlineStr">
        <is>
          <t xml:space="preserve">id</t>
        </is>
      </c>
      <c r="E175" s="0" t="inlineStr">
        <is>
          <t xml:space="preserve">Có</t>
        </is>
      </c>
      <c r="F175" s="0" t="inlineStr">
        <is>
          <t xml:space="preserve">Hợp đồng ACTIVE của đại diện đang ở.</t>
        </is>
      </c>
      <c r="G175" s="0" t="inlineStr">
        <is>
          <t xml:space="preserve">"801"</t>
        </is>
      </c>
    </row>
    <row r="176" ht="70" customHeight="1">
      <c r="A176" s="2" t="inlineStr">
        <is>
          <t xml:space="preserve">API-118</t>
        </is>
      </c>
      <c r="B176" s="2" t="inlineStr">
        <is>
          <t xml:space="preserve">POST /occupant-join-requests</t>
        </is>
      </c>
      <c r="C176" s="2" t="inlineStr">
        <is>
          <t xml:space="preserve">applicantId</t>
        </is>
      </c>
      <c r="D176" s="2" t="inlineStr">
        <is>
          <t xml:space="preserve">id</t>
        </is>
      </c>
      <c r="E176" s="2" t="inlineStr">
        <is>
          <t xml:space="preserve">Có</t>
        </is>
      </c>
      <c r="F176" s="2" t="inlineStr">
        <is>
          <t xml:space="preserve">Người xin vào ACTIVE, khác người tạo yêu cầu; không có lượt ACTIVE khác.</t>
        </is>
      </c>
      <c r="G176" s="2" t="inlineStr">
        <is>
          <t xml:space="preserve">"22"</t>
        </is>
      </c>
    </row>
    <row r="177" ht="70" customHeight="1">
      <c r="A177" s="0" t="inlineStr">
        <is>
          <t xml:space="preserve">API-118</t>
        </is>
      </c>
      <c r="B177" s="0" t="inlineStr">
        <is>
          <t xml:space="preserve">POST /occupant-join-requests</t>
        </is>
      </c>
      <c r="C177" s="0" t="inlineStr">
        <is>
          <t xml:space="preserve">plannedMoveInDate</t>
        </is>
      </c>
      <c r="D177" s="0" t="inlineStr">
        <is>
          <t xml:space="preserve">date</t>
        </is>
      </c>
      <c r="E177" s="0" t="inlineStr">
        <is>
          <t xml:space="preserve">Có</t>
        </is>
      </c>
      <c r="F177" s="0" t="inlineStr">
        <is>
          <t xml:space="preserve">Trong thời hạn hợp đồng.</t>
        </is>
      </c>
      <c r="G177" s="0" t="inlineStr">
        <is>
          <t xml:space="preserve">"2026-11-02"</t>
        </is>
      </c>
    </row>
    <row r="178" ht="70" customHeight="1">
      <c r="A178" s="2" t="inlineStr">
        <is>
          <t xml:space="preserve">API-118</t>
        </is>
      </c>
      <c r="B178" s="2" t="inlineStr">
        <is>
          <t xml:space="preserve">POST /occupant-join-requests</t>
        </is>
      </c>
      <c r="C178" s="2" t="inlineStr">
        <is>
          <t xml:space="preserve">roommateRequestId</t>
        </is>
      </c>
      <c r="D178" s="2" t="inlineStr">
        <is>
          <t xml:space="preserve">id</t>
        </is>
      </c>
      <c r="E178" s="2" t="inlineStr">
        <is>
          <t xml:space="preserve">Không</t>
        </is>
      </c>
      <c r="F178" s="2" t="inlineStr">
        <is>
          <t xml:space="preserve">Kết nối đúng hai bên, không dùng ACCEPTED làm đồng thuận.</t>
        </is>
      </c>
      <c r="G178" s="2" t="inlineStr">
        <is>
          <t xml:space="preserve">""</t>
        </is>
      </c>
    </row>
    <row r="179" ht="70" customHeight="1">
      <c r="A179" s="0" t="inlineStr">
        <is>
          <t xml:space="preserve">API-118</t>
        </is>
      </c>
      <c r="B179" s="0" t="inlineStr">
        <is>
          <t xml:space="preserve">POST /occupant-join-requests</t>
        </is>
      </c>
      <c r="C179" s="0" t="inlineStr">
        <is>
          <t xml:space="preserve">message</t>
        </is>
      </c>
      <c r="D179" s="0" t="inlineStr">
        <is>
          <t xml:space="preserve">string</t>
        </is>
      </c>
      <c r="E179" s="0" t="inlineStr">
        <is>
          <t xml:space="preserve">Không</t>
        </is>
      </c>
      <c r="F179" s="0" t="inlineStr">
        <is>
          <t xml:space="preserve">Không quá 2.000 ký tự.</t>
        </is>
      </c>
      <c r="G179" s="0" t="inlineStr">
        <is>
          <t xml:space="preserve">""</t>
        </is>
      </c>
    </row>
    <row r="180" ht="70" customHeight="1">
      <c r="A180" s="2" t="inlineStr">
        <is>
          <t xml:space="preserve">API-119</t>
        </is>
      </c>
      <c r="B180" s="2" t="inlineStr">
        <is>
          <t xml:space="preserve">POST /occupant-join-requests/{requestId}/consents</t>
        </is>
      </c>
      <c r="C180" s="2" t="inlineStr">
        <is>
          <t xml:space="preserve">consent</t>
        </is>
      </c>
      <c r="D180" s="2" t="inlineStr">
        <is>
          <t xml:space="preserve">boolean</t>
        </is>
      </c>
      <c r="E180" s="2" t="inlineStr">
        <is>
          <t xml:space="preserve">Có</t>
        </is>
      </c>
      <c r="F180" s="2" t="inlineStr">
        <is>
          <t xml:space="preserve">Chỉ true; từ chối dùng cancel.</t>
        </is>
      </c>
      <c r="G180" s="2" t="inlineStr">
        <is>
          <t xml:space="preserve">true</t>
        </is>
      </c>
    </row>
    <row r="181" ht="70" customHeight="1">
      <c r="A181" s="0" t="inlineStr">
        <is>
          <t xml:space="preserve">API-120</t>
        </is>
      </c>
      <c r="B181" s="0" t="inlineStr">
        <is>
          <t xml:space="preserve">POST /occupant-join-requests/{requestId}/cancel</t>
        </is>
      </c>
      <c r="C181" s="0" t="inlineStr">
        <is>
          <t xml:space="preserve">reason</t>
        </is>
      </c>
      <c r="D181" s="0" t="inlineStr">
        <is>
          <t xml:space="preserve">string</t>
        </is>
      </c>
      <c r="E181" s="0" t="inlineStr">
        <is>
          <t xml:space="preserve">Có</t>
        </is>
      </c>
      <c r="F181" s="0" t="inlineStr">
        <is>
          <t xml:space="preserve">Không chỉ khoảng trắng; tối đa 1.000 ký tự.</t>
        </is>
      </c>
      <c r="G181" s="0" t="inlineStr">
        <is>
          <t xml:space="preserve">"Người thuê thay đổi kế hoạch"</t>
        </is>
      </c>
    </row>
    <row r="182" ht="70" customHeight="1">
      <c r="A182" s="2" t="inlineStr">
        <is>
          <t xml:space="preserve">API-122</t>
        </is>
      </c>
      <c r="B182" s="2" t="inlineStr">
        <is>
          <t xml:space="preserve">POST /occupant-join-requests/{requestId}/reject</t>
        </is>
      </c>
      <c r="C182" s="2" t="inlineStr">
        <is>
          <t xml:space="preserve">reason</t>
        </is>
      </c>
      <c r="D182" s="2" t="inlineStr">
        <is>
          <t xml:space="preserve">string</t>
        </is>
      </c>
      <c r="E182" s="2" t="inlineStr">
        <is>
          <t xml:space="preserve">Có</t>
        </is>
      </c>
      <c r="F182" s="2" t="inlineStr">
        <is>
          <t xml:space="preserve">Không chỉ khoảng trắng; tối đa 1.000 ký tự.</t>
        </is>
      </c>
      <c r="G182" s="2" t="inlineStr">
        <is>
          <t xml:space="preserve">"Người thuê thay đổi kế hoạch"</t>
        </is>
      </c>
    </row>
    <row r="183" ht="70" customHeight="1">
      <c r="A183" s="0" t="inlineStr">
        <is>
          <t xml:space="preserve">API-123</t>
        </is>
      </c>
      <c r="B183" s="0" t="inlineStr">
        <is>
          <t xml:space="preserve">POST /occupant-join-requests/{requestId}/cancel-hold</t>
        </is>
      </c>
      <c r="C183" s="0" t="inlineStr">
        <is>
          <t xml:space="preserve">reason</t>
        </is>
      </c>
      <c r="D183" s="0" t="inlineStr">
        <is>
          <t xml:space="preserve">string</t>
        </is>
      </c>
      <c r="E183" s="0" t="inlineStr">
        <is>
          <t xml:space="preserve">Có</t>
        </is>
      </c>
      <c r="F183" s="0" t="inlineStr">
        <is>
          <t xml:space="preserve">Không chỉ khoảng trắng; tối đa 1.000 ký tự.</t>
        </is>
      </c>
      <c r="G183" s="0" t="inlineStr">
        <is>
          <t xml:space="preserve">"Người thuê thay đổi kế hoạch"</t>
        </is>
      </c>
    </row>
    <row r="184" ht="70" customHeight="1">
      <c r="A184" s="2" t="inlineStr">
        <is>
          <t xml:space="preserve">API-125</t>
        </is>
      </c>
      <c r="B184" s="2" t="inlineStr">
        <is>
          <t xml:space="preserve">POST /contracts/{contractId}/members/{memberId}/move-out</t>
        </is>
      </c>
      <c r="C184" s="2" t="inlineStr">
        <is>
          <t xml:space="preserve">moveOutDate</t>
        </is>
      </c>
      <c r="D184" s="2" t="inlineStr">
        <is>
          <t xml:space="preserve">date</t>
        </is>
      </c>
      <c r="E184" s="2" t="inlineStr">
        <is>
          <t xml:space="preserve">Có</t>
        </is>
      </c>
      <c r="F184" s="2" t="inlineStr">
        <is>
          <t xml:space="preserve">≥ move_in_date, không tương lai.</t>
        </is>
      </c>
      <c r="G184" s="2" t="inlineStr">
        <is>
          <t xml:space="preserve">"2026-11-02"</t>
        </is>
      </c>
    </row>
    <row r="185" ht="70" customHeight="1">
      <c r="A185" s="0" t="inlineStr">
        <is>
          <t xml:space="preserve">API-128</t>
        </is>
      </c>
      <c r="B185" s="0" t="inlineStr">
        <is>
          <t xml:space="preserve">POST /contracts/{contractId}/representative-handovers</t>
        </is>
      </c>
      <c r="C185" s="0" t="inlineStr">
        <is>
          <t xml:space="preserve">departingMemberId</t>
        </is>
      </c>
      <c r="D185" s="0" t="inlineStr">
        <is>
          <t xml:space="preserve">id</t>
        </is>
      </c>
      <c r="E185" s="0" t="inlineStr">
        <is>
          <t xml:space="preserve">Có</t>
        </is>
      </c>
      <c r="F185" s="0" t="inlineStr">
        <is>
          <t xml:space="preserve">Đại diện hiện tại.</t>
        </is>
      </c>
      <c r="G185" s="0" t="inlineStr">
        <is>
          <t xml:space="preserve">"1101"</t>
        </is>
      </c>
    </row>
    <row r="186" ht="70" customHeight="1">
      <c r="A186" s="2" t="inlineStr">
        <is>
          <t xml:space="preserve">API-128</t>
        </is>
      </c>
      <c r="B186" s="2" t="inlineStr">
        <is>
          <t xml:space="preserve">POST /contracts/{contractId}/representative-handovers</t>
        </is>
      </c>
      <c r="C186" s="2" t="inlineStr">
        <is>
          <t xml:space="preserve">successorMemberId</t>
        </is>
      </c>
      <c r="D186" s="2" t="inlineStr">
        <is>
          <t xml:space="preserve">id</t>
        </is>
      </c>
      <c r="E186" s="2" t="inlineStr">
        <is>
          <t xml:space="preserve">Có</t>
        </is>
      </c>
      <c r="F186" s="2" t="inlineStr">
        <is>
          <t xml:space="preserve">ACTIVE cùng contract, có account ACTIVE.</t>
        </is>
      </c>
      <c r="G186" s="2" t="inlineStr">
        <is>
          <t xml:space="preserve">"1102"</t>
        </is>
      </c>
    </row>
    <row r="187" ht="70" customHeight="1">
      <c r="A187" s="0" t="inlineStr">
        <is>
          <t xml:space="preserve">API-128</t>
        </is>
      </c>
      <c r="B187" s="0" t="inlineStr">
        <is>
          <t xml:space="preserve">POST /contracts/{contractId}/representative-handovers</t>
        </is>
      </c>
      <c r="C187" s="0" t="inlineStr">
        <is>
          <t xml:space="preserve">reason</t>
        </is>
      </c>
      <c r="D187" s="0" t="inlineStr">
        <is>
          <t xml:space="preserve">string</t>
        </is>
      </c>
      <c r="E187" s="0" t="inlineStr">
        <is>
          <t xml:space="preserve">Có</t>
        </is>
      </c>
      <c r="F187" s="0" t="inlineStr">
        <is>
          <t xml:space="preserve">Không trống, ≤1.000 ký tự.</t>
        </is>
      </c>
      <c r="G187" s="0" t="inlineStr">
        <is>
          <t xml:space="preserve">"Đại diện cũ chuyển đi"</t>
        </is>
      </c>
    </row>
    <row r="188" ht="70" customHeight="1">
      <c r="A188" s="2" t="inlineStr">
        <is>
          <t xml:space="preserve">API-128</t>
        </is>
      </c>
      <c r="B188" s="2" t="inlineStr">
        <is>
          <t xml:space="preserve">POST /contracts/{contractId}/representative-handovers</t>
        </is>
      </c>
      <c r="C188" s="2" t="inlineStr">
        <is>
          <t xml:space="preserve">consentRecorded</t>
        </is>
      </c>
      <c r="D188" s="2" t="inlineStr">
        <is>
          <t xml:space="preserve">boolean</t>
        </is>
      </c>
      <c r="E188" s="2" t="inlineStr">
        <is>
          <t xml:space="preserve">Có</t>
        </is>
      </c>
      <c r="F188" s="2" t="inlineStr">
        <is>
          <t xml:space="preserve">Chủ trọ xác nhận đã ghi nhận đồng ý, bắt buộc true.</t>
        </is>
      </c>
      <c r="G188" s="2" t="inlineStr">
        <is>
          <t xml:space="preserve">true</t>
        </is>
      </c>
    </row>
    <row r="189" ht="70" customHeight="1">
      <c r="A189" s="0" t="inlineStr">
        <is>
          <t xml:space="preserve">API-130</t>
        </is>
      </c>
      <c r="B189" s="0" t="inlineStr">
        <is>
          <t xml:space="preserve">POST /contracts/{contractId}/change-requests</t>
        </is>
      </c>
      <c r="C189" s="0" t="inlineStr">
        <is>
          <t xml:space="preserve">type</t>
        </is>
      </c>
      <c r="D189" s="0" t="inlineStr">
        <is>
          <t xml:space="preserve">enum</t>
        </is>
      </c>
      <c r="E189" s="0" t="inlineStr">
        <is>
          <t xml:space="preserve">Có</t>
        </is>
      </c>
      <c r="F189" s="0" t="inlineStr">
        <is>
          <t xml:space="preserve">RENEWAL / TRANSFER / TERMINATION.</t>
        </is>
      </c>
      <c r="G189" s="0" t="inlineStr">
        <is>
          <t xml:space="preserve">"RENEWAL"</t>
        </is>
      </c>
    </row>
    <row r="190" ht="70" customHeight="1">
      <c r="A190" s="2" t="inlineStr">
        <is>
          <t xml:space="preserve">API-130</t>
        </is>
      </c>
      <c r="B190" s="2" t="inlineStr">
        <is>
          <t xml:space="preserve">POST /contracts/{contractId}/change-requests</t>
        </is>
      </c>
      <c r="C190" s="2" t="inlineStr">
        <is>
          <t xml:space="preserve">baseRevisionId</t>
        </is>
      </c>
      <c r="D190" s="2" t="inlineStr">
        <is>
          <t xml:space="preserve">id</t>
        </is>
      </c>
      <c r="E190" s="2" t="inlineStr">
        <is>
          <t xml:space="preserve">Có</t>
        </is>
      </c>
      <c r="F190" s="2" t="inlineStr">
        <is>
          <t xml:space="preserve">Phiên bản hợp đồng nguồn hiện tại.</t>
        </is>
      </c>
      <c r="G190" s="2" t="inlineStr">
        <is>
          <t xml:space="preserve">"901"</t>
        </is>
      </c>
    </row>
    <row r="191" ht="70" customHeight="1">
      <c r="A191" s="0" t="inlineStr">
        <is>
          <t xml:space="preserve">API-130</t>
        </is>
      </c>
      <c r="B191" s="0" t="inlineStr">
        <is>
          <t xml:space="preserve">POST /contracts/{contractId}/change-requests</t>
        </is>
      </c>
      <c r="C191" s="0" t="inlineStr">
        <is>
          <t xml:space="preserve">effectiveDate</t>
        </is>
      </c>
      <c r="D191" s="0" t="inlineStr">
        <is>
          <t xml:space="preserve">date</t>
        </is>
      </c>
      <c r="E191" s="0" t="inlineStr">
        <is>
          <t xml:space="preserve">Có</t>
        </is>
      </c>
      <c r="F191" s="0" t="inlineStr">
        <is>
          <t xml:space="preserve">Không trước ngày bắt đầu/ngày vào của người ACTIVE.</t>
        </is>
      </c>
      <c r="G191" s="0" t="inlineStr">
        <is>
          <t xml:space="preserve">"2026-11-02"</t>
        </is>
      </c>
    </row>
    <row r="192" ht="70" customHeight="1">
      <c r="A192" s="2" t="inlineStr">
        <is>
          <t xml:space="preserve">API-130</t>
        </is>
      </c>
      <c r="B192" s="2" t="inlineStr">
        <is>
          <t xml:space="preserve">POST /contracts/{contractId}/change-requests</t>
        </is>
      </c>
      <c r="C192" s="2" t="inlineStr">
        <is>
          <t xml:space="preserve">reason</t>
        </is>
      </c>
      <c r="D192" s="2" t="inlineStr">
        <is>
          <t xml:space="preserve">string</t>
        </is>
      </c>
      <c r="E192" s="2" t="inlineStr">
        <is>
          <t xml:space="preserve">Có</t>
        </is>
      </c>
      <c r="F192" s="2" t="inlineStr">
        <is>
          <t xml:space="preserve">Lý do không trống; tối đa 1.000 ký tự.</t>
        </is>
      </c>
      <c r="G192" s="2" t="inlineStr">
        <is>
          <t xml:space="preserve">"Gia hạn theo thỏa thuận"</t>
        </is>
      </c>
    </row>
    <row r="193" ht="70" customHeight="1">
      <c r="A193" s="0" t="inlineStr">
        <is>
          <t xml:space="preserve">API-130</t>
        </is>
      </c>
      <c r="B193" s="0" t="inlineStr">
        <is>
          <t xml:space="preserve">POST /contracts/{contractId}/change-requests</t>
        </is>
      </c>
      <c r="C193" s="0" t="inlineStr">
        <is>
          <t xml:space="preserve">newEndDate</t>
        </is>
      </c>
      <c r="D193" s="0" t="inlineStr">
        <is>
          <t xml:space="preserve">date</t>
        </is>
      </c>
      <c r="E193" s="0" t="inlineStr">
        <is>
          <t xml:space="preserve">Không</t>
        </is>
      </c>
      <c r="F193" s="0" t="inlineStr">
        <is>
          <t xml:space="preserve">RENEWAL bắt buộc và &gt; ngày kết thúc cũ.</t>
        </is>
      </c>
      <c r="G193" s="0" t="inlineStr">
        <is>
          <t xml:space="preserve">"2028-11-01"</t>
        </is>
      </c>
    </row>
    <row r="194" ht="70" customHeight="1">
      <c r="A194" s="2" t="inlineStr">
        <is>
          <t xml:space="preserve">API-130</t>
        </is>
      </c>
      <c r="B194" s="2" t="inlineStr">
        <is>
          <t xml:space="preserve">POST /contracts/{contractId}/change-requests</t>
        </is>
      </c>
      <c r="C194" s="2" t="inlineStr">
        <is>
          <t xml:space="preserve">targetRoomId</t>
        </is>
      </c>
      <c r="D194" s="2" t="inlineStr">
        <is>
          <t xml:space="preserve">id</t>
        </is>
      </c>
      <c r="E194" s="2" t="inlineStr">
        <is>
          <t xml:space="preserve">Không</t>
        </is>
      </c>
      <c r="F194" s="2" t="inlineStr">
        <is>
          <t xml:space="preserve">TRANSFER bắt buộc; phòng khác, cùng chủ và đủ quyền.</t>
        </is>
      </c>
      <c r="G194" s="2" t="inlineStr">
        <is>
          <t xml:space="preserve">""</t>
        </is>
      </c>
    </row>
    <row r="195" ht="70" customHeight="1">
      <c r="A195" s="0" t="inlineStr">
        <is>
          <t xml:space="preserve">API-130</t>
        </is>
      </c>
      <c r="B195" s="0" t="inlineStr">
        <is>
          <t xml:space="preserve">POST /contracts/{contractId}/change-requests</t>
        </is>
      </c>
      <c r="C195" s="0" t="inlineStr">
        <is>
          <t xml:space="preserve">proposal</t>
        </is>
      </c>
      <c r="D195" s="0" t="inlineStr">
        <is>
          <t xml:space="preserve">object</t>
        </is>
      </c>
      <c r="E195" s="0" t="inlineStr">
        <is>
          <t xml:space="preserve">Không</t>
        </is>
      </c>
      <c r="F195" s="0" t="inlineStr">
        <is>
          <t xml:space="preserve">TRANSFER: content, endDate bắt buộc; rentAmount/depositAmount tùy chọn. Backend ánh xạ proposal_snapshot snake_case.</t>
        </is>
      </c>
      <c r="G195" s="0" t="inlineStr">
        <is>
          <t xml:space="preserve">""</t>
        </is>
      </c>
    </row>
    <row r="196" ht="70" customHeight="1">
      <c r="A196" s="2" t="inlineStr">
        <is>
          <t xml:space="preserve">API-132</t>
        </is>
      </c>
      <c r="B196" s="2" t="inlineStr">
        <is>
          <t xml:space="preserve">POST /contract-change-requests/{requestId}/decision</t>
        </is>
      </c>
      <c r="C196" s="2" t="inlineStr">
        <is>
          <t xml:space="preserve">decision</t>
        </is>
      </c>
      <c r="D196" s="2" t="inlineStr">
        <is>
          <t xml:space="preserve">enum</t>
        </is>
      </c>
      <c r="E196" s="2" t="inlineStr">
        <is>
          <t xml:space="preserve">Có</t>
        </is>
      </c>
      <c r="F196" s="2" t="inlineStr">
        <is>
          <t xml:space="preserve">APPROVE hoặc REJECT.</t>
        </is>
      </c>
      <c r="G196" s="2" t="inlineStr">
        <is>
          <t xml:space="preserve">"APPROVE"</t>
        </is>
      </c>
    </row>
    <row r="197" ht="70" customHeight="1">
      <c r="A197" s="0" t="inlineStr">
        <is>
          <t xml:space="preserve">API-132</t>
        </is>
      </c>
      <c r="B197" s="0" t="inlineStr">
        <is>
          <t xml:space="preserve">POST /contract-change-requests/{requestId}/decision</t>
        </is>
      </c>
      <c r="C197" s="0" t="inlineStr">
        <is>
          <t xml:space="preserve">reason</t>
        </is>
      </c>
      <c r="D197" s="0" t="inlineStr">
        <is>
          <t xml:space="preserve">string</t>
        </is>
      </c>
      <c r="E197" s="0" t="inlineStr">
        <is>
          <t xml:space="preserve">Không</t>
        </is>
      </c>
      <c r="F197" s="0" t="inlineStr">
        <is>
          <t xml:space="preserve">Bắt buộc khi REJECT; tối đa 1.000 ký tự.</t>
        </is>
      </c>
      <c r="G197" s="0" t="inlineStr">
        <is>
          <t xml:space="preserve">""</t>
        </is>
      </c>
    </row>
    <row r="198" ht="70" customHeight="1">
      <c r="A198" s="2" t="inlineStr">
        <is>
          <t xml:space="preserve">API-133</t>
        </is>
      </c>
      <c r="B198" s="2" t="inlineStr">
        <is>
          <t xml:space="preserve">POST /contract-change-requests/{requestId}/confirm</t>
        </is>
      </c>
      <c r="C198" s="2" t="inlineStr">
        <is>
          <t xml:space="preserve">proposedRevisionId</t>
        </is>
      </c>
      <c r="D198" s="2" t="inlineStr">
        <is>
          <t xml:space="preserve">id</t>
        </is>
      </c>
      <c r="E198" s="2" t="inlineStr">
        <is>
          <t xml:space="preserve">Không</t>
        </is>
      </c>
      <c r="F198" s="2" t="inlineStr">
        <is>
          <t xml:space="preserve">RENEWAL phải khớp proposed_revision_id đã duyệt.</t>
        </is>
      </c>
      <c r="G198" s="2" t="inlineStr">
        <is>
          <t xml:space="preserve">""</t>
        </is>
      </c>
    </row>
    <row r="199" ht="70" customHeight="1">
      <c r="A199" s="0" t="inlineStr">
        <is>
          <t xml:space="preserve">API-133</t>
        </is>
      </c>
      <c r="B199" s="0" t="inlineStr">
        <is>
          <t xml:space="preserve">POST /contract-change-requests/{requestId}/confirm</t>
        </is>
      </c>
      <c r="C199" s="0" t="inlineStr">
        <is>
          <t xml:space="preserve">proposalHash</t>
        </is>
      </c>
      <c r="D199" s="0" t="inlineStr">
        <is>
          <t xml:space="preserve">string</t>
        </is>
      </c>
      <c r="E199" s="0" t="inlineStr">
        <is>
          <t xml:space="preserve">Có</t>
        </is>
      </c>
      <c r="F199" s="0" t="inlineStr">
        <is>
          <t xml:space="preserve">Digest canonical proposal server trả; chống xác nhận bản bị đổi.</t>
        </is>
      </c>
      <c r="G199" s="0" t="inlineStr">
        <is>
          <t xml:space="preserve">"example-sha256"</t>
        </is>
      </c>
    </row>
    <row r="200" ht="70" customHeight="1">
      <c r="A200" s="2" t="inlineStr">
        <is>
          <t xml:space="preserve">API-134</t>
        </is>
      </c>
      <c r="B200" s="2" t="inlineStr">
        <is>
          <t xml:space="preserve">POST /contract-change-requests/{requestId}/cancel</t>
        </is>
      </c>
      <c r="C200" s="2" t="inlineStr">
        <is>
          <t xml:space="preserve">reason</t>
        </is>
      </c>
      <c r="D200" s="2" t="inlineStr">
        <is>
          <t xml:space="preserve">string</t>
        </is>
      </c>
      <c r="E200" s="2" t="inlineStr">
        <is>
          <t xml:space="preserve">Có</t>
        </is>
      </c>
      <c r="F200" s="2" t="inlineStr">
        <is>
          <t xml:space="preserve">Không chỉ khoảng trắng; tối đa 1.000 ký tự.</t>
        </is>
      </c>
      <c r="G200" s="2" t="inlineStr">
        <is>
          <t xml:space="preserve">"Người thuê thay đổi kế hoạch"</t>
        </is>
      </c>
    </row>
    <row r="201" ht="70" customHeight="1">
      <c r="A201" s="0" t="inlineStr">
        <is>
          <t xml:space="preserve">API-138</t>
        </is>
      </c>
      <c r="B201" s="0" t="inlineStr">
        <is>
          <t xml:space="preserve">POST /admin/rental-services</t>
        </is>
      </c>
      <c r="C201" s="0" t="inlineStr">
        <is>
          <t xml:space="preserve">name</t>
        </is>
      </c>
      <c r="D201" s="0" t="inlineStr">
        <is>
          <t xml:space="preserve">string</t>
        </is>
      </c>
      <c r="E201" s="0" t="inlineStr">
        <is>
          <t xml:space="preserve">Có</t>
        </is>
      </c>
      <c r="F201" s="0" t="inlineStr">
        <is>
          <t xml:space="preserve">Duy nhất, 1–100 ký tự.</t>
        </is>
      </c>
      <c r="G201" s="0" t="inlineStr">
        <is>
          <t xml:space="preserve">"Điện"</t>
        </is>
      </c>
    </row>
    <row r="202" ht="70" customHeight="1">
      <c r="A202" s="2" t="inlineStr">
        <is>
          <t xml:space="preserve">API-138</t>
        </is>
      </c>
      <c r="B202" s="2" t="inlineStr">
        <is>
          <t xml:space="preserve">POST /admin/rental-services</t>
        </is>
      </c>
      <c r="C202" s="2" t="inlineStr">
        <is>
          <t xml:space="preserve">unit</t>
        </is>
      </c>
      <c r="D202" s="2" t="inlineStr">
        <is>
          <t xml:space="preserve">string</t>
        </is>
      </c>
      <c r="E202" s="2" t="inlineStr">
        <is>
          <t xml:space="preserve">Có</t>
        </is>
      </c>
      <c r="F202" s="2" t="inlineStr">
        <is>
          <t xml:space="preserve">1–30 ký tự.</t>
        </is>
      </c>
      <c r="G202" s="2" t="inlineStr">
        <is>
          <t xml:space="preserve">"kWh"</t>
        </is>
      </c>
    </row>
    <row r="203" ht="70" customHeight="1">
      <c r="A203" s="0" t="inlineStr">
        <is>
          <t xml:space="preserve">API-138</t>
        </is>
      </c>
      <c r="B203" s="0" t="inlineStr">
        <is>
          <t xml:space="preserve">POST /admin/rental-services</t>
        </is>
      </c>
      <c r="C203" s="0" t="inlineStr">
        <is>
          <t xml:space="preserve">defaultCalculationMethod</t>
        </is>
      </c>
      <c r="D203" s="0" t="inlineStr">
        <is>
          <t xml:space="preserve">enum</t>
        </is>
      </c>
      <c r="E203" s="0" t="inlineStr">
        <is>
          <t xml:space="preserve">Có</t>
        </is>
      </c>
      <c r="F203" s="0" t="inlineStr">
        <is>
          <t xml:space="preserve">METERED/PER_PERSON/PER_ROOM.</t>
        </is>
      </c>
      <c r="G203" s="0" t="inlineStr">
        <is>
          <t xml:space="preserve">"METERED"</t>
        </is>
      </c>
    </row>
    <row r="204" ht="70" customHeight="1">
      <c r="A204" s="2" t="inlineStr">
        <is>
          <t xml:space="preserve">API-139</t>
        </is>
      </c>
      <c r="B204" s="2" t="inlineStr">
        <is>
          <t xml:space="preserve">PATCH /admin/rental-services/{serviceId}</t>
        </is>
      </c>
      <c r="C204" s="2" t="inlineStr">
        <is>
          <t xml:space="preserve">name</t>
        </is>
      </c>
      <c r="D204" s="2" t="inlineStr">
        <is>
          <t xml:space="preserve">string</t>
        </is>
      </c>
      <c r="E204" s="2" t="inlineStr">
        <is>
          <t xml:space="preserve">Không</t>
        </is>
      </c>
      <c r="F204" s="2" t="inlineStr">
        <is>
          <t xml:space="preserve">Duy nhất, 1–100 ký tự.</t>
        </is>
      </c>
      <c r="G204" s="2" t="inlineStr">
        <is>
          <t xml:space="preserve">"Điện"</t>
        </is>
      </c>
    </row>
    <row r="205" ht="70" customHeight="1">
      <c r="A205" s="0" t="inlineStr">
        <is>
          <t xml:space="preserve">API-139</t>
        </is>
      </c>
      <c r="B205" s="0" t="inlineStr">
        <is>
          <t xml:space="preserve">PATCH /admin/rental-services/{serviceId}</t>
        </is>
      </c>
      <c r="C205" s="0" t="inlineStr">
        <is>
          <t xml:space="preserve">unit</t>
        </is>
      </c>
      <c r="D205" s="0" t="inlineStr">
        <is>
          <t xml:space="preserve">string</t>
        </is>
      </c>
      <c r="E205" s="0" t="inlineStr">
        <is>
          <t xml:space="preserve">Không</t>
        </is>
      </c>
      <c r="F205" s="0" t="inlineStr">
        <is>
          <t xml:space="preserve">1–30 ký tự.</t>
        </is>
      </c>
      <c r="G205" s="0" t="inlineStr">
        <is>
          <t xml:space="preserve">"kWh"</t>
        </is>
      </c>
    </row>
    <row r="206" ht="70" customHeight="1">
      <c r="A206" s="2" t="inlineStr">
        <is>
          <t xml:space="preserve">API-139</t>
        </is>
      </c>
      <c r="B206" s="2" t="inlineStr">
        <is>
          <t xml:space="preserve">PATCH /admin/rental-services/{serviceId}</t>
        </is>
      </c>
      <c r="C206" s="2" t="inlineStr">
        <is>
          <t xml:space="preserve">defaultCalculationMethod</t>
        </is>
      </c>
      <c r="D206" s="2" t="inlineStr">
        <is>
          <t xml:space="preserve">enum</t>
        </is>
      </c>
      <c r="E206" s="2" t="inlineStr">
        <is>
          <t xml:space="preserve">Không</t>
        </is>
      </c>
      <c r="F206" s="2" t="inlineStr">
        <is>
          <t xml:space="preserve">METERED/PER_PERSON/PER_ROOM.</t>
        </is>
      </c>
      <c r="G206" s="2" t="inlineStr">
        <is>
          <t xml:space="preserve">"METERED"</t>
        </is>
      </c>
    </row>
    <row r="207" ht="70" customHeight="1">
      <c r="A207" s="0" t="inlineStr">
        <is>
          <t xml:space="preserve">API-141</t>
        </is>
      </c>
      <c r="B207" s="0" t="inlineStr">
        <is>
          <t xml:space="preserve">POST /houses/{houseId}/services</t>
        </is>
      </c>
      <c r="C207" s="0" t="inlineStr">
        <is>
          <t xml:space="preserve">serviceId</t>
        </is>
      </c>
      <c r="D207" s="0" t="inlineStr">
        <is>
          <t xml:space="preserve">id</t>
        </is>
      </c>
      <c r="E207" s="0" t="inlineStr">
        <is>
          <t xml:space="preserve">Không</t>
        </is>
      </c>
      <c r="F207" s="0" t="inlineStr">
        <is>
          <t xml:space="preserve">Ánh xạ catalog_service_id; null khi tạo dịch vụ riêng.</t>
        </is>
      </c>
      <c r="G207" s="0" t="inlineStr">
        <is>
          <t xml:space="preserve">"41"</t>
        </is>
      </c>
    </row>
    <row r="208" ht="70" customHeight="1">
      <c r="A208" s="2" t="inlineStr">
        <is>
          <t xml:space="preserve">API-141</t>
        </is>
      </c>
      <c r="B208" s="2" t="inlineStr">
        <is>
          <t xml:space="preserve">POST /houses/{houseId}/services</t>
        </is>
      </c>
      <c r="C208" s="2" t="inlineStr">
        <is>
          <t xml:space="preserve">name</t>
        </is>
      </c>
      <c r="D208" s="2" t="inlineStr">
        <is>
          <t xml:space="preserve">string</t>
        </is>
      </c>
      <c r="E208" s="2" t="inlineStr">
        <is>
          <t xml:space="preserve">Có</t>
        </is>
      </c>
      <c r="F208" s="2" t="inlineStr">
        <is>
          <t xml:space="preserve">1–100 ký tự; duy nhất trong nhà.</t>
        </is>
      </c>
      <c r="G208" s="2" t="inlineStr">
        <is>
          <t xml:space="preserve">"Điện"</t>
        </is>
      </c>
    </row>
    <row r="209" ht="70" customHeight="1">
      <c r="A209" s="0" t="inlineStr">
        <is>
          <t xml:space="preserve">API-141</t>
        </is>
      </c>
      <c r="B209" s="0" t="inlineStr">
        <is>
          <t xml:space="preserve">POST /houses/{houseId}/services</t>
        </is>
      </c>
      <c r="C209" s="0" t="inlineStr">
        <is>
          <t xml:space="preserve">unit</t>
        </is>
      </c>
      <c r="D209" s="0" t="inlineStr">
        <is>
          <t xml:space="preserve">string</t>
        </is>
      </c>
      <c r="E209" s="0" t="inlineStr">
        <is>
          <t xml:space="preserve">Có</t>
        </is>
      </c>
      <c r="F209" s="0" t="inlineStr">
        <is>
          <t xml:space="preserve">1–30 ký tự, đơn vị tính tại nhà.</t>
        </is>
      </c>
      <c r="G209" s="0" t="inlineStr">
        <is>
          <t xml:space="preserve">"kWh"</t>
        </is>
      </c>
    </row>
    <row r="210" ht="70" customHeight="1">
      <c r="A210" s="2" t="inlineStr">
        <is>
          <t xml:space="preserve">API-141</t>
        </is>
      </c>
      <c r="B210" s="2" t="inlineStr">
        <is>
          <t xml:space="preserve">POST /houses/{houseId}/services</t>
        </is>
      </c>
      <c r="C210" s="2" t="inlineStr">
        <is>
          <t xml:space="preserve">unitPrice</t>
        </is>
      </c>
      <c r="D210" s="2" t="inlineStr">
        <is>
          <t xml:space="preserve">money</t>
        </is>
      </c>
      <c r="E210" s="2" t="inlineStr">
        <is>
          <t xml:space="preserve">Có</t>
        </is>
      </c>
      <c r="F210" s="2" t="inlineStr">
        <is>
          <t xml:space="preserve">Ánh xạ default_unit_price; không âm.</t>
        </is>
      </c>
      <c r="G210" s="2" t="inlineStr">
        <is>
          <t xml:space="preserve">"3500.00"</t>
        </is>
      </c>
    </row>
    <row r="211" ht="70" customHeight="1">
      <c r="A211" s="0" t="inlineStr">
        <is>
          <t xml:space="preserve">API-141</t>
        </is>
      </c>
      <c r="B211" s="0" t="inlineStr">
        <is>
          <t xml:space="preserve">POST /houses/{houseId}/services</t>
        </is>
      </c>
      <c r="C211" s="0" t="inlineStr">
        <is>
          <t xml:space="preserve">calculationMethod</t>
        </is>
      </c>
      <c r="D211" s="0" t="inlineStr">
        <is>
          <t xml:space="preserve">enum</t>
        </is>
      </c>
      <c r="E211" s="0" t="inlineStr">
        <is>
          <t xml:space="preserve">Có</t>
        </is>
      </c>
      <c r="F211" s="0" t="inlineStr">
        <is>
          <t xml:space="preserve">Ánh xạ default_calculation_method; METERED / PER_PERSON / PER_ROOM.</t>
        </is>
      </c>
      <c r="G211" s="0" t="inlineStr">
        <is>
          <t xml:space="preserve">"METERED"</t>
        </is>
      </c>
    </row>
    <row r="212" ht="70" customHeight="1">
      <c r="A212" s="2" t="inlineStr">
        <is>
          <t xml:space="preserve">API-141</t>
        </is>
      </c>
      <c r="B212" s="2" t="inlineStr">
        <is>
          <t xml:space="preserve">POST /houses/{houseId}/services</t>
        </is>
      </c>
      <c r="C212" s="2" t="inlineStr">
        <is>
          <t xml:space="preserve">active</t>
        </is>
      </c>
      <c r="D212" s="2" t="inlineStr">
        <is>
          <t xml:space="preserve">boolean</t>
        </is>
      </c>
      <c r="E212" s="2" t="inlineStr">
        <is>
          <t xml:space="preserve">Có</t>
        </is>
      </c>
      <c r="F212" s="2" t="inlineStr">
        <is>
          <t xml:space="preserve">Ánh xạ is_active; bật/ngừng áp dụng.</t>
        </is>
      </c>
      <c r="G212" s="2" t="inlineStr">
        <is>
          <t xml:space="preserve">true</t>
        </is>
      </c>
    </row>
    <row r="213" ht="70" customHeight="1">
      <c r="A213" s="0" t="inlineStr">
        <is>
          <t xml:space="preserve">API-142</t>
        </is>
      </c>
      <c r="B213" s="0" t="inlineStr">
        <is>
          <t xml:space="preserve">PATCH /houses/{houseId}/services/{houseServiceId}</t>
        </is>
      </c>
      <c r="C213" s="0" t="inlineStr">
        <is>
          <t xml:space="preserve">name</t>
        </is>
      </c>
      <c r="D213" s="0" t="inlineStr">
        <is>
          <t xml:space="preserve">string</t>
        </is>
      </c>
      <c r="E213" s="0" t="inlineStr">
        <is>
          <t xml:space="preserve">Không</t>
        </is>
      </c>
      <c r="F213" s="0" t="inlineStr">
        <is>
          <t xml:space="preserve">1–100 ký tự; duy nhất trong nhà.</t>
        </is>
      </c>
      <c r="G213" s="0" t="inlineStr">
        <is>
          <t xml:space="preserve">"Điện"</t>
        </is>
      </c>
    </row>
    <row r="214" ht="70" customHeight="1">
      <c r="A214" s="2" t="inlineStr">
        <is>
          <t xml:space="preserve">API-142</t>
        </is>
      </c>
      <c r="B214" s="2" t="inlineStr">
        <is>
          <t xml:space="preserve">PATCH /houses/{houseId}/services/{houseServiceId}</t>
        </is>
      </c>
      <c r="C214" s="2" t="inlineStr">
        <is>
          <t xml:space="preserve">unit</t>
        </is>
      </c>
      <c r="D214" s="2" t="inlineStr">
        <is>
          <t xml:space="preserve">string</t>
        </is>
      </c>
      <c r="E214" s="2" t="inlineStr">
        <is>
          <t xml:space="preserve">Không</t>
        </is>
      </c>
      <c r="F214" s="2" t="inlineStr">
        <is>
          <t xml:space="preserve">1–30 ký tự, đơn vị tính tại nhà.</t>
        </is>
      </c>
      <c r="G214" s="2" t="inlineStr">
        <is>
          <t xml:space="preserve">"kWh"</t>
        </is>
      </c>
    </row>
    <row r="215" ht="70" customHeight="1">
      <c r="A215" s="0" t="inlineStr">
        <is>
          <t xml:space="preserve">API-142</t>
        </is>
      </c>
      <c r="B215" s="0" t="inlineStr">
        <is>
          <t xml:space="preserve">PATCH /houses/{houseId}/services/{houseServiceId}</t>
        </is>
      </c>
      <c r="C215" s="0" t="inlineStr">
        <is>
          <t xml:space="preserve">unitPrice</t>
        </is>
      </c>
      <c r="D215" s="0" t="inlineStr">
        <is>
          <t xml:space="preserve">money</t>
        </is>
      </c>
      <c r="E215" s="0" t="inlineStr">
        <is>
          <t xml:space="preserve">Không</t>
        </is>
      </c>
      <c r="F215" s="0" t="inlineStr">
        <is>
          <t xml:space="preserve">Ánh xạ default_unit_price; không âm.</t>
        </is>
      </c>
      <c r="G215" s="0" t="inlineStr">
        <is>
          <t xml:space="preserve">"3500.00"</t>
        </is>
      </c>
    </row>
    <row r="216" ht="70" customHeight="1">
      <c r="A216" s="2" t="inlineStr">
        <is>
          <t xml:space="preserve">API-142</t>
        </is>
      </c>
      <c r="B216" s="2" t="inlineStr">
        <is>
          <t xml:space="preserve">PATCH /houses/{houseId}/services/{houseServiceId}</t>
        </is>
      </c>
      <c r="C216" s="2" t="inlineStr">
        <is>
          <t xml:space="preserve">calculationMethod</t>
        </is>
      </c>
      <c r="D216" s="2" t="inlineStr">
        <is>
          <t xml:space="preserve">enum</t>
        </is>
      </c>
      <c r="E216" s="2" t="inlineStr">
        <is>
          <t xml:space="preserve">Không</t>
        </is>
      </c>
      <c r="F216" s="2" t="inlineStr">
        <is>
          <t xml:space="preserve">Ánh xạ default_calculation_method; METERED / PER_PERSON / PER_ROOM.</t>
        </is>
      </c>
      <c r="G216" s="2" t="inlineStr">
        <is>
          <t xml:space="preserve">"METERED"</t>
        </is>
      </c>
    </row>
    <row r="217" ht="70" customHeight="1">
      <c r="A217" s="0" t="inlineStr">
        <is>
          <t xml:space="preserve">API-142</t>
        </is>
      </c>
      <c r="B217" s="0" t="inlineStr">
        <is>
          <t xml:space="preserve">PATCH /houses/{houseId}/services/{houseServiceId}</t>
        </is>
      </c>
      <c r="C217" s="0" t="inlineStr">
        <is>
          <t xml:space="preserve">active</t>
        </is>
      </c>
      <c r="D217" s="0" t="inlineStr">
        <is>
          <t xml:space="preserve">boolean</t>
        </is>
      </c>
      <c r="E217" s="0" t="inlineStr">
        <is>
          <t xml:space="preserve">Không</t>
        </is>
      </c>
      <c r="F217" s="0" t="inlineStr">
        <is>
          <t xml:space="preserve">Ánh xạ is_active; bật/ngừng áp dụng.</t>
        </is>
      </c>
      <c r="G217" s="0" t="inlineStr">
        <is>
          <t xml:space="preserve">true</t>
        </is>
      </c>
    </row>
    <row r="218" ht="70" customHeight="1">
      <c r="A218" s="2" t="inlineStr">
        <is>
          <t xml:space="preserve">API-143</t>
        </is>
      </c>
      <c r="B218" s="2" t="inlineStr">
        <is>
          <t xml:space="preserve">PUT /rooms/{roomId}/service-settings/{houseServiceId}</t>
        </is>
      </c>
      <c r="C218" s="2" t="inlineStr">
        <is>
          <t xml:space="preserve">active</t>
        </is>
      </c>
      <c r="D218" s="2" t="inlineStr">
        <is>
          <t xml:space="preserve">boolean</t>
        </is>
      </c>
      <c r="E218" s="2" t="inlineStr">
        <is>
          <t xml:space="preserve">Có</t>
        </is>
      </c>
      <c r="F218" s="2" t="inlineStr">
        <is>
          <t xml:space="preserve">Bật ở cả nhà/phòng mới có hiệu lực.</t>
        </is>
      </c>
      <c r="G218" s="2" t="inlineStr">
        <is>
          <t xml:space="preserve">true</t>
        </is>
      </c>
    </row>
    <row r="219" ht="70" customHeight="1">
      <c r="A219" s="0" t="inlineStr">
        <is>
          <t xml:space="preserve">API-143</t>
        </is>
      </c>
      <c r="B219" s="0" t="inlineStr">
        <is>
          <t xml:space="preserve">PUT /rooms/{roomId}/service-settings/{houseServiceId}</t>
        </is>
      </c>
      <c r="C219" s="0" t="inlineStr">
        <is>
          <t xml:space="preserve">unitPriceOverride</t>
        </is>
      </c>
      <c r="D219" s="0" t="inlineStr">
        <is>
          <t xml:space="preserve">money|null</t>
        </is>
      </c>
      <c r="E219" s="0" t="inlineStr">
        <is>
          <t xml:space="preserve">Có</t>
        </is>
      </c>
      <c r="F219" s="0" t="inlineStr">
        <is>
          <t xml:space="preserve">null kế thừa, 0 giữ giá 0.</t>
        </is>
      </c>
      <c r="G219" s="0" t="inlineStr">
        <is>
          <t xml:space="preserve">"0.00"</t>
        </is>
      </c>
    </row>
    <row r="220" ht="70" customHeight="1">
      <c r="A220" s="2" t="inlineStr">
        <is>
          <t xml:space="preserve">API-143</t>
        </is>
      </c>
      <c r="B220" s="2" t="inlineStr">
        <is>
          <t xml:space="preserve">PUT /rooms/{roomId}/service-settings/{houseServiceId}</t>
        </is>
      </c>
      <c r="C220" s="2" t="inlineStr">
        <is>
          <t xml:space="preserve">calculationMethodOverride</t>
        </is>
      </c>
      <c r="D220" s="2" t="inlineStr">
        <is>
          <t xml:space="preserve">enum|null</t>
        </is>
      </c>
      <c r="E220" s="2" t="inlineStr">
        <is>
          <t xml:space="preserve">Có</t>
        </is>
      </c>
      <c r="F220" s="2" t="inlineStr">
        <is>
          <t xml:space="preserve">null kế thừa; hoặc METERED/PER_PERSON/PER_ROOM.</t>
        </is>
      </c>
      <c r="G220" s="2" t="inlineStr">
        <is>
          <t xml:space="preserve">null</t>
        </is>
      </c>
    </row>
    <row r="221" ht="70" customHeight="1">
      <c r="A221" s="0" t="inlineStr">
        <is>
          <t xml:space="preserve">API-147</t>
        </is>
      </c>
      <c r="B221" s="0" t="inlineStr">
        <is>
          <t xml:space="preserve">POST /invoices</t>
        </is>
      </c>
      <c r="C221" s="0" t="inlineStr">
        <is>
          <t xml:space="preserve">contractId</t>
        </is>
      </c>
      <c r="D221" s="0" t="inlineStr">
        <is>
          <t xml:space="preserve">id</t>
        </is>
      </c>
      <c r="E221" s="0" t="inlineStr">
        <is>
          <t xml:space="preserve">Có</t>
        </is>
      </c>
      <c r="F221" s="0" t="inlineStr">
        <is>
          <t xml:space="preserve">Hợp đồng ACTIVE thuộc chủ trọ.</t>
        </is>
      </c>
      <c r="G221" s="0" t="inlineStr">
        <is>
          <t xml:space="preserve">"801"</t>
        </is>
      </c>
    </row>
    <row r="222" ht="70" customHeight="1">
      <c r="A222" s="2" t="inlineStr">
        <is>
          <t xml:space="preserve">API-147</t>
        </is>
      </c>
      <c r="B222" s="2" t="inlineStr">
        <is>
          <t xml:space="preserve">POST /invoices</t>
        </is>
      </c>
      <c r="C222" s="2" t="inlineStr">
        <is>
          <t xml:space="preserve">billingPeriod</t>
        </is>
      </c>
      <c r="D222" s="2" t="inlineStr">
        <is>
          <t xml:space="preserve">date</t>
        </is>
      </c>
      <c r="E222" s="2" t="inlineStr">
        <is>
          <t xml:space="preserve">Có</t>
        </is>
      </c>
      <c r="F222" s="2" t="inlineStr">
        <is>
          <t xml:space="preserve">Ngày đầu tháng, không trùng hóa đơn chưa CANCELLED.</t>
        </is>
      </c>
      <c r="G222" s="2" t="inlineStr">
        <is>
          <t xml:space="preserve">"2026-11-01"</t>
        </is>
      </c>
    </row>
    <row r="223" ht="70" customHeight="1">
      <c r="A223" s="0" t="inlineStr">
        <is>
          <t xml:space="preserve">API-147</t>
        </is>
      </c>
      <c r="B223" s="0" t="inlineStr">
        <is>
          <t xml:space="preserve">POST /invoices</t>
        </is>
      </c>
      <c r="C223" s="0" t="inlineStr">
        <is>
          <t xml:space="preserve">dueDate</t>
        </is>
      </c>
      <c r="D223" s="0" t="inlineStr">
        <is>
          <t xml:space="preserve">date</t>
        </is>
      </c>
      <c r="E223" s="0" t="inlineStr">
        <is>
          <t xml:space="preserve">Có</t>
        </is>
      </c>
      <c r="F223" s="0" t="inlineStr">
        <is>
          <t xml:space="preserve">Không trước ngày phát hành theo chính sách đề xuất.</t>
        </is>
      </c>
      <c r="G223" s="0" t="inlineStr">
        <is>
          <t xml:space="preserve">"2026-11-10"</t>
        </is>
      </c>
    </row>
    <row r="224" ht="70" customHeight="1">
      <c r="A224" s="2" t="inlineStr">
        <is>
          <t xml:space="preserve">API-147</t>
        </is>
      </c>
      <c r="B224" s="2" t="inlineStr">
        <is>
          <t xml:space="preserve">POST /invoices</t>
        </is>
      </c>
      <c r="C224" s="2" t="inlineStr">
        <is>
          <t xml:space="preserve">items</t>
        </is>
      </c>
      <c r="D224" s="2" t="inlineStr">
        <is>
          <t xml:space="preserve">InvoiceInputItem[]</t>
        </is>
      </c>
      <c r="E224" s="2" t="inlineStr">
        <is>
          <t xml:space="preserve">Có</t>
        </is>
      </c>
      <c r="F224" s="2" t="inlineStr">
        <is>
          <t xml:space="preserve">Có tiền thuê và các dòng dịch vụ/khoản khác; tổng không âm.</t>
        </is>
      </c>
      <c r="G224" s="2" t="inlineStr">
        <is>
          <t xml:space="preserve">[{"type": "SERVICE", "roomServiceId": "61", "previousReading": "100.000", "currentReading": "125.000"}]</t>
        </is>
      </c>
    </row>
    <row r="225" ht="70" customHeight="1">
      <c r="A225" s="0" t="inlineStr">
        <is>
          <t xml:space="preserve">API-148</t>
        </is>
      </c>
      <c r="B225" s="0" t="inlineStr">
        <is>
          <t xml:space="preserve">PATCH /invoices/{invoiceId}</t>
        </is>
      </c>
      <c r="C225" s="0" t="inlineStr">
        <is>
          <t xml:space="preserve">dueDate</t>
        </is>
      </c>
      <c r="D225" s="0" t="inlineStr">
        <is>
          <t xml:space="preserve">date</t>
        </is>
      </c>
      <c r="E225" s="0" t="inlineStr">
        <is>
          <t xml:space="preserve">Không</t>
        </is>
      </c>
      <c r="F225" s="0" t="inlineStr">
        <is>
          <t xml:space="preserve">Không trước ngày phát hành theo chính sách đề xuất.</t>
        </is>
      </c>
      <c r="G225" s="0" t="inlineStr">
        <is>
          <t xml:space="preserve">"2026-11-10"</t>
        </is>
      </c>
    </row>
    <row r="226" ht="70" customHeight="1">
      <c r="A226" s="2" t="inlineStr">
        <is>
          <t xml:space="preserve">API-148</t>
        </is>
      </c>
      <c r="B226" s="2" t="inlineStr">
        <is>
          <t xml:space="preserve">PATCH /invoices/{invoiceId}</t>
        </is>
      </c>
      <c r="C226" s="2" t="inlineStr">
        <is>
          <t xml:space="preserve">items</t>
        </is>
      </c>
      <c r="D226" s="2" t="inlineStr">
        <is>
          <t xml:space="preserve">InvoiceInputItem[]</t>
        </is>
      </c>
      <c r="E226" s="2" t="inlineStr">
        <is>
          <t xml:space="preserve">Không</t>
        </is>
      </c>
      <c r="F226" s="2" t="inlineStr">
        <is>
          <t xml:space="preserve">Có tiền thuê và các dòng dịch vụ/khoản khác; tổng không âm.</t>
        </is>
      </c>
      <c r="G226" s="2" t="inlineStr">
        <is>
          <t xml:space="preserve">[{"type": "SERVICE", "roomServiceId": "61", "previousReading": "100.000", "currentReading": "125.000"}]</t>
        </is>
      </c>
    </row>
    <row r="227" ht="70" customHeight="1">
      <c r="A227" s="0" t="inlineStr">
        <is>
          <t xml:space="preserve">API-151</t>
        </is>
      </c>
      <c r="B227" s="0" t="inlineStr">
        <is>
          <t xml:space="preserve">POST /invoices/{invoiceId}/cancel</t>
        </is>
      </c>
      <c r="C227" s="0" t="inlineStr">
        <is>
          <t xml:space="preserve">reason</t>
        </is>
      </c>
      <c r="D227" s="0" t="inlineStr">
        <is>
          <t xml:space="preserve">string</t>
        </is>
      </c>
      <c r="E227" s="0" t="inlineStr">
        <is>
          <t xml:space="preserve">Có</t>
        </is>
      </c>
      <c r="F227" s="0" t="inlineStr">
        <is>
          <t xml:space="preserve">Không chỉ khoảng trắng; tối đa 1.000 ký tự.</t>
        </is>
      </c>
      <c r="G227" s="0" t="inlineStr">
        <is>
          <t xml:space="preserve">"Người thuê thay đổi kế hoạch"</t>
        </is>
      </c>
    </row>
    <row r="228" ht="70" customHeight="1">
      <c r="A228" s="2" t="inlineStr">
        <is>
          <t xml:space="preserve">API-152</t>
        </is>
      </c>
      <c r="B228" s="2" t="inlineStr">
        <is>
          <t xml:space="preserve">POST /invoices/{invoiceId}/replacements</t>
        </is>
      </c>
      <c r="C228" s="2" t="inlineStr">
        <is>
          <t xml:space="preserve">dueDate</t>
        </is>
      </c>
      <c r="D228" s="2" t="inlineStr">
        <is>
          <t xml:space="preserve">date</t>
        </is>
      </c>
      <c r="E228" s="2" t="inlineStr">
        <is>
          <t xml:space="preserve">Có</t>
        </is>
      </c>
      <c r="F228" s="2" t="inlineStr">
        <is>
          <t xml:space="preserve">Không trước ngày phát hành theo chính sách đề xuất.</t>
        </is>
      </c>
      <c r="G228" s="2" t="inlineStr">
        <is>
          <t xml:space="preserve">"2026-11-10"</t>
        </is>
      </c>
    </row>
    <row r="229" ht="70" customHeight="1">
      <c r="A229" s="0" t="inlineStr">
        <is>
          <t xml:space="preserve">API-152</t>
        </is>
      </c>
      <c r="B229" s="0" t="inlineStr">
        <is>
          <t xml:space="preserve">POST /invoices/{invoiceId}/replacements</t>
        </is>
      </c>
      <c r="C229" s="0" t="inlineStr">
        <is>
          <t xml:space="preserve">items</t>
        </is>
      </c>
      <c r="D229" s="0" t="inlineStr">
        <is>
          <t xml:space="preserve">InvoiceInputItem[]</t>
        </is>
      </c>
      <c r="E229" s="0" t="inlineStr">
        <is>
          <t xml:space="preserve">Có</t>
        </is>
      </c>
      <c r="F229" s="0" t="inlineStr">
        <is>
          <t xml:space="preserve">Có tiền thuê và các dòng dịch vụ/khoản khác; tổng không âm.</t>
        </is>
      </c>
      <c r="G229" s="0" t="inlineStr">
        <is>
          <t xml:space="preserve">[{"type": "SERVICE", "roomServiceId": "61", "previousReading": "100.000", "currentReading": "125.000"}]</t>
        </is>
      </c>
    </row>
    <row r="230" ht="70" customHeight="1">
      <c r="A230" s="2" t="inlineStr">
        <is>
          <t xml:space="preserve">API-154</t>
        </is>
      </c>
      <c r="B230" s="2" t="inlineStr">
        <is>
          <t xml:space="preserve">POST /reviews</t>
        </is>
      </c>
      <c r="C230" s="2" t="inlineStr">
        <is>
          <t xml:space="preserve">roomTenantId</t>
        </is>
      </c>
      <c r="D230" s="2" t="inlineStr">
        <is>
          <t xml:space="preserve">id</t>
        </is>
      </c>
      <c r="E230" s="2" t="inlineStr">
        <is>
          <t xml:space="preserve">Có</t>
        </is>
      </c>
      <c r="F230" s="2" t="inlineStr">
        <is>
          <t xml:space="preserve">Lượt ở của actor đúng room/contract.</t>
        </is>
      </c>
      <c r="G230" s="2" t="inlineStr">
        <is>
          <t xml:space="preserve">"1101"</t>
        </is>
      </c>
    </row>
    <row r="231" ht="70" customHeight="1">
      <c r="A231" s="0" t="inlineStr">
        <is>
          <t xml:space="preserve">API-154</t>
        </is>
      </c>
      <c r="B231" s="0" t="inlineStr">
        <is>
          <t xml:space="preserve">POST /reviews</t>
        </is>
      </c>
      <c r="C231" s="0" t="inlineStr">
        <is>
          <t xml:space="preserve">rating</t>
        </is>
      </c>
      <c r="D231" s="0" t="inlineStr">
        <is>
          <t xml:space="preserve">integer</t>
        </is>
      </c>
      <c r="E231" s="0" t="inlineStr">
        <is>
          <t xml:space="preserve">Có</t>
        </is>
      </c>
      <c r="F231" s="0" t="inlineStr">
        <is>
          <t xml:space="preserve">1–5.</t>
        </is>
      </c>
      <c r="G231" s="0" t="inlineStr">
        <is>
          <t xml:space="preserve">5</t>
        </is>
      </c>
    </row>
    <row r="232" ht="70" customHeight="1">
      <c r="A232" s="2" t="inlineStr">
        <is>
          <t xml:space="preserve">API-154</t>
        </is>
      </c>
      <c r="B232" s="2" t="inlineStr">
        <is>
          <t xml:space="preserve">POST /reviews</t>
        </is>
      </c>
      <c r="C232" s="2" t="inlineStr">
        <is>
          <t xml:space="preserve">content</t>
        </is>
      </c>
      <c r="D232" s="2" t="inlineStr">
        <is>
          <t xml:space="preserve">string</t>
        </is>
      </c>
      <c r="E232" s="2" t="inlineStr">
        <is>
          <t xml:space="preserve">Không</t>
        </is>
      </c>
      <c r="F232" s="2" t="inlineStr">
        <is>
          <t xml:space="preserve">SQL TEXT; giới hạn API được cấu hình.</t>
        </is>
      </c>
      <c r="G232" s="2" t="inlineStr">
        <is>
          <t xml:space="preserve">"Phòng sạch, dịch vụ rõ ràng."</t>
        </is>
      </c>
    </row>
    <row r="233" ht="70" customHeight="1">
      <c r="A233" s="0" t="inlineStr">
        <is>
          <t xml:space="preserve">API-155</t>
        </is>
      </c>
      <c r="B233" s="0" t="inlineStr">
        <is>
          <t xml:space="preserve">POST /admin/reviews/{reviewId}/moderation</t>
        </is>
      </c>
      <c r="C233" s="0" t="inlineStr">
        <is>
          <t xml:space="preserve">status</t>
        </is>
      </c>
      <c r="D233" s="0" t="inlineStr">
        <is>
          <t xml:space="preserve">enum</t>
        </is>
      </c>
      <c r="E233" s="0" t="inlineStr">
        <is>
          <t xml:space="preserve">Có</t>
        </is>
      </c>
      <c r="F233" s="0" t="inlineStr">
        <is>
          <t xml:space="preserve">HIDDEN / PUBLISHED / DELETED.</t>
        </is>
      </c>
      <c r="G233" s="0" t="inlineStr">
        <is>
          <t xml:space="preserve">"HIDDEN"</t>
        </is>
      </c>
    </row>
    <row r="234" ht="70" customHeight="1">
      <c r="A234" s="2" t="inlineStr">
        <is>
          <t xml:space="preserve">API-155</t>
        </is>
      </c>
      <c r="B234" s="2" t="inlineStr">
        <is>
          <t xml:space="preserve">POST /admin/reviews/{reviewId}/moderation</t>
        </is>
      </c>
      <c r="C234" s="2" t="inlineStr">
        <is>
          <t xml:space="preserve">reason</t>
        </is>
      </c>
      <c r="D234" s="2" t="inlineStr">
        <is>
          <t xml:space="preserve">string</t>
        </is>
      </c>
      <c r="E234" s="2" t="inlineStr">
        <is>
          <t xml:space="preserve">Có</t>
        </is>
      </c>
      <c r="F234" s="2" t="inlineStr">
        <is>
          <t xml:space="preserve">Lý do không trống, ≤1.000 ký tự.</t>
        </is>
      </c>
      <c r="G234" s="2" t="inlineStr">
        <is>
          <t xml:space="preserve">"Nội dung vi phạm quy định"</t>
        </is>
      </c>
    </row>
    <row r="235" ht="70" customHeight="1">
      <c r="A235" s="0" t="inlineStr">
        <is>
          <t xml:space="preserve">API-156</t>
        </is>
      </c>
      <c r="B235" s="0" t="inlineStr">
        <is>
          <t xml:space="preserve">POST /reports</t>
        </is>
      </c>
      <c r="C235" s="0" t="inlineStr">
        <is>
          <t xml:space="preserve">type</t>
        </is>
      </c>
      <c r="D235" s="0" t="inlineStr">
        <is>
          <t xml:space="preserve">enum</t>
        </is>
      </c>
      <c r="E235" s="0" t="inlineStr">
        <is>
          <t xml:space="preserve">Có</t>
        </is>
      </c>
      <c r="F235" s="0" t="inlineStr">
        <is>
          <t xml:space="preserve">VIOLATION / DISPUTE.</t>
        </is>
      </c>
      <c r="G235" s="0" t="inlineStr">
        <is>
          <t xml:space="preserve">"VIOLATION"</t>
        </is>
      </c>
    </row>
    <row r="236" ht="70" customHeight="1">
      <c r="A236" s="2" t="inlineStr">
        <is>
          <t xml:space="preserve">API-156</t>
        </is>
      </c>
      <c r="B236" s="2" t="inlineStr">
        <is>
          <t xml:space="preserve">POST /reports</t>
        </is>
      </c>
      <c r="C236" s="2" t="inlineStr">
        <is>
          <t xml:space="preserve">targetType</t>
        </is>
      </c>
      <c r="D236" s="2" t="inlineStr">
        <is>
          <t xml:space="preserve">enum</t>
        </is>
      </c>
      <c r="E236" s="2" t="inlineStr">
        <is>
          <t xml:space="preserve">Có</t>
        </is>
      </c>
      <c r="F236" s="2" t="inlineStr">
        <is>
          <t xml:space="preserve">POST / USER / CONTRACT / ROOMMATE_REQUEST.</t>
        </is>
      </c>
      <c r="G236" s="2" t="inlineStr">
        <is>
          <t xml:space="preserve">"POST"</t>
        </is>
      </c>
    </row>
    <row r="237" ht="70" customHeight="1">
      <c r="A237" s="0" t="inlineStr">
        <is>
          <t xml:space="preserve">API-156</t>
        </is>
      </c>
      <c r="B237" s="0" t="inlineStr">
        <is>
          <t xml:space="preserve">POST /reports</t>
        </is>
      </c>
      <c r="C237" s="0" t="inlineStr">
        <is>
          <t xml:space="preserve">targetId</t>
        </is>
      </c>
      <c r="D237" s="0" t="inlineStr">
        <is>
          <t xml:space="preserve">id</t>
        </is>
      </c>
      <c r="E237" s="0" t="inlineStr">
        <is>
          <t xml:space="preserve">Có</t>
        </is>
      </c>
      <c r="F237" s="0" t="inlineStr">
        <is>
          <t xml:space="preserve">Đối tượng actor có quyền truy cập.</t>
        </is>
      </c>
      <c r="G237" s="0" t="inlineStr">
        <is>
          <t xml:space="preserve">"201"</t>
        </is>
      </c>
    </row>
    <row r="238" ht="70" customHeight="1">
      <c r="A238" s="2" t="inlineStr">
        <is>
          <t xml:space="preserve">API-156</t>
        </is>
      </c>
      <c r="B238" s="2" t="inlineStr">
        <is>
          <t xml:space="preserve">POST /reports</t>
        </is>
      </c>
      <c r="C238" s="2" t="inlineStr">
        <is>
          <t xml:space="preserve">reason</t>
        </is>
      </c>
      <c r="D238" s="2" t="inlineStr">
        <is>
          <t xml:space="preserve">string</t>
        </is>
      </c>
      <c r="E238" s="2" t="inlineStr">
        <is>
          <t xml:space="preserve">Có</t>
        </is>
      </c>
      <c r="F238" s="2" t="inlineStr">
        <is>
          <t xml:space="preserve">Nội dung không trống.</t>
        </is>
      </c>
      <c r="G238" s="2" t="inlineStr">
        <is>
          <t xml:space="preserve">"Thông tin không đúng thực tế"</t>
        </is>
      </c>
    </row>
    <row r="239" ht="70" customHeight="1">
      <c r="A239" s="0" t="inlineStr">
        <is>
          <t xml:space="preserve">API-156</t>
        </is>
      </c>
      <c r="B239" s="0" t="inlineStr">
        <is>
          <t xml:space="preserve">POST /reports</t>
        </is>
      </c>
      <c r="C239" s="0" t="inlineStr">
        <is>
          <t xml:space="preserve">evidenceFileIds</t>
        </is>
      </c>
      <c r="D239" s="0" t="inlineStr">
        <is>
          <t xml:space="preserve">id[]</t>
        </is>
      </c>
      <c r="E239" s="0" t="inlineStr">
        <is>
          <t xml:space="preserve">Không</t>
        </is>
      </c>
      <c r="F239" s="0" t="inlineStr">
        <is>
          <t xml:space="preserve">REPORT_EVIDENCE PRIVATE ACTIVE của actor.</t>
        </is>
      </c>
      <c r="G239" s="0" t="inlineStr">
        <is>
          <t xml:space="preserve">""</t>
        </is>
      </c>
    </row>
    <row r="240" ht="70" customHeight="1">
      <c r="A240" s="2" t="inlineStr">
        <is>
          <t xml:space="preserve">API-160</t>
        </is>
      </c>
      <c r="B240" s="2" t="inlineStr">
        <is>
          <t xml:space="preserve">POST /admin/reports/{reportId}/decision</t>
        </is>
      </c>
      <c r="C240" s="2" t="inlineStr">
        <is>
          <t xml:space="preserve">status</t>
        </is>
      </c>
      <c r="D240" s="2" t="inlineStr">
        <is>
          <t xml:space="preserve">enum</t>
        </is>
      </c>
      <c r="E240" s="2" t="inlineStr">
        <is>
          <t xml:space="preserve">Có</t>
        </is>
      </c>
      <c r="F240" s="2" t="inlineStr">
        <is>
          <t xml:space="preserve">INVESTIGATING / RESOLVED / DISMISSED.</t>
        </is>
      </c>
      <c r="G240" s="2" t="inlineStr">
        <is>
          <t xml:space="preserve">"RESOLVED"</t>
        </is>
      </c>
    </row>
    <row r="241" ht="70" customHeight="1">
      <c r="A241" s="0" t="inlineStr">
        <is>
          <t xml:space="preserve">API-160</t>
        </is>
      </c>
      <c r="B241" s="0" t="inlineStr">
        <is>
          <t xml:space="preserve">POST /admin/reports/{reportId}/decision</t>
        </is>
      </c>
      <c r="C241" s="0" t="inlineStr">
        <is>
          <t xml:space="preserve">resolution</t>
        </is>
      </c>
      <c r="D241" s="0" t="inlineStr">
        <is>
          <t xml:space="preserve">string</t>
        </is>
      </c>
      <c r="E241" s="0" t="inlineStr">
        <is>
          <t xml:space="preserve">Không</t>
        </is>
      </c>
      <c r="F241" s="0" t="inlineStr">
        <is>
          <t xml:space="preserve">RESOLVED/DISMISSED bắt buộc nội dung kết luận.</t>
        </is>
      </c>
      <c r="G241" s="0" t="inlineStr">
        <is>
          <t xml:space="preserve">"Đã đối chiếu và yêu cầu chỉnh tin."</t>
        </is>
      </c>
    </row>
    <row r="242" ht="70" customHeight="1">
      <c r="A242" s="2" t="inlineStr">
        <is>
          <t xml:space="preserve">API-163</t>
        </is>
      </c>
      <c r="B242" s="2" t="inlineStr">
        <is>
          <t xml:space="preserve">POST /admin/users/{userId}/lock</t>
        </is>
      </c>
      <c r="C242" s="2" t="inlineStr">
        <is>
          <t xml:space="preserve">reason</t>
        </is>
      </c>
      <c r="D242" s="2" t="inlineStr">
        <is>
          <t xml:space="preserve">string</t>
        </is>
      </c>
      <c r="E242" s="2" t="inlineStr">
        <is>
          <t xml:space="preserve">Có</t>
        </is>
      </c>
      <c r="F242" s="2" t="inlineStr">
        <is>
          <t xml:space="preserve">Không chỉ khoảng trắng; tối đa 1.000 ký tự.</t>
        </is>
      </c>
      <c r="G242" s="2" t="inlineStr">
        <is>
          <t xml:space="preserve">"Người thuê thay đổi kế hoạch"</t>
        </is>
      </c>
    </row>
    <row r="243" ht="70" customHeight="1">
      <c r="A243" s="0" t="inlineStr">
        <is>
          <t xml:space="preserve">API-164</t>
        </is>
      </c>
      <c r="B243" s="0" t="inlineStr">
        <is>
          <t xml:space="preserve">POST /admin/users/{userId}/unlock</t>
        </is>
      </c>
      <c r="C243" s="0" t="inlineStr">
        <is>
          <t xml:space="preserve">reason</t>
        </is>
      </c>
      <c r="D243" s="0" t="inlineStr">
        <is>
          <t xml:space="preserve">string</t>
        </is>
      </c>
      <c r="E243" s="0" t="inlineStr">
        <is>
          <t xml:space="preserve">Có</t>
        </is>
      </c>
      <c r="F243" s="0" t="inlineStr">
        <is>
          <t xml:space="preserve">Không chỉ khoảng trắng; tối đa 1.000 ký tự.</t>
        </is>
      </c>
      <c r="G243" s="0" t="inlineStr">
        <is>
          <t xml:space="preserve">"Người thuê thay đổi kế hoạch"</t>
        </is>
      </c>
    </row>
    <row r="244" ht="70" customHeight="1">
      <c r="A244" s="2" t="inlineStr">
        <is>
          <t xml:space="preserve">API-166</t>
        </is>
      </c>
      <c r="B244" s="2" t="inlineStr">
        <is>
          <t xml:space="preserve">POST /admin/contract-templates</t>
        </is>
      </c>
      <c r="C244" s="2" t="inlineStr">
        <is>
          <t xml:space="preserve">name</t>
        </is>
      </c>
      <c r="D244" s="2" t="inlineStr">
        <is>
          <t xml:space="preserve">string</t>
        </is>
      </c>
      <c r="E244" s="2" t="inlineStr">
        <is>
          <t xml:space="preserve">Có</t>
        </is>
      </c>
      <c r="F244" s="2" t="inlineStr">
        <is>
          <t xml:space="preserve">1–200 ký tự.</t>
        </is>
      </c>
      <c r="G244" s="2" t="inlineStr">
        <is>
          <t xml:space="preserve">"Hợp đồng thuê phòng"</t>
        </is>
      </c>
    </row>
    <row r="245" ht="70" customHeight="1">
      <c r="A245" s="0" t="inlineStr">
        <is>
          <t xml:space="preserve">API-166</t>
        </is>
      </c>
      <c r="B245" s="0" t="inlineStr">
        <is>
          <t xml:space="preserve">POST /admin/contract-templates</t>
        </is>
      </c>
      <c r="C245" s="0" t="inlineStr">
        <is>
          <t xml:space="preserve">content</t>
        </is>
      </c>
      <c r="D245" s="0" t="inlineStr">
        <is>
          <t xml:space="preserve">string</t>
        </is>
      </c>
      <c r="E245" s="0" t="inlineStr">
        <is>
          <t xml:space="preserve">Có</t>
        </is>
      </c>
      <c r="F245" s="0" t="inlineStr">
        <is>
          <t xml:space="preserve">Không trống.</t>
        </is>
      </c>
      <c r="G245" s="0" t="inlineStr">
        <is>
          <t xml:space="preserve">"Nội dung mẫu"</t>
        </is>
      </c>
    </row>
    <row r="246" ht="70" customHeight="1">
      <c r="A246" s="2" t="inlineStr">
        <is>
          <t xml:space="preserve">API-166</t>
        </is>
      </c>
      <c r="B246" s="2" t="inlineStr">
        <is>
          <t xml:space="preserve">POST /admin/contract-templates</t>
        </is>
      </c>
      <c r="C246" s="2" t="inlineStr">
        <is>
          <t xml:space="preserve">active</t>
        </is>
      </c>
      <c r="D246" s="2" t="inlineStr">
        <is>
          <t xml:space="preserve">boolean</t>
        </is>
      </c>
      <c r="E246" s="2" t="inlineStr">
        <is>
          <t xml:space="preserve">Có</t>
        </is>
      </c>
      <c r="F246" s="2" t="inlineStr">
        <is>
          <t xml:space="preserve">Bật cho hợp đồng mới.</t>
        </is>
      </c>
      <c r="G246" s="2" t="inlineStr">
        <is>
          <t xml:space="preserve">true</t>
        </is>
      </c>
    </row>
    <row r="247" ht="70" customHeight="1">
      <c r="A247" s="0" t="inlineStr">
        <is>
          <t xml:space="preserve">API-167</t>
        </is>
      </c>
      <c r="B247" s="0" t="inlineStr">
        <is>
          <t xml:space="preserve">PATCH /admin/contract-templates/{templateId}</t>
        </is>
      </c>
      <c r="C247" s="0" t="inlineStr">
        <is>
          <t xml:space="preserve">active</t>
        </is>
      </c>
      <c r="D247" s="0" t="inlineStr">
        <is>
          <t xml:space="preserve">boolean</t>
        </is>
      </c>
      <c r="E247" s="0" t="inlineStr">
        <is>
          <t xml:space="preserve">Không</t>
        </is>
      </c>
      <c r="F247" s="0" t="inlineStr">
        <is>
          <t xml:space="preserve">Không đổi nội dung phiên bản đã lưu.</t>
        </is>
      </c>
      <c r="G247" s="0" t="inlineStr">
        <is>
          <t xml:space="preserve">false</t>
        </is>
      </c>
    </row>
    <row r="248" ht="70" customHeight="1">
      <c r="A248" s="2" t="inlineStr">
        <is>
          <t xml:space="preserve">API-170</t>
        </is>
      </c>
      <c r="B248" s="2" t="inlineStr">
        <is>
          <t xml:space="preserve">POST /files/upload-sessions</t>
        </is>
      </c>
      <c r="C248" s="2" t="inlineStr">
        <is>
          <t xml:space="preserve">purpose</t>
        </is>
      </c>
      <c r="D248" s="2" t="inlineStr">
        <is>
          <t xml:space="preserve">enum</t>
        </is>
      </c>
      <c r="E248" s="2" t="inlineStr">
        <is>
          <t xml:space="preserve">Có</t>
        </is>
      </c>
      <c r="F248" s="2" t="inlineStr">
        <is>
          <t xml:space="preserve">AVATAR/POST_IMAGE/IDENTITY/LANDLORD_PROOF/CONTRACT/REPORT_EVIDENCE/CHAT_IMAGE.</t>
        </is>
      </c>
      <c r="G248" s="2" t="inlineStr">
        <is>
          <t xml:space="preserve">"LANDLORD_PROOF"</t>
        </is>
      </c>
    </row>
    <row r="249" ht="70" customHeight="1">
      <c r="A249" s="0" t="inlineStr">
        <is>
          <t xml:space="preserve">API-170</t>
        </is>
      </c>
      <c r="B249" s="0" t="inlineStr">
        <is>
          <t xml:space="preserve">POST /files/upload-sessions</t>
        </is>
      </c>
      <c r="C249" s="0" t="inlineStr">
        <is>
          <t xml:space="preserve">originalName</t>
        </is>
      </c>
      <c r="D249" s="0" t="inlineStr">
        <is>
          <t xml:space="preserve">string</t>
        </is>
      </c>
      <c r="E249" s="0" t="inlineStr">
        <is>
          <t xml:space="preserve">Có</t>
        </is>
      </c>
      <c r="F249" s="0" t="inlineStr">
        <is>
          <t xml:space="preserve">≤255 ký tự; không dùng làm storage key.</t>
        </is>
      </c>
      <c r="G249" s="0" t="inlineStr">
        <is>
          <t xml:space="preserve">"minh-chung.pdf"</t>
        </is>
      </c>
    </row>
    <row r="250" ht="70" customHeight="1">
      <c r="A250" s="2" t="inlineStr">
        <is>
          <t xml:space="preserve">API-170</t>
        </is>
      </c>
      <c r="B250" s="2" t="inlineStr">
        <is>
          <t xml:space="preserve">POST /files/upload-sessions</t>
        </is>
      </c>
      <c r="C250" s="2" t="inlineStr">
        <is>
          <t xml:space="preserve">mimeType</t>
        </is>
      </c>
      <c r="D250" s="2" t="inlineStr">
        <is>
          <t xml:space="preserve">string</t>
        </is>
      </c>
      <c r="E250" s="2" t="inlineStr">
        <is>
          <t xml:space="preserve">Có</t>
        </is>
      </c>
      <c r="F250" s="2" t="inlineStr">
        <is>
          <t xml:space="preserve">Allowlist theo purpose, kiểm tra lại bytes.</t>
        </is>
      </c>
      <c r="G250" s="2" t="inlineStr">
        <is>
          <t xml:space="preserve">"application/pdf"</t>
        </is>
      </c>
    </row>
    <row r="251" ht="70" customHeight="1">
      <c r="A251" s="0" t="inlineStr">
        <is>
          <t xml:space="preserve">API-170</t>
        </is>
      </c>
      <c r="B251" s="0" t="inlineStr">
        <is>
          <t xml:space="preserve">POST /files/upload-sessions</t>
        </is>
      </c>
      <c r="C251" s="0" t="inlineStr">
        <is>
          <t xml:space="preserve">sizeBytes</t>
        </is>
      </c>
      <c r="D251" s="0" t="inlineStr">
        <is>
          <t xml:space="preserve">integer</t>
        </is>
      </c>
      <c r="E251" s="0" t="inlineStr">
        <is>
          <t xml:space="preserve">Có</t>
        </is>
      </c>
      <c r="F251" s="0" t="inlineStr">
        <is>
          <t xml:space="preserve">Proof nhà: 1–5.242.880 bytes; mục đích khác theo D05.</t>
        </is>
      </c>
      <c r="G251" s="0" t="inlineStr">
        <is>
          <t xml:space="preserve">125000</t>
        </is>
      </c>
    </row>
    <row r="252" ht="70" customHeight="1">
      <c r="A252" s="2" t="inlineStr">
        <is>
          <t xml:space="preserve">API-170</t>
        </is>
      </c>
      <c r="B252" s="2" t="inlineStr">
        <is>
          <t xml:space="preserve">POST /files/upload-sessions</t>
        </is>
      </c>
      <c r="C252" s="2" t="inlineStr">
        <is>
          <t xml:space="preserve">sha256</t>
        </is>
      </c>
      <c r="D252" s="2" t="inlineStr">
        <is>
          <t xml:space="preserve">string</t>
        </is>
      </c>
      <c r="E252" s="2" t="inlineStr">
        <is>
          <t xml:space="preserve">Có</t>
        </is>
      </c>
      <c r="F252" s="2" t="inlineStr">
        <is>
          <t xml:space="preserve">64 ký tự hex; xác minh sau upload.</t>
        </is>
      </c>
      <c r="G252" s="2" t="inlineStr">
        <is>
          <t xml:space="preserve">"aaaaaaaaaaaaaaaaaaaaaaaaaaaaaaaaaaaaaaaaaaaaaaaaaaaaaaaaaaaaaaaa"</t>
        </is>
      </c>
    </row>
  </sheetData>
  <autoFilter ref="A1:G252"/>
  <pageMargins left="0.25" right="0.25" top="0.5" bottom="0.5" header="0.2" footer="0.2"/>
  <pageSetup orientation="landscape" paperSize="9"/>
</worksheet>
</file>

<file path=xl/worksheets/sheet7.xml><?xml version="1.0" encoding="utf-8"?>
<worksheet xmlns="http://schemas.openxmlformats.org/spreadsheetml/2006/main" xmlns:r="http://schemas.openxmlformats.org/officeDocument/2006/relationships">
  <dimension ref="A1:E584"/>
  <sheetViews>
    <sheetView workbookViewId="0">
      <pane xSplit="0" ySplit="1" topLeftCell="A2" activePane="bottomRight" state="frozen"/>
    </sheetView>
  </sheetViews>
  <sheetFormatPr defaultRowHeight="20"/>
  <cols>
    <col min="1" max="1" width="36" customWidth="1"/>
    <col min="2" max="2" width="40" customWidth="1"/>
    <col min="3" max="3" width="120" customWidth="1"/>
    <col min="4" max="4" width="36" customWidth="1"/>
    <col min="5" max="5" width="80" customWidth="1"/>
  </cols>
  <sheetData>
    <row r="1" ht="36" customHeight="1">
      <c r="A1" s="1" t="inlineStr">
        <is>
          <t xml:space="preserve">Bảng</t>
        </is>
      </c>
      <c r="B1" s="1" t="inlineStr">
        <is>
          <t xml:space="preserve">Cột</t>
        </is>
      </c>
      <c r="C1" s="1" t="inlineStr">
        <is>
          <t xml:space="preserve">Định nghĩa SQL hiện tại</t>
        </is>
      </c>
      <c r="D1" s="1" t="inlineStr">
        <is>
          <t xml:space="preserve">Nguồn</t>
        </is>
      </c>
      <c r="E1" s="1" t="inlineStr">
        <is>
          <t xml:space="preserve">Luồng tham chiếu</t>
        </is>
      </c>
    </row>
    <row r="2" ht="70" customHeight="1">
      <c r="A2" s="2" t="inlineStr">
        <is>
          <t xml:space="preserve">users</t>
        </is>
      </c>
      <c r="B2" s="2" t="inlineStr">
        <is>
          <t xml:space="preserve">id</t>
        </is>
      </c>
      <c r="C2" s="2" t="inlineStr">
        <is>
          <t xml:space="preserve">BIGINT NOT NULL AUTO_INCREMENT PRIMARY KEY</t>
        </is>
      </c>
      <c r="D2" s="2" t="inlineStr">
        <is>
          <t xml:space="preserve">database/schema.sql:10</t>
        </is>
      </c>
      <c r="E2" s="2" t="inlineStr">
        <is>
          <t xml:space="preserve">account-access, profile, notifications, lock-account</t>
        </is>
      </c>
    </row>
    <row r="3" ht="70" customHeight="1">
      <c r="A3" s="0" t="inlineStr">
        <is>
          <t xml:space="preserve">users</t>
        </is>
      </c>
      <c r="B3" s="0" t="inlineStr">
        <is>
          <t xml:space="preserve">email</t>
        </is>
      </c>
      <c r="C3" s="0" t="inlineStr">
        <is>
          <t xml:space="preserve">VARCHAR(150)</t>
        </is>
      </c>
      <c r="D3" s="0" t="inlineStr">
        <is>
          <t xml:space="preserve">database/schema.sql:10</t>
        </is>
      </c>
      <c r="E3" s="0" t="inlineStr">
        <is>
          <t xml:space="preserve">account-access, profile, notifications, lock-account</t>
        </is>
      </c>
    </row>
    <row r="4" ht="70" customHeight="1">
      <c r="A4" s="2" t="inlineStr">
        <is>
          <t xml:space="preserve">users</t>
        </is>
      </c>
      <c r="B4" s="2" t="inlineStr">
        <is>
          <t xml:space="preserve">phone_number</t>
        </is>
      </c>
      <c r="C4" s="2" t="inlineStr">
        <is>
          <t xml:space="preserve">VARCHAR(20)</t>
        </is>
      </c>
      <c r="D4" s="2" t="inlineStr">
        <is>
          <t xml:space="preserve">database/schema.sql:10</t>
        </is>
      </c>
      <c r="E4" s="2" t="inlineStr">
        <is>
          <t xml:space="preserve">account-access, profile, notifications, lock-account</t>
        </is>
      </c>
    </row>
    <row r="5" ht="70" customHeight="1">
      <c r="A5" s="0" t="inlineStr">
        <is>
          <t xml:space="preserve">users</t>
        </is>
      </c>
      <c r="B5" s="0" t="inlineStr">
        <is>
          <t xml:space="preserve">password_hash</t>
        </is>
      </c>
      <c r="C5" s="0" t="inlineStr">
        <is>
          <t xml:space="preserve">VARCHAR(255) NOT NULL</t>
        </is>
      </c>
      <c r="D5" s="0" t="inlineStr">
        <is>
          <t xml:space="preserve">database/schema.sql:10</t>
        </is>
      </c>
      <c r="E5" s="0" t="inlineStr">
        <is>
          <t xml:space="preserve">account-access, profile, notifications, lock-account</t>
        </is>
      </c>
    </row>
    <row r="6" ht="70" customHeight="1">
      <c r="A6" s="2" t="inlineStr">
        <is>
          <t xml:space="preserve">users</t>
        </is>
      </c>
      <c r="B6" s="2" t="inlineStr">
        <is>
          <t xml:space="preserve">full_name</t>
        </is>
      </c>
      <c r="C6" s="2" t="inlineStr">
        <is>
          <t xml:space="preserve">VARCHAR(150) NOT NULL</t>
        </is>
      </c>
      <c r="D6" s="2" t="inlineStr">
        <is>
          <t xml:space="preserve">database/schema.sql:10</t>
        </is>
      </c>
      <c r="E6" s="2" t="inlineStr">
        <is>
          <t xml:space="preserve">account-access, profile, notifications, lock-account</t>
        </is>
      </c>
    </row>
    <row r="7" ht="70" customHeight="1">
      <c r="A7" s="0" t="inlineStr">
        <is>
          <t xml:space="preserve">users</t>
        </is>
      </c>
      <c r="B7" s="0" t="inlineStr">
        <is>
          <t xml:space="preserve">role</t>
        </is>
      </c>
      <c r="C7" s="0" t="inlineStr">
        <is>
          <t xml:space="preserve">VARCHAR(40) NOT NULL DEFAULT 'TENANT'</t>
        </is>
      </c>
      <c r="D7" s="0" t="inlineStr">
        <is>
          <t xml:space="preserve">database/schema.sql:10</t>
        </is>
      </c>
      <c r="E7" s="0" t="inlineStr">
        <is>
          <t xml:space="preserve">account-access, profile, notifications, lock-account</t>
        </is>
      </c>
    </row>
    <row r="8" ht="70" customHeight="1">
      <c r="A8" s="2" t="inlineStr">
        <is>
          <t xml:space="preserve">users</t>
        </is>
      </c>
      <c r="B8" s="2" t="inlineStr">
        <is>
          <t xml:space="preserve">status</t>
        </is>
      </c>
      <c r="C8" s="2" t="inlineStr">
        <is>
          <t xml:space="preserve">VARCHAR(40) NOT NULL DEFAULT 'ACTIVE'</t>
        </is>
      </c>
      <c r="D8" s="2" t="inlineStr">
        <is>
          <t xml:space="preserve">database/schema.sql:10</t>
        </is>
      </c>
      <c r="E8" s="2" t="inlineStr">
        <is>
          <t xml:space="preserve">account-access, profile, notifications, lock-account</t>
        </is>
      </c>
    </row>
    <row r="9" ht="70" customHeight="1">
      <c r="A9" s="0" t="inlineStr">
        <is>
          <t xml:space="preserve">users</t>
        </is>
      </c>
      <c r="B9" s="0" t="inlineStr">
        <is>
          <t xml:space="preserve">phone_verified_at</t>
        </is>
      </c>
      <c r="C9" s="0" t="inlineStr">
        <is>
          <t xml:space="preserve">DATETIME(6)</t>
        </is>
      </c>
      <c r="D9" s="0" t="inlineStr">
        <is>
          <t xml:space="preserve">database/schema.sql:10</t>
        </is>
      </c>
      <c r="E9" s="0" t="inlineStr">
        <is>
          <t xml:space="preserve">account-access, profile, notifications, lock-account</t>
        </is>
      </c>
    </row>
    <row r="10" ht="70" customHeight="1">
      <c r="A10" s="2" t="inlineStr">
        <is>
          <t xml:space="preserve">users</t>
        </is>
      </c>
      <c r="B10" s="2" t="inlineStr">
        <is>
          <t xml:space="preserve">locked_at</t>
        </is>
      </c>
      <c r="C10" s="2" t="inlineStr">
        <is>
          <t xml:space="preserve">DATETIME(6)</t>
        </is>
      </c>
      <c r="D10" s="2" t="inlineStr">
        <is>
          <t xml:space="preserve">database/schema.sql:10</t>
        </is>
      </c>
      <c r="E10" s="2" t="inlineStr">
        <is>
          <t xml:space="preserve">account-access, profile, notifications, lock-account</t>
        </is>
      </c>
    </row>
    <row r="11" ht="70" customHeight="1">
      <c r="A11" s="0" t="inlineStr">
        <is>
          <t xml:space="preserve">users</t>
        </is>
      </c>
      <c r="B11" s="0" t="inlineStr">
        <is>
          <t xml:space="preserve">in_app_enabled</t>
        </is>
      </c>
      <c r="C11" s="0" t="inlineStr">
        <is>
          <t xml:space="preserve">BOOLEAN NOT NULL DEFAULT TRUE</t>
        </is>
      </c>
      <c r="D11" s="0" t="inlineStr">
        <is>
          <t xml:space="preserve">database/schema.sql:10</t>
        </is>
      </c>
      <c r="E11" s="0" t="inlineStr">
        <is>
          <t xml:space="preserve">account-access, profile, notifications, lock-account</t>
        </is>
      </c>
    </row>
    <row r="12" ht="70" customHeight="1">
      <c r="A12" s="2" t="inlineStr">
        <is>
          <t xml:space="preserve">users</t>
        </is>
      </c>
      <c r="B12" s="2" t="inlineStr">
        <is>
          <t xml:space="preserve">email_enabled</t>
        </is>
      </c>
      <c r="C12" s="2" t="inlineStr">
        <is>
          <t xml:space="preserve">BOOLEAN NOT NULL DEFAULT FALSE</t>
        </is>
      </c>
      <c r="D12" s="2" t="inlineStr">
        <is>
          <t xml:space="preserve">database/schema.sql:10</t>
        </is>
      </c>
      <c r="E12" s="2" t="inlineStr">
        <is>
          <t xml:space="preserve">account-access, profile, notifications, lock-account</t>
        </is>
      </c>
    </row>
    <row r="13" ht="70" customHeight="1">
      <c r="A13" s="0" t="inlineStr">
        <is>
          <t xml:space="preserve">users</t>
        </is>
      </c>
      <c r="B13" s="0" t="inlineStr">
        <is>
          <t xml:space="preserve">push_enabled</t>
        </is>
      </c>
      <c r="C13" s="0" t="inlineStr">
        <is>
          <t xml:space="preserve">BOOLEAN NOT NULL DEFAULT FALSE</t>
        </is>
      </c>
      <c r="D13" s="0" t="inlineStr">
        <is>
          <t xml:space="preserve">database/schema.sql:10</t>
        </is>
      </c>
      <c r="E13" s="0" t="inlineStr">
        <is>
          <t xml:space="preserve">account-access, profile, notifications, lock-account</t>
        </is>
      </c>
    </row>
    <row r="14" ht="70" customHeight="1">
      <c r="A14" s="2" t="inlineStr">
        <is>
          <t xml:space="preserve">users</t>
        </is>
      </c>
      <c r="B14" s="2" t="inlineStr">
        <is>
          <t xml:space="preserve">lock_reason</t>
        </is>
      </c>
      <c r="C14" s="2" t="inlineStr">
        <is>
          <t xml:space="preserve">VARCHAR(1000)</t>
        </is>
      </c>
      <c r="D14" s="2" t="inlineStr">
        <is>
          <t xml:space="preserve">database/schema.sql:10</t>
        </is>
      </c>
      <c r="E14" s="2" t="inlineStr">
        <is>
          <t xml:space="preserve">account-access, profile, notifications, lock-account</t>
        </is>
      </c>
    </row>
    <row r="15" ht="70" customHeight="1">
      <c r="A15" s="0" t="inlineStr">
        <is>
          <t xml:space="preserve">users</t>
        </is>
      </c>
      <c r="B15" s="0" t="inlineStr">
        <is>
          <t xml:space="preserve">locked_by_id</t>
        </is>
      </c>
      <c r="C15" s="0" t="inlineStr">
        <is>
          <t xml:space="preserve">BIGINT</t>
        </is>
      </c>
      <c r="D15" s="0" t="inlineStr">
        <is>
          <t xml:space="preserve">database/schema.sql:10</t>
        </is>
      </c>
      <c r="E15" s="0" t="inlineStr">
        <is>
          <t xml:space="preserve">account-access, profile, notifications, lock-account</t>
        </is>
      </c>
    </row>
    <row r="16" ht="70" customHeight="1">
      <c r="A16" s="2" t="inlineStr">
        <is>
          <t xml:space="preserve">users</t>
        </is>
      </c>
      <c r="B16" s="2" t="inlineStr">
        <is>
          <t xml:space="preserve">created_at</t>
        </is>
      </c>
      <c r="C16" s="2" t="inlineStr">
        <is>
          <t xml:space="preserve">DATETIME(6) NOT NULL DEFAULT CURRENT_TIMESTAMP(6)</t>
        </is>
      </c>
      <c r="D16" s="2" t="inlineStr">
        <is>
          <t xml:space="preserve">database/schema.sql:10</t>
        </is>
      </c>
      <c r="E16" s="2" t="inlineStr">
        <is>
          <t xml:space="preserve">account-access, profile, notifications, lock-account</t>
        </is>
      </c>
    </row>
    <row r="17" ht="70" customHeight="1">
      <c r="A17" s="0" t="inlineStr">
        <is>
          <t xml:space="preserve">users</t>
        </is>
      </c>
      <c r="B17" s="0" t="inlineStr">
        <is>
          <t xml:space="preserve">updated_at</t>
        </is>
      </c>
      <c r="C17" s="0" t="inlineStr">
        <is>
          <t xml:space="preserve">DATETIME(6) NOT NULL DEFAULT CURRENT_TIMESTAMP(6)</t>
        </is>
      </c>
      <c r="D17" s="0" t="inlineStr">
        <is>
          <t xml:space="preserve">database/schema.sql:10</t>
        </is>
      </c>
      <c r="E17" s="0" t="inlineStr">
        <is>
          <t xml:space="preserve">account-access, profile, notifications, lock-account</t>
        </is>
      </c>
    </row>
    <row r="18" ht="70" customHeight="1">
      <c r="A18" s="2" t="inlineStr">
        <is>
          <t xml:space="preserve">tenants</t>
        </is>
      </c>
      <c r="B18" s="2" t="inlineStr">
        <is>
          <t xml:space="preserve">id</t>
        </is>
      </c>
      <c r="C18" s="2" t="inlineStr">
        <is>
          <t xml:space="preserve">BIGINT NOT NULL PRIMARY KEY</t>
        </is>
      </c>
      <c r="D18" s="2" t="inlineStr">
        <is>
          <t xml:space="preserve">database/schema.sql:39</t>
        </is>
      </c>
      <c r="E18" s="2" t="inlineStr">
        <is>
          <t xml:space="preserve">account-access</t>
        </is>
      </c>
    </row>
    <row r="19" ht="70" customHeight="1">
      <c r="A19" s="0" t="inlineStr">
        <is>
          <t xml:space="preserve">landlords</t>
        </is>
      </c>
      <c r="B19" s="0" t="inlineStr">
        <is>
          <t xml:space="preserve">id</t>
        </is>
      </c>
      <c r="C19" s="0" t="inlineStr">
        <is>
          <t xml:space="preserve">BIGINT NOT NULL PRIMARY KEY</t>
        </is>
      </c>
      <c r="D19" s="0" t="inlineStr">
        <is>
          <t xml:space="preserve">database/schema.sql:44</t>
        </is>
      </c>
      <c r="E19" s="0" t="inlineStr">
        <is>
          <t xml:space="preserve">account-access</t>
        </is>
      </c>
    </row>
    <row r="20" ht="70" customHeight="1">
      <c r="A20" s="2" t="inlineStr">
        <is>
          <t xml:space="preserve">admins</t>
        </is>
      </c>
      <c r="B20" s="2" t="inlineStr">
        <is>
          <t xml:space="preserve">id</t>
        </is>
      </c>
      <c r="C20" s="2" t="inlineStr">
        <is>
          <t xml:space="preserve">BIGINT NOT NULL PRIMARY KEY</t>
        </is>
      </c>
      <c r="D20" s="2" t="inlineStr">
        <is>
          <t xml:space="preserve">database/schema.sql:49</t>
        </is>
      </c>
      <c r="E20" s="2" t="inlineStr">
        <is>
          <t xml:space="preserve">account-access</t>
        </is>
      </c>
    </row>
    <row r="21" ht="70" customHeight="1">
      <c r="A21" s="0" t="inlineStr">
        <is>
          <t xml:space="preserve">personal_profiles</t>
        </is>
      </c>
      <c r="B21" s="0" t="inlineStr">
        <is>
          <t xml:space="preserve">id</t>
        </is>
      </c>
      <c r="C21" s="0" t="inlineStr">
        <is>
          <t xml:space="preserve">BIGINT NOT NULL AUTO_INCREMENT PRIMARY KEY</t>
        </is>
      </c>
      <c r="D21" s="0" t="inlineStr">
        <is>
          <t xml:space="preserve">database/schema.sql:54</t>
        </is>
      </c>
      <c r="E21" s="0" t="inlineStr">
        <is>
          <t xml:space="preserve">profile</t>
        </is>
      </c>
    </row>
    <row r="22" ht="70" customHeight="1">
      <c r="A22" s="2" t="inlineStr">
        <is>
          <t xml:space="preserve">personal_profiles</t>
        </is>
      </c>
      <c r="B22" s="2" t="inlineStr">
        <is>
          <t xml:space="preserve">user_id</t>
        </is>
      </c>
      <c r="C22" s="2" t="inlineStr">
        <is>
          <t xml:space="preserve">BIGINT NOT NULL</t>
        </is>
      </c>
      <c r="D22" s="2" t="inlineStr">
        <is>
          <t xml:space="preserve">database/schema.sql:54</t>
        </is>
      </c>
      <c r="E22" s="2" t="inlineStr">
        <is>
          <t xml:space="preserve">profile</t>
        </is>
      </c>
    </row>
    <row r="23" ht="70" customHeight="1">
      <c r="A23" s="0" t="inlineStr">
        <is>
          <t xml:space="preserve">personal_profiles</t>
        </is>
      </c>
      <c r="B23" s="0" t="inlineStr">
        <is>
          <t xml:space="preserve">avatar_file_id</t>
        </is>
      </c>
      <c r="C23" s="0" t="inlineStr">
        <is>
          <t xml:space="preserve">BIGINT</t>
        </is>
      </c>
      <c r="D23" s="0" t="inlineStr">
        <is>
          <t xml:space="preserve">database/schema.sql:54</t>
        </is>
      </c>
      <c r="E23" s="0" t="inlineStr">
        <is>
          <t xml:space="preserve">profile</t>
        </is>
      </c>
    </row>
    <row r="24" ht="70" customHeight="1">
      <c r="A24" s="2" t="inlineStr">
        <is>
          <t xml:space="preserve">personal_profiles</t>
        </is>
      </c>
      <c r="B24" s="2" t="inlineStr">
        <is>
          <t xml:space="preserve">address</t>
        </is>
      </c>
      <c r="C24" s="2" t="inlineStr">
        <is>
          <t xml:space="preserve">VARCHAR(500)</t>
        </is>
      </c>
      <c r="D24" s="2" t="inlineStr">
        <is>
          <t xml:space="preserve">database/schema.sql:54</t>
        </is>
      </c>
      <c r="E24" s="2" t="inlineStr">
        <is>
          <t xml:space="preserve">profile</t>
        </is>
      </c>
    </row>
    <row r="25" ht="70" customHeight="1">
      <c r="A25" s="0" t="inlineStr">
        <is>
          <t xml:space="preserve">personal_profiles</t>
        </is>
      </c>
      <c r="B25" s="0" t="inlineStr">
        <is>
          <t xml:space="preserve">gender</t>
        </is>
      </c>
      <c r="C25" s="0" t="inlineStr">
        <is>
          <t xml:space="preserve">VARCHAR(30)</t>
        </is>
      </c>
      <c r="D25" s="0" t="inlineStr">
        <is>
          <t xml:space="preserve">database/schema.sql:54</t>
        </is>
      </c>
      <c r="E25" s="0" t="inlineStr">
        <is>
          <t xml:space="preserve">profile</t>
        </is>
      </c>
    </row>
    <row r="26" ht="70" customHeight="1">
      <c r="A26" s="2" t="inlineStr">
        <is>
          <t xml:space="preserve">personal_profiles</t>
        </is>
      </c>
      <c r="B26" s="2" t="inlineStr">
        <is>
          <t xml:space="preserve">occupation</t>
        </is>
      </c>
      <c r="C26" s="2" t="inlineStr">
        <is>
          <t xml:space="preserve">VARCHAR(150)</t>
        </is>
      </c>
      <c r="D26" s="2" t="inlineStr">
        <is>
          <t xml:space="preserve">database/schema.sql:54</t>
        </is>
      </c>
      <c r="E26" s="2" t="inlineStr">
        <is>
          <t xml:space="preserve">profile</t>
        </is>
      </c>
    </row>
    <row r="27" ht="70" customHeight="1">
      <c r="A27" s="0" t="inlineStr">
        <is>
          <t xml:space="preserve">personal_profiles</t>
        </is>
      </c>
      <c r="B27" s="0" t="inlineStr">
        <is>
          <t xml:space="preserve">university</t>
        </is>
      </c>
      <c r="C27" s="0" t="inlineStr">
        <is>
          <t xml:space="preserve">VARCHAR(200)</t>
        </is>
      </c>
      <c r="D27" s="0" t="inlineStr">
        <is>
          <t xml:space="preserve">database/schema.sql:54</t>
        </is>
      </c>
      <c r="E27" s="0" t="inlineStr">
        <is>
          <t xml:space="preserve">profile</t>
        </is>
      </c>
    </row>
    <row r="28" ht="70" customHeight="1">
      <c r="A28" s="2" t="inlineStr">
        <is>
          <t xml:space="preserve">personal_profiles</t>
        </is>
      </c>
      <c r="B28" s="2" t="inlineStr">
        <is>
          <t xml:space="preserve">bio</t>
        </is>
      </c>
      <c r="C28" s="2" t="inlineStr">
        <is>
          <t xml:space="preserve">TEXT</t>
        </is>
      </c>
      <c r="D28" s="2" t="inlineStr">
        <is>
          <t xml:space="preserve">database/schema.sql:54</t>
        </is>
      </c>
      <c r="E28" s="2" t="inlineStr">
        <is>
          <t xml:space="preserve">profile</t>
        </is>
      </c>
    </row>
    <row r="29" ht="70" customHeight="1">
      <c r="A29" s="0" t="inlineStr">
        <is>
          <t xml:space="preserve">personal_profiles</t>
        </is>
      </c>
      <c r="B29" s="0" t="inlineStr">
        <is>
          <t xml:space="preserve">created_at</t>
        </is>
      </c>
      <c r="C29" s="0" t="inlineStr">
        <is>
          <t xml:space="preserve">DATETIME(6) NOT NULL DEFAULT CURRENT_TIMESTAMP(6)</t>
        </is>
      </c>
      <c r="D29" s="0" t="inlineStr">
        <is>
          <t xml:space="preserve">database/schema.sql:54</t>
        </is>
      </c>
      <c r="E29" s="0" t="inlineStr">
        <is>
          <t xml:space="preserve">profile</t>
        </is>
      </c>
    </row>
    <row r="30" ht="70" customHeight="1">
      <c r="A30" s="2" t="inlineStr">
        <is>
          <t xml:space="preserve">personal_profiles</t>
        </is>
      </c>
      <c r="B30" s="2" t="inlineStr">
        <is>
          <t xml:space="preserve">updated_at</t>
        </is>
      </c>
      <c r="C30" s="2" t="inlineStr">
        <is>
          <t xml:space="preserve">DATETIME(6) NOT NULL DEFAULT CURRENT_TIMESTAMP(6)</t>
        </is>
      </c>
      <c r="D30" s="2" t="inlineStr">
        <is>
          <t xml:space="preserve">database/schema.sql:54</t>
        </is>
      </c>
      <c r="E30" s="2" t="inlineStr">
        <is>
          <t xml:space="preserve">profile</t>
        </is>
      </c>
    </row>
    <row r="31" ht="70" customHeight="1">
      <c r="A31" s="0" t="inlineStr">
        <is>
          <t xml:space="preserve">files</t>
        </is>
      </c>
      <c r="B31" s="0" t="inlineStr">
        <is>
          <t xml:space="preserve">id</t>
        </is>
      </c>
      <c r="C31" s="0" t="inlineStr">
        <is>
          <t xml:space="preserve">BIGINT NOT NULL AUTO_INCREMENT PRIMARY KEY</t>
        </is>
      </c>
      <c r="D31" s="0" t="inlineStr">
        <is>
          <t xml:space="preserve">database/schema.sql:69</t>
        </is>
      </c>
      <c r="E31" s="0" t="inlineStr">
        <is>
          <t xml:space="preserve">profile, identity, house-proof, cancel-contract, report, file-storage</t>
        </is>
      </c>
    </row>
    <row r="32" ht="70" customHeight="1">
      <c r="A32" s="2" t="inlineStr">
        <is>
          <t xml:space="preserve">files</t>
        </is>
      </c>
      <c r="B32" s="2" t="inlineStr">
        <is>
          <t xml:space="preserve">owner_user_id</t>
        </is>
      </c>
      <c r="C32" s="2" t="inlineStr">
        <is>
          <t xml:space="preserve">BIGINT NOT NULL</t>
        </is>
      </c>
      <c r="D32" s="2" t="inlineStr">
        <is>
          <t xml:space="preserve">database/schema.sql:69</t>
        </is>
      </c>
      <c r="E32" s="2" t="inlineStr">
        <is>
          <t xml:space="preserve">profile, identity, house-proof, cancel-contract, report, file-storage</t>
        </is>
      </c>
    </row>
    <row r="33" ht="70" customHeight="1">
      <c r="A33" s="0" t="inlineStr">
        <is>
          <t xml:space="preserve">files</t>
        </is>
      </c>
      <c r="B33" s="0" t="inlineStr">
        <is>
          <t xml:space="preserve">storage_key</t>
        </is>
      </c>
      <c r="C33" s="0" t="inlineStr">
        <is>
          <t xml:space="preserve">VARCHAR(500) NOT NULL</t>
        </is>
      </c>
      <c r="D33" s="0" t="inlineStr">
        <is>
          <t xml:space="preserve">database/schema.sql:69</t>
        </is>
      </c>
      <c r="E33" s="0" t="inlineStr">
        <is>
          <t xml:space="preserve">profile, identity, house-proof, cancel-contract, report, file-storage</t>
        </is>
      </c>
    </row>
    <row r="34" ht="70" customHeight="1">
      <c r="A34" s="2" t="inlineStr">
        <is>
          <t xml:space="preserve">files</t>
        </is>
      </c>
      <c r="B34" s="2" t="inlineStr">
        <is>
          <t xml:space="preserve">original_name</t>
        </is>
      </c>
      <c r="C34" s="2" t="inlineStr">
        <is>
          <t xml:space="preserve">VARCHAR(255) NOT NULL</t>
        </is>
      </c>
      <c r="D34" s="2" t="inlineStr">
        <is>
          <t xml:space="preserve">database/schema.sql:69</t>
        </is>
      </c>
      <c r="E34" s="2" t="inlineStr">
        <is>
          <t xml:space="preserve">profile, identity, house-proof, cancel-contract, report, file-storage</t>
        </is>
      </c>
    </row>
    <row r="35" ht="70" customHeight="1">
      <c r="A35" s="0" t="inlineStr">
        <is>
          <t xml:space="preserve">files</t>
        </is>
      </c>
      <c r="B35" s="0" t="inlineStr">
        <is>
          <t xml:space="preserve">mime_type</t>
        </is>
      </c>
      <c r="C35" s="0" t="inlineStr">
        <is>
          <t xml:space="preserve">VARCHAR(150) NOT NULL</t>
        </is>
      </c>
      <c r="D35" s="0" t="inlineStr">
        <is>
          <t xml:space="preserve">database/schema.sql:69</t>
        </is>
      </c>
      <c r="E35" s="0" t="inlineStr">
        <is>
          <t xml:space="preserve">profile, identity, house-proof, cancel-contract, report, file-storage</t>
        </is>
      </c>
    </row>
    <row r="36" ht="70" customHeight="1">
      <c r="A36" s="2" t="inlineStr">
        <is>
          <t xml:space="preserve">files</t>
        </is>
      </c>
      <c r="B36" s="2" t="inlineStr">
        <is>
          <t xml:space="preserve">size_bytes</t>
        </is>
      </c>
      <c r="C36" s="2" t="inlineStr">
        <is>
          <t xml:space="preserve">BIGINT NOT NULL</t>
        </is>
      </c>
      <c r="D36" s="2" t="inlineStr">
        <is>
          <t xml:space="preserve">database/schema.sql:69</t>
        </is>
      </c>
      <c r="E36" s="2" t="inlineStr">
        <is>
          <t xml:space="preserve">profile, identity, house-proof, cancel-contract, report, file-storage</t>
        </is>
      </c>
    </row>
    <row r="37" ht="70" customHeight="1">
      <c r="A37" s="0" t="inlineStr">
        <is>
          <t xml:space="preserve">files</t>
        </is>
      </c>
      <c r="B37" s="0" t="inlineStr">
        <is>
          <t xml:space="preserve">sha256</t>
        </is>
      </c>
      <c r="C37" s="0" t="inlineStr">
        <is>
          <t xml:space="preserve">CHAR(64) NOT NULL</t>
        </is>
      </c>
      <c r="D37" s="0" t="inlineStr">
        <is>
          <t xml:space="preserve">database/schema.sql:69</t>
        </is>
      </c>
      <c r="E37" s="0" t="inlineStr">
        <is>
          <t xml:space="preserve">profile, identity, house-proof, cancel-contract, report, file-storage</t>
        </is>
      </c>
    </row>
    <row r="38" ht="70" customHeight="1">
      <c r="A38" s="2" t="inlineStr">
        <is>
          <t xml:space="preserve">files</t>
        </is>
      </c>
      <c r="B38" s="2" t="inlineStr">
        <is>
          <t xml:space="preserve">purpose</t>
        </is>
      </c>
      <c r="C38" s="2" t="inlineStr">
        <is>
          <t xml:space="preserve">VARCHAR(40) NOT NULL</t>
        </is>
      </c>
      <c r="D38" s="2" t="inlineStr">
        <is>
          <t xml:space="preserve">database/schema.sql:69</t>
        </is>
      </c>
      <c r="E38" s="2" t="inlineStr">
        <is>
          <t xml:space="preserve">profile, identity, house-proof, cancel-contract, report, file-storage</t>
        </is>
      </c>
    </row>
    <row r="39" ht="70" customHeight="1">
      <c r="A39" s="0" t="inlineStr">
        <is>
          <t xml:space="preserve">files</t>
        </is>
      </c>
      <c r="B39" s="0" t="inlineStr">
        <is>
          <t xml:space="preserve">visibility</t>
        </is>
      </c>
      <c r="C39" s="0" t="inlineStr">
        <is>
          <t xml:space="preserve">VARCHAR(40) NOT NULL DEFAULT 'PRIVATE'</t>
        </is>
      </c>
      <c r="D39" s="0" t="inlineStr">
        <is>
          <t xml:space="preserve">database/schema.sql:69</t>
        </is>
      </c>
      <c r="E39" s="0" t="inlineStr">
        <is>
          <t xml:space="preserve">profile, identity, house-proof, cancel-contract, report, file-storage</t>
        </is>
      </c>
    </row>
    <row r="40" ht="70" customHeight="1">
      <c r="A40" s="2" t="inlineStr">
        <is>
          <t xml:space="preserve">files</t>
        </is>
      </c>
      <c r="B40" s="2" t="inlineStr">
        <is>
          <t xml:space="preserve">status</t>
        </is>
      </c>
      <c r="C40" s="2" t="inlineStr">
        <is>
          <t xml:space="preserve">VARCHAR(40) NOT NULL DEFAULT 'STAGED'</t>
        </is>
      </c>
      <c r="D40" s="2" t="inlineStr">
        <is>
          <t xml:space="preserve">database/schema.sql:69</t>
        </is>
      </c>
      <c r="E40" s="2" t="inlineStr">
        <is>
          <t xml:space="preserve">profile, identity, house-proof, cancel-contract, report, file-storage</t>
        </is>
      </c>
    </row>
    <row r="41" ht="70" customHeight="1">
      <c r="A41" s="0" t="inlineStr">
        <is>
          <t xml:space="preserve">files</t>
        </is>
      </c>
      <c r="B41" s="0" t="inlineStr">
        <is>
          <t xml:space="preserve">report_id</t>
        </is>
      </c>
      <c r="C41" s="0" t="inlineStr">
        <is>
          <t xml:space="preserve">BIGINT</t>
        </is>
      </c>
      <c r="D41" s="0" t="inlineStr">
        <is>
          <t xml:space="preserve">database/schema.sql:69</t>
        </is>
      </c>
      <c r="E41" s="0" t="inlineStr">
        <is>
          <t xml:space="preserve">profile, identity, house-proof, cancel-contract, report, file-storage</t>
        </is>
      </c>
    </row>
    <row r="42" ht="70" customHeight="1">
      <c r="A42" s="2" t="inlineStr">
        <is>
          <t xml:space="preserve">files</t>
        </is>
      </c>
      <c r="B42" s="2" t="inlineStr">
        <is>
          <t xml:space="preserve">chat_message_id</t>
        </is>
      </c>
      <c r="C42" s="2" t="inlineStr">
        <is>
          <t xml:space="preserve">BIGINT</t>
        </is>
      </c>
      <c r="D42" s="2" t="inlineStr">
        <is>
          <t xml:space="preserve">database/schema.sql:69</t>
        </is>
      </c>
      <c r="E42" s="2" t="inlineStr">
        <is>
          <t xml:space="preserve">profile, identity, house-proof, cancel-contract, report, file-storage</t>
        </is>
      </c>
    </row>
    <row r="43" ht="70" customHeight="1">
      <c r="A43" s="0" t="inlineStr">
        <is>
          <t xml:space="preserve">files</t>
        </is>
      </c>
      <c r="B43" s="0" t="inlineStr">
        <is>
          <t xml:space="preserve">landlord_verification_id</t>
        </is>
      </c>
      <c r="C43" s="0" t="inlineStr">
        <is>
          <t xml:space="preserve">BIGINT</t>
        </is>
      </c>
      <c r="D43" s="0" t="inlineStr">
        <is>
          <t xml:space="preserve">database/schema.sql:69</t>
        </is>
      </c>
      <c r="E43" s="0" t="inlineStr">
        <is>
          <t xml:space="preserve">profile, identity, house-proof, cancel-contract, report, file-storage</t>
        </is>
      </c>
    </row>
    <row r="44" ht="70" customHeight="1">
      <c r="A44" s="2" t="inlineStr">
        <is>
          <t xml:space="preserve">files</t>
        </is>
      </c>
      <c r="B44" s="2" t="inlineStr">
        <is>
          <t xml:space="preserve">expires_at</t>
        </is>
      </c>
      <c r="C44" s="2" t="inlineStr">
        <is>
          <t xml:space="preserve">DATETIME(6)</t>
        </is>
      </c>
      <c r="D44" s="2" t="inlineStr">
        <is>
          <t xml:space="preserve">database/schema.sql:69</t>
        </is>
      </c>
      <c r="E44" s="2" t="inlineStr">
        <is>
          <t xml:space="preserve">profile, identity, house-proof, cancel-contract, report, file-storage</t>
        </is>
      </c>
    </row>
    <row r="45" ht="70" customHeight="1">
      <c r="A45" s="0" t="inlineStr">
        <is>
          <t xml:space="preserve">files</t>
        </is>
      </c>
      <c r="B45" s="0" t="inlineStr">
        <is>
          <t xml:space="preserve">deleted_at</t>
        </is>
      </c>
      <c r="C45" s="0" t="inlineStr">
        <is>
          <t xml:space="preserve">DATETIME(6)</t>
        </is>
      </c>
      <c r="D45" s="0" t="inlineStr">
        <is>
          <t xml:space="preserve">database/schema.sql:69</t>
        </is>
      </c>
      <c r="E45" s="0" t="inlineStr">
        <is>
          <t xml:space="preserve">profile, identity, house-proof, cancel-contract, report, file-storage</t>
        </is>
      </c>
    </row>
    <row r="46" ht="70" customHeight="1">
      <c r="A46" s="2" t="inlineStr">
        <is>
          <t xml:space="preserve">files</t>
        </is>
      </c>
      <c r="B46" s="2" t="inlineStr">
        <is>
          <t xml:space="preserve">created_at</t>
        </is>
      </c>
      <c r="C46" s="2" t="inlineStr">
        <is>
          <t xml:space="preserve">DATETIME(6) NOT NULL DEFAULT CURRENT_TIMESTAMP(6)</t>
        </is>
      </c>
      <c r="D46" s="2" t="inlineStr">
        <is>
          <t xml:space="preserve">database/schema.sql:69</t>
        </is>
      </c>
      <c r="E46" s="2" t="inlineStr">
        <is>
          <t xml:space="preserve">profile, identity, house-proof, cancel-contract, report, file-storage</t>
        </is>
      </c>
    </row>
    <row r="47" ht="70" customHeight="1">
      <c r="A47" s="0" t="inlineStr">
        <is>
          <t xml:space="preserve">files</t>
        </is>
      </c>
      <c r="B47" s="0" t="inlineStr">
        <is>
          <t xml:space="preserve">updated_at</t>
        </is>
      </c>
      <c r="C47" s="0" t="inlineStr">
        <is>
          <t xml:space="preserve">DATETIME(6) NOT NULL DEFAULT CURRENT_TIMESTAMP(6)</t>
        </is>
      </c>
      <c r="D47" s="0" t="inlineStr">
        <is>
          <t xml:space="preserve">database/schema.sql:69</t>
        </is>
      </c>
      <c r="E47" s="0" t="inlineStr">
        <is>
          <t xml:space="preserve">profile, identity, house-proof, cancel-contract, report, file-storage</t>
        </is>
      </c>
    </row>
    <row r="48" ht="70" customHeight="1">
      <c r="A48" s="2" t="inlineStr">
        <is>
          <t xml:space="preserve">landlord_verifications</t>
        </is>
      </c>
      <c r="B48" s="2" t="inlineStr">
        <is>
          <t xml:space="preserve">id</t>
        </is>
      </c>
      <c r="C48" s="2" t="inlineStr">
        <is>
          <t xml:space="preserve">BIGINT NOT NULL AUTO_INCREMENT PRIMARY KEY</t>
        </is>
      </c>
      <c r="D48" s="2" t="inlineStr">
        <is>
          <t xml:space="preserve">database/schema.sql:98</t>
        </is>
      </c>
      <c r="E48" s="2" t="inlineStr">
        <is>
          <t xml:space="preserve">identity</t>
        </is>
      </c>
    </row>
    <row r="49" ht="70" customHeight="1">
      <c r="A49" s="0" t="inlineStr">
        <is>
          <t xml:space="preserve">landlord_verifications</t>
        </is>
      </c>
      <c r="B49" s="0" t="inlineStr">
        <is>
          <t xml:space="preserve">applicant_user_id</t>
        </is>
      </c>
      <c r="C49" s="0" t="inlineStr">
        <is>
          <t xml:space="preserve">BIGINT NOT NULL</t>
        </is>
      </c>
      <c r="D49" s="0" t="inlineStr">
        <is>
          <t xml:space="preserve">database/schema.sql:98</t>
        </is>
      </c>
      <c r="E49" s="0" t="inlineStr">
        <is>
          <t xml:space="preserve">identity</t>
        </is>
      </c>
    </row>
    <row r="50" ht="70" customHeight="1">
      <c r="A50" s="2" t="inlineStr">
        <is>
          <t xml:space="preserve">landlord_verifications</t>
        </is>
      </c>
      <c r="B50" s="2" t="inlineStr">
        <is>
          <t xml:space="preserve">identity_number</t>
        </is>
      </c>
      <c r="C50" s="2" t="inlineStr">
        <is>
          <t xml:space="preserve">VARCHAR(30) NOT NULL</t>
        </is>
      </c>
      <c r="D50" s="2" t="inlineStr">
        <is>
          <t xml:space="preserve">database/schema.sql:98</t>
        </is>
      </c>
      <c r="E50" s="2" t="inlineStr">
        <is>
          <t xml:space="preserve">identity</t>
        </is>
      </c>
    </row>
    <row r="51" ht="70" customHeight="1">
      <c r="A51" s="0" t="inlineStr">
        <is>
          <t xml:space="preserve">landlord_verifications</t>
        </is>
      </c>
      <c r="B51" s="0" t="inlineStr">
        <is>
          <t xml:space="preserve">identity_file_id</t>
        </is>
      </c>
      <c r="C51" s="0" t="inlineStr">
        <is>
          <t xml:space="preserve">BIGINT NOT NULL</t>
        </is>
      </c>
      <c r="D51" s="0" t="inlineStr">
        <is>
          <t xml:space="preserve">database/schema.sql:98</t>
        </is>
      </c>
      <c r="E51" s="0" t="inlineStr">
        <is>
          <t xml:space="preserve">identity</t>
        </is>
      </c>
    </row>
    <row r="52" ht="70" customHeight="1">
      <c r="A52" s="2" t="inlineStr">
        <is>
          <t xml:space="preserve">landlord_verifications</t>
        </is>
      </c>
      <c r="B52" s="2" t="inlineStr">
        <is>
          <t xml:space="preserve">status</t>
        </is>
      </c>
      <c r="C52" s="2" t="inlineStr">
        <is>
          <t xml:space="preserve">VARCHAR(40) NOT NULL DEFAULT 'PENDING'</t>
        </is>
      </c>
      <c r="D52" s="2" t="inlineStr">
        <is>
          <t xml:space="preserve">database/schema.sql:98</t>
        </is>
      </c>
      <c r="E52" s="2" t="inlineStr">
        <is>
          <t xml:space="preserve">identity</t>
        </is>
      </c>
    </row>
    <row r="53" ht="70" customHeight="1">
      <c r="A53" s="0" t="inlineStr">
        <is>
          <t xml:space="preserve">landlord_verifications</t>
        </is>
      </c>
      <c r="B53" s="0" t="inlineStr">
        <is>
          <t xml:space="preserve">rejection_reason</t>
        </is>
      </c>
      <c r="C53" s="0" t="inlineStr">
        <is>
          <t xml:space="preserve">VARCHAR(1000)</t>
        </is>
      </c>
      <c r="D53" s="0" t="inlineStr">
        <is>
          <t xml:space="preserve">database/schema.sql:98</t>
        </is>
      </c>
      <c r="E53" s="0" t="inlineStr">
        <is>
          <t xml:space="preserve">identity</t>
        </is>
      </c>
    </row>
    <row r="54" ht="70" customHeight="1">
      <c r="A54" s="2" t="inlineStr">
        <is>
          <t xml:space="preserve">landlord_verifications</t>
        </is>
      </c>
      <c r="B54" s="2" t="inlineStr">
        <is>
          <t xml:space="preserve">reviewed_by_id</t>
        </is>
      </c>
      <c r="C54" s="2" t="inlineStr">
        <is>
          <t xml:space="preserve">BIGINT</t>
        </is>
      </c>
      <c r="D54" s="2" t="inlineStr">
        <is>
          <t xml:space="preserve">database/schema.sql:98</t>
        </is>
      </c>
      <c r="E54" s="2" t="inlineStr">
        <is>
          <t xml:space="preserve">identity</t>
        </is>
      </c>
    </row>
    <row r="55" ht="70" customHeight="1">
      <c r="A55" s="0" t="inlineStr">
        <is>
          <t xml:space="preserve">landlord_verifications</t>
        </is>
      </c>
      <c r="B55" s="0" t="inlineStr">
        <is>
          <t xml:space="preserve">reviewed_at</t>
        </is>
      </c>
      <c r="C55" s="0" t="inlineStr">
        <is>
          <t xml:space="preserve">DATETIME(6)</t>
        </is>
      </c>
      <c r="D55" s="0" t="inlineStr">
        <is>
          <t xml:space="preserve">database/schema.sql:98</t>
        </is>
      </c>
      <c r="E55" s="0" t="inlineStr">
        <is>
          <t xml:space="preserve">identity</t>
        </is>
      </c>
    </row>
    <row r="56" ht="70" customHeight="1">
      <c r="A56" s="2" t="inlineStr">
        <is>
          <t xml:space="preserve">landlord_verifications</t>
        </is>
      </c>
      <c r="B56" s="2" t="inlineStr">
        <is>
          <t xml:space="preserve">created_at</t>
        </is>
      </c>
      <c r="C56" s="2" t="inlineStr">
        <is>
          <t xml:space="preserve">DATETIME(6) NOT NULL DEFAULT CURRENT_TIMESTAMP(6)</t>
        </is>
      </c>
      <c r="D56" s="2" t="inlineStr">
        <is>
          <t xml:space="preserve">database/schema.sql:98</t>
        </is>
      </c>
      <c r="E56" s="2" t="inlineStr">
        <is>
          <t xml:space="preserve">identity</t>
        </is>
      </c>
    </row>
    <row r="57" ht="70" customHeight="1">
      <c r="A57" s="0" t="inlineStr">
        <is>
          <t xml:space="preserve">landlord_verifications</t>
        </is>
      </c>
      <c r="B57" s="0" t="inlineStr">
        <is>
          <t xml:space="preserve">updated_at</t>
        </is>
      </c>
      <c r="C57" s="0" t="inlineStr">
        <is>
          <t xml:space="preserve">DATETIME(6) NOT NULL DEFAULT CURRENT_TIMESTAMP(6)</t>
        </is>
      </c>
      <c r="D57" s="0" t="inlineStr">
        <is>
          <t xml:space="preserve">database/schema.sql:98</t>
        </is>
      </c>
      <c r="E57" s="0" t="inlineStr">
        <is>
          <t xml:space="preserve">identity</t>
        </is>
      </c>
    </row>
    <row r="58" ht="70" customHeight="1">
      <c r="A58" s="2" t="inlineStr">
        <is>
          <t xml:space="preserve">landlord_verifications</t>
        </is>
      </c>
      <c r="B58" s="2" t="inlineStr">
        <is>
          <t xml:space="preserve">pending_applicant_id</t>
        </is>
      </c>
      <c r="C58" s="2" t="inlineStr">
        <is>
          <t xml:space="preserve">BIGINT GENERATED ALWAYS AS (CASE WHEN status = 'PENDING' THEN applicant_user_id ELSE NULL END) STORED</t>
        </is>
      </c>
      <c r="D58" s="2" t="inlineStr">
        <is>
          <t xml:space="preserve">database/schema.sql:98</t>
        </is>
      </c>
      <c r="E58" s="2" t="inlineStr">
        <is>
          <t xml:space="preserve">identity</t>
        </is>
      </c>
    </row>
    <row r="59" ht="70" customHeight="1">
      <c r="A59" s="0" t="inlineStr">
        <is>
          <t xml:space="preserve">tenant_identity_verifications</t>
        </is>
      </c>
      <c r="B59" s="0" t="inlineStr">
        <is>
          <t xml:space="preserve">id</t>
        </is>
      </c>
      <c r="C59" s="0" t="inlineStr">
        <is>
          <t xml:space="preserve">BIGINT NOT NULL AUTO_INCREMENT PRIMARY KEY</t>
        </is>
      </c>
      <c r="D59" s="0" t="inlineStr">
        <is>
          <t xml:space="preserve">database/schema.sql:118</t>
        </is>
      </c>
      <c r="E59" s="0" t="inlineStr">
        <is>
          <t xml:space="preserve">identity</t>
        </is>
      </c>
    </row>
    <row r="60" ht="70" customHeight="1">
      <c r="A60" s="2" t="inlineStr">
        <is>
          <t xml:space="preserve">tenant_identity_verifications</t>
        </is>
      </c>
      <c r="B60" s="2" t="inlineStr">
        <is>
          <t xml:space="preserve">tenant_id</t>
        </is>
      </c>
      <c r="C60" s="2" t="inlineStr">
        <is>
          <t xml:space="preserve">BIGINT NOT NULL</t>
        </is>
      </c>
      <c r="D60" s="2" t="inlineStr">
        <is>
          <t xml:space="preserve">database/schema.sql:118</t>
        </is>
      </c>
      <c r="E60" s="2" t="inlineStr">
        <is>
          <t xml:space="preserve">identity</t>
        </is>
      </c>
    </row>
    <row r="61" ht="70" customHeight="1">
      <c r="A61" s="0" t="inlineStr">
        <is>
          <t xml:space="preserve">tenant_identity_verifications</t>
        </is>
      </c>
      <c r="B61" s="0" t="inlineStr">
        <is>
          <t xml:space="preserve">identity_number</t>
        </is>
      </c>
      <c r="C61" s="0" t="inlineStr">
        <is>
          <t xml:space="preserve">VARCHAR(30) NOT NULL</t>
        </is>
      </c>
      <c r="D61" s="0" t="inlineStr">
        <is>
          <t xml:space="preserve">database/schema.sql:118</t>
        </is>
      </c>
      <c r="E61" s="0" t="inlineStr">
        <is>
          <t xml:space="preserve">identity</t>
        </is>
      </c>
    </row>
    <row r="62" ht="70" customHeight="1">
      <c r="A62" s="2" t="inlineStr">
        <is>
          <t xml:space="preserve">tenant_identity_verifications</t>
        </is>
      </c>
      <c r="B62" s="2" t="inlineStr">
        <is>
          <t xml:space="preserve">identity_file_id</t>
        </is>
      </c>
      <c r="C62" s="2" t="inlineStr">
        <is>
          <t xml:space="preserve">BIGINT NOT NULL</t>
        </is>
      </c>
      <c r="D62" s="2" t="inlineStr">
        <is>
          <t xml:space="preserve">database/schema.sql:118</t>
        </is>
      </c>
      <c r="E62" s="2" t="inlineStr">
        <is>
          <t xml:space="preserve">identity</t>
        </is>
      </c>
    </row>
    <row r="63" ht="70" customHeight="1">
      <c r="A63" s="0" t="inlineStr">
        <is>
          <t xml:space="preserve">tenant_identity_verifications</t>
        </is>
      </c>
      <c r="B63" s="0" t="inlineStr">
        <is>
          <t xml:space="preserve">status</t>
        </is>
      </c>
      <c r="C63" s="0" t="inlineStr">
        <is>
          <t xml:space="preserve">VARCHAR(40) NOT NULL DEFAULT 'PENDING'</t>
        </is>
      </c>
      <c r="D63" s="0" t="inlineStr">
        <is>
          <t xml:space="preserve">database/schema.sql:118</t>
        </is>
      </c>
      <c r="E63" s="0" t="inlineStr">
        <is>
          <t xml:space="preserve">identity</t>
        </is>
      </c>
    </row>
    <row r="64" ht="70" customHeight="1">
      <c r="A64" s="2" t="inlineStr">
        <is>
          <t xml:space="preserve">tenant_identity_verifications</t>
        </is>
      </c>
      <c r="B64" s="2" t="inlineStr">
        <is>
          <t xml:space="preserve">reviewed_by_id</t>
        </is>
      </c>
      <c r="C64" s="2" t="inlineStr">
        <is>
          <t xml:space="preserve">BIGINT</t>
        </is>
      </c>
      <c r="D64" s="2" t="inlineStr">
        <is>
          <t xml:space="preserve">database/schema.sql:118</t>
        </is>
      </c>
      <c r="E64" s="2" t="inlineStr">
        <is>
          <t xml:space="preserve">identity</t>
        </is>
      </c>
    </row>
    <row r="65" ht="70" customHeight="1">
      <c r="A65" s="0" t="inlineStr">
        <is>
          <t xml:space="preserve">tenant_identity_verifications</t>
        </is>
      </c>
      <c r="B65" s="0" t="inlineStr">
        <is>
          <t xml:space="preserve">rejection_reason</t>
        </is>
      </c>
      <c r="C65" s="0" t="inlineStr">
        <is>
          <t xml:space="preserve">VARCHAR(1000)</t>
        </is>
      </c>
      <c r="D65" s="0" t="inlineStr">
        <is>
          <t xml:space="preserve">database/schema.sql:118</t>
        </is>
      </c>
      <c r="E65" s="0" t="inlineStr">
        <is>
          <t xml:space="preserve">identity</t>
        </is>
      </c>
    </row>
    <row r="66" ht="70" customHeight="1">
      <c r="A66" s="2" t="inlineStr">
        <is>
          <t xml:space="preserve">tenant_identity_verifications</t>
        </is>
      </c>
      <c r="B66" s="2" t="inlineStr">
        <is>
          <t xml:space="preserve">reviewed_at</t>
        </is>
      </c>
      <c r="C66" s="2" t="inlineStr">
        <is>
          <t xml:space="preserve">DATETIME(6)</t>
        </is>
      </c>
      <c r="D66" s="2" t="inlineStr">
        <is>
          <t xml:space="preserve">database/schema.sql:118</t>
        </is>
      </c>
      <c r="E66" s="2" t="inlineStr">
        <is>
          <t xml:space="preserve">identity</t>
        </is>
      </c>
    </row>
    <row r="67" ht="70" customHeight="1">
      <c r="A67" s="0" t="inlineStr">
        <is>
          <t xml:space="preserve">tenant_identity_verifications</t>
        </is>
      </c>
      <c r="B67" s="0" t="inlineStr">
        <is>
          <t xml:space="preserve">retention_until</t>
        </is>
      </c>
      <c r="C67" s="0" t="inlineStr">
        <is>
          <t xml:space="preserve">DATETIME(6)</t>
        </is>
      </c>
      <c r="D67" s="0" t="inlineStr">
        <is>
          <t xml:space="preserve">database/schema.sql:118</t>
        </is>
      </c>
      <c r="E67" s="0" t="inlineStr">
        <is>
          <t xml:space="preserve">identity</t>
        </is>
      </c>
    </row>
    <row r="68" ht="70" customHeight="1">
      <c r="A68" s="2" t="inlineStr">
        <is>
          <t xml:space="preserve">tenant_identity_verifications</t>
        </is>
      </c>
      <c r="B68" s="2" t="inlineStr">
        <is>
          <t xml:space="preserve">created_at</t>
        </is>
      </c>
      <c r="C68" s="2" t="inlineStr">
        <is>
          <t xml:space="preserve">DATETIME(6) NOT NULL DEFAULT CURRENT_TIMESTAMP(6)</t>
        </is>
      </c>
      <c r="D68" s="2" t="inlineStr">
        <is>
          <t xml:space="preserve">database/schema.sql:118</t>
        </is>
      </c>
      <c r="E68" s="2" t="inlineStr">
        <is>
          <t xml:space="preserve">identity</t>
        </is>
      </c>
    </row>
    <row r="69" ht="70" customHeight="1">
      <c r="A69" s="0" t="inlineStr">
        <is>
          <t xml:space="preserve">tenant_identity_verifications</t>
        </is>
      </c>
      <c r="B69" s="0" t="inlineStr">
        <is>
          <t xml:space="preserve">updated_at</t>
        </is>
      </c>
      <c r="C69" s="0" t="inlineStr">
        <is>
          <t xml:space="preserve">DATETIME(6) NOT NULL DEFAULT CURRENT_TIMESTAMP(6)</t>
        </is>
      </c>
      <c r="D69" s="0" t="inlineStr">
        <is>
          <t xml:space="preserve">database/schema.sql:118</t>
        </is>
      </c>
      <c r="E69" s="0" t="inlineStr">
        <is>
          <t xml:space="preserve">identity</t>
        </is>
      </c>
    </row>
    <row r="70" ht="70" customHeight="1">
      <c r="A70" s="2" t="inlineStr">
        <is>
          <t xml:space="preserve">tenant_identity_verifications</t>
        </is>
      </c>
      <c r="B70" s="2" t="inlineStr">
        <is>
          <t xml:space="preserve">pending_tenant_id</t>
        </is>
      </c>
      <c r="C70" s="2" t="inlineStr">
        <is>
          <t xml:space="preserve">BIGINT GENERATED ALWAYS AS (CASE WHEN status = 'PENDING' THEN tenant_id ELSE NULL END) STORED</t>
        </is>
      </c>
      <c r="D70" s="2" t="inlineStr">
        <is>
          <t xml:space="preserve">database/schema.sql:118</t>
        </is>
      </c>
      <c r="E70" s="2" t="inlineStr">
        <is>
          <t xml:space="preserve">identity</t>
        </is>
      </c>
    </row>
    <row r="71" ht="70" customHeight="1">
      <c r="A71" s="0" t="inlineStr">
        <is>
          <t xml:space="preserve">auth_sessions</t>
        </is>
      </c>
      <c r="B71" s="0" t="inlineStr">
        <is>
          <t xml:space="preserve">id</t>
        </is>
      </c>
      <c r="C71" s="0" t="inlineStr">
        <is>
          <t xml:space="preserve">BIGINT NOT NULL AUTO_INCREMENT PRIMARY KEY</t>
        </is>
      </c>
      <c r="D71" s="0" t="inlineStr">
        <is>
          <t xml:space="preserve">database/schema.sql:139</t>
        </is>
      </c>
      <c r="E71" s="0" t="inlineStr">
        <is>
          <t xml:space="preserve">sessions, lock-account</t>
        </is>
      </c>
    </row>
    <row r="72" ht="70" customHeight="1">
      <c r="A72" s="2" t="inlineStr">
        <is>
          <t xml:space="preserve">auth_sessions</t>
        </is>
      </c>
      <c r="B72" s="2" t="inlineStr">
        <is>
          <t xml:space="preserve">user_id</t>
        </is>
      </c>
      <c r="C72" s="2" t="inlineStr">
        <is>
          <t xml:space="preserve">BIGINT NOT NULL</t>
        </is>
      </c>
      <c r="D72" s="2" t="inlineStr">
        <is>
          <t xml:space="preserve">database/schema.sql:139</t>
        </is>
      </c>
      <c r="E72" s="2" t="inlineStr">
        <is>
          <t xml:space="preserve">sessions, lock-account</t>
        </is>
      </c>
    </row>
    <row r="73" ht="70" customHeight="1">
      <c r="A73" s="0" t="inlineStr">
        <is>
          <t xml:space="preserve">auth_sessions</t>
        </is>
      </c>
      <c r="B73" s="0" t="inlineStr">
        <is>
          <t xml:space="preserve">session_key</t>
        </is>
      </c>
      <c r="C73" s="0" t="inlineStr">
        <is>
          <t xml:space="preserve">CHAR(36) NOT NULL</t>
        </is>
      </c>
      <c r="D73" s="0" t="inlineStr">
        <is>
          <t xml:space="preserve">database/schema.sql:139</t>
        </is>
      </c>
      <c r="E73" s="0" t="inlineStr">
        <is>
          <t xml:space="preserve">sessions, lock-account</t>
        </is>
      </c>
    </row>
    <row r="74" ht="70" customHeight="1">
      <c r="A74" s="2" t="inlineStr">
        <is>
          <t xml:space="preserve">auth_sessions</t>
        </is>
      </c>
      <c r="B74" s="2" t="inlineStr">
        <is>
          <t xml:space="preserve">refresh_token_hash</t>
        </is>
      </c>
      <c r="C74" s="2" t="inlineStr">
        <is>
          <t xml:space="preserve">CHAR(64)</t>
        </is>
      </c>
      <c r="D74" s="2" t="inlineStr">
        <is>
          <t xml:space="preserve">database/schema.sql:139</t>
        </is>
      </c>
      <c r="E74" s="2" t="inlineStr">
        <is>
          <t xml:space="preserve">sessions, lock-account</t>
        </is>
      </c>
    </row>
    <row r="75" ht="70" customHeight="1">
      <c r="A75" s="0" t="inlineStr">
        <is>
          <t xml:space="preserve">auth_sessions</t>
        </is>
      </c>
      <c r="B75" s="0" t="inlineStr">
        <is>
          <t xml:space="preserve">expires_at</t>
        </is>
      </c>
      <c r="C75" s="0" t="inlineStr">
        <is>
          <t xml:space="preserve">DATETIME(6) NOT NULL</t>
        </is>
      </c>
      <c r="D75" s="0" t="inlineStr">
        <is>
          <t xml:space="preserve">database/schema.sql:139</t>
        </is>
      </c>
      <c r="E75" s="0" t="inlineStr">
        <is>
          <t xml:space="preserve">sessions, lock-account</t>
        </is>
      </c>
    </row>
    <row r="76" ht="70" customHeight="1">
      <c r="A76" s="2" t="inlineStr">
        <is>
          <t xml:space="preserve">auth_sessions</t>
        </is>
      </c>
      <c r="B76" s="2" t="inlineStr">
        <is>
          <t xml:space="preserve">last_seen_at</t>
        </is>
      </c>
      <c r="C76" s="2" t="inlineStr">
        <is>
          <t xml:space="preserve">DATETIME(6)</t>
        </is>
      </c>
      <c r="D76" s="2" t="inlineStr">
        <is>
          <t xml:space="preserve">database/schema.sql:139</t>
        </is>
      </c>
      <c r="E76" s="2" t="inlineStr">
        <is>
          <t xml:space="preserve">sessions, lock-account</t>
        </is>
      </c>
    </row>
    <row r="77" ht="70" customHeight="1">
      <c r="A77" s="0" t="inlineStr">
        <is>
          <t xml:space="preserve">auth_sessions</t>
        </is>
      </c>
      <c r="B77" s="0" t="inlineStr">
        <is>
          <t xml:space="preserve">revoked_at</t>
        </is>
      </c>
      <c r="C77" s="0" t="inlineStr">
        <is>
          <t xml:space="preserve">DATETIME(6)</t>
        </is>
      </c>
      <c r="D77" s="0" t="inlineStr">
        <is>
          <t xml:space="preserve">database/schema.sql:139</t>
        </is>
      </c>
      <c r="E77" s="0" t="inlineStr">
        <is>
          <t xml:space="preserve">sessions, lock-account</t>
        </is>
      </c>
    </row>
    <row r="78" ht="70" customHeight="1">
      <c r="A78" s="2" t="inlineStr">
        <is>
          <t xml:space="preserve">auth_sessions</t>
        </is>
      </c>
      <c r="B78" s="2" t="inlineStr">
        <is>
          <t xml:space="preserve">revocation_reason</t>
        </is>
      </c>
      <c r="C78" s="2" t="inlineStr">
        <is>
          <t xml:space="preserve">VARCHAR(500)</t>
        </is>
      </c>
      <c r="D78" s="2" t="inlineStr">
        <is>
          <t xml:space="preserve">database/schema.sql:139</t>
        </is>
      </c>
      <c r="E78" s="2" t="inlineStr">
        <is>
          <t xml:space="preserve">sessions, lock-account</t>
        </is>
      </c>
    </row>
    <row r="79" ht="70" customHeight="1">
      <c r="A79" s="0" t="inlineStr">
        <is>
          <t xml:space="preserve">auth_sessions</t>
        </is>
      </c>
      <c r="B79" s="0" t="inlineStr">
        <is>
          <t xml:space="preserve">created_at</t>
        </is>
      </c>
      <c r="C79" s="0" t="inlineStr">
        <is>
          <t xml:space="preserve">DATETIME(6) NOT NULL DEFAULT CURRENT_TIMESTAMP(6)</t>
        </is>
      </c>
      <c r="D79" s="0" t="inlineStr">
        <is>
          <t xml:space="preserve">database/schema.sql:139</t>
        </is>
      </c>
      <c r="E79" s="0" t="inlineStr">
        <is>
          <t xml:space="preserve">sessions, lock-account</t>
        </is>
      </c>
    </row>
    <row r="80" ht="70" customHeight="1">
      <c r="A80" s="2" t="inlineStr">
        <is>
          <t xml:space="preserve">auth_sessions</t>
        </is>
      </c>
      <c r="B80" s="2" t="inlineStr">
        <is>
          <t xml:space="preserve">updated_at</t>
        </is>
      </c>
      <c r="C80" s="2" t="inlineStr">
        <is>
          <t xml:space="preserve">DATETIME(6) NOT NULL DEFAULT CURRENT_TIMESTAMP(6)</t>
        </is>
      </c>
      <c r="D80" s="2" t="inlineStr">
        <is>
          <t xml:space="preserve">database/schema.sql:139</t>
        </is>
      </c>
      <c r="E80" s="2" t="inlineStr">
        <is>
          <t xml:space="preserve">sessions, lock-account</t>
        </is>
      </c>
    </row>
    <row r="81" ht="70" customHeight="1">
      <c r="A81" s="0" t="inlineStr">
        <is>
          <t xml:space="preserve">verification_tokens</t>
        </is>
      </c>
      <c r="B81" s="0" t="inlineStr">
        <is>
          <t xml:space="preserve">id</t>
        </is>
      </c>
      <c r="C81" s="0" t="inlineStr">
        <is>
          <t xml:space="preserve">BIGINT NOT NULL AUTO_INCREMENT PRIMARY KEY</t>
        </is>
      </c>
      <c r="D81" s="0" t="inlineStr">
        <is>
          <t xml:space="preserve">database/schema.sql:157</t>
        </is>
      </c>
      <c r="E81" s="0" t="inlineStr">
        <is>
          <t xml:space="preserve">sessions</t>
        </is>
      </c>
    </row>
    <row r="82" ht="70" customHeight="1">
      <c r="A82" s="2" t="inlineStr">
        <is>
          <t xml:space="preserve">verification_tokens</t>
        </is>
      </c>
      <c r="B82" s="2" t="inlineStr">
        <is>
          <t xml:space="preserve">user_id</t>
        </is>
      </c>
      <c r="C82" s="2" t="inlineStr">
        <is>
          <t xml:space="preserve">BIGINT NOT NULL</t>
        </is>
      </c>
      <c r="D82" s="2" t="inlineStr">
        <is>
          <t xml:space="preserve">database/schema.sql:157</t>
        </is>
      </c>
      <c r="E82" s="2" t="inlineStr">
        <is>
          <t xml:space="preserve">sessions</t>
        </is>
      </c>
    </row>
    <row r="83" ht="70" customHeight="1">
      <c r="A83" s="0" t="inlineStr">
        <is>
          <t xml:space="preserve">verification_tokens</t>
        </is>
      </c>
      <c r="B83" s="0" t="inlineStr">
        <is>
          <t xml:space="preserve">selector</t>
        </is>
      </c>
      <c r="C83" s="0" t="inlineStr">
        <is>
          <t xml:space="preserve">CHAR(36) NOT NULL</t>
        </is>
      </c>
      <c r="D83" s="0" t="inlineStr">
        <is>
          <t xml:space="preserve">database/schema.sql:157</t>
        </is>
      </c>
      <c r="E83" s="0" t="inlineStr">
        <is>
          <t xml:space="preserve">sessions</t>
        </is>
      </c>
    </row>
    <row r="84" ht="70" customHeight="1">
      <c r="A84" s="2" t="inlineStr">
        <is>
          <t xml:space="preserve">verification_tokens</t>
        </is>
      </c>
      <c r="B84" s="2" t="inlineStr">
        <is>
          <t xml:space="preserve">token_hash</t>
        </is>
      </c>
      <c r="C84" s="2" t="inlineStr">
        <is>
          <t xml:space="preserve">CHAR(64) NOT NULL</t>
        </is>
      </c>
      <c r="D84" s="2" t="inlineStr">
        <is>
          <t xml:space="preserve">database/schema.sql:157</t>
        </is>
      </c>
      <c r="E84" s="2" t="inlineStr">
        <is>
          <t xml:space="preserve">sessions</t>
        </is>
      </c>
    </row>
    <row r="85" ht="70" customHeight="1">
      <c r="A85" s="0" t="inlineStr">
        <is>
          <t xml:space="preserve">verification_tokens</t>
        </is>
      </c>
      <c r="B85" s="0" t="inlineStr">
        <is>
          <t xml:space="preserve">purpose</t>
        </is>
      </c>
      <c r="C85" s="0" t="inlineStr">
        <is>
          <t xml:space="preserve">VARCHAR(40) NOT NULL</t>
        </is>
      </c>
      <c r="D85" s="0" t="inlineStr">
        <is>
          <t xml:space="preserve">database/schema.sql:157</t>
        </is>
      </c>
      <c r="E85" s="0" t="inlineStr">
        <is>
          <t xml:space="preserve">sessions</t>
        </is>
      </c>
    </row>
    <row r="86" ht="70" customHeight="1">
      <c r="A86" s="2" t="inlineStr">
        <is>
          <t xml:space="preserve">verification_tokens</t>
        </is>
      </c>
      <c r="B86" s="2" t="inlineStr">
        <is>
          <t xml:space="preserve">target_value</t>
        </is>
      </c>
      <c r="C86" s="2" t="inlineStr">
        <is>
          <t xml:space="preserve">VARCHAR(255)</t>
        </is>
      </c>
      <c r="D86" s="2" t="inlineStr">
        <is>
          <t xml:space="preserve">database/schema.sql:157</t>
        </is>
      </c>
      <c r="E86" s="2" t="inlineStr">
        <is>
          <t xml:space="preserve">sessions</t>
        </is>
      </c>
    </row>
    <row r="87" ht="70" customHeight="1">
      <c r="A87" s="0" t="inlineStr">
        <is>
          <t xml:space="preserve">verification_tokens</t>
        </is>
      </c>
      <c r="B87" s="0" t="inlineStr">
        <is>
          <t xml:space="preserve">target_room_tenant_id</t>
        </is>
      </c>
      <c r="C87" s="0" t="inlineStr">
        <is>
          <t xml:space="preserve">BIGINT</t>
        </is>
      </c>
      <c r="D87" s="0" t="inlineStr">
        <is>
          <t xml:space="preserve">database/schema.sql:157</t>
        </is>
      </c>
      <c r="E87" s="0" t="inlineStr">
        <is>
          <t xml:space="preserve">sessions</t>
        </is>
      </c>
    </row>
    <row r="88" ht="70" customHeight="1">
      <c r="A88" s="2" t="inlineStr">
        <is>
          <t xml:space="preserve">verification_tokens</t>
        </is>
      </c>
      <c r="B88" s="2" t="inlineStr">
        <is>
          <t xml:space="preserve">attempt_count</t>
        </is>
      </c>
      <c r="C88" s="2" t="inlineStr">
        <is>
          <t xml:space="preserve">INT NOT NULL DEFAULT 0</t>
        </is>
      </c>
      <c r="D88" s="2" t="inlineStr">
        <is>
          <t xml:space="preserve">database/schema.sql:157</t>
        </is>
      </c>
      <c r="E88" s="2" t="inlineStr">
        <is>
          <t xml:space="preserve">sessions</t>
        </is>
      </c>
    </row>
    <row r="89" ht="70" customHeight="1">
      <c r="A89" s="0" t="inlineStr">
        <is>
          <t xml:space="preserve">verification_tokens</t>
        </is>
      </c>
      <c r="B89" s="0" t="inlineStr">
        <is>
          <t xml:space="preserve">max_attempts</t>
        </is>
      </c>
      <c r="C89" s="0" t="inlineStr">
        <is>
          <t xml:space="preserve">INT NOT NULL DEFAULT 5</t>
        </is>
      </c>
      <c r="D89" s="0" t="inlineStr">
        <is>
          <t xml:space="preserve">database/schema.sql:157</t>
        </is>
      </c>
      <c r="E89" s="0" t="inlineStr">
        <is>
          <t xml:space="preserve">sessions</t>
        </is>
      </c>
    </row>
    <row r="90" ht="70" customHeight="1">
      <c r="A90" s="2" t="inlineStr">
        <is>
          <t xml:space="preserve">verification_tokens</t>
        </is>
      </c>
      <c r="B90" s="2" t="inlineStr">
        <is>
          <t xml:space="preserve">expires_at</t>
        </is>
      </c>
      <c r="C90" s="2" t="inlineStr">
        <is>
          <t xml:space="preserve">DATETIME(6) NOT NULL</t>
        </is>
      </c>
      <c r="D90" s="2" t="inlineStr">
        <is>
          <t xml:space="preserve">database/schema.sql:157</t>
        </is>
      </c>
      <c r="E90" s="2" t="inlineStr">
        <is>
          <t xml:space="preserve">sessions</t>
        </is>
      </c>
    </row>
    <row r="91" ht="70" customHeight="1">
      <c r="A91" s="0" t="inlineStr">
        <is>
          <t xml:space="preserve">verification_tokens</t>
        </is>
      </c>
      <c r="B91" s="0" t="inlineStr">
        <is>
          <t xml:space="preserve">consumed_at</t>
        </is>
      </c>
      <c r="C91" s="0" t="inlineStr">
        <is>
          <t xml:space="preserve">DATETIME(6)</t>
        </is>
      </c>
      <c r="D91" s="0" t="inlineStr">
        <is>
          <t xml:space="preserve">database/schema.sql:157</t>
        </is>
      </c>
      <c r="E91" s="0" t="inlineStr">
        <is>
          <t xml:space="preserve">sessions</t>
        </is>
      </c>
    </row>
    <row r="92" ht="70" customHeight="1">
      <c r="A92" s="2" t="inlineStr">
        <is>
          <t xml:space="preserve">verification_tokens</t>
        </is>
      </c>
      <c r="B92" s="2" t="inlineStr">
        <is>
          <t xml:space="preserve">revoked_at</t>
        </is>
      </c>
      <c r="C92" s="2" t="inlineStr">
        <is>
          <t xml:space="preserve">DATETIME(6)</t>
        </is>
      </c>
      <c r="D92" s="2" t="inlineStr">
        <is>
          <t xml:space="preserve">database/schema.sql:157</t>
        </is>
      </c>
      <c r="E92" s="2" t="inlineStr">
        <is>
          <t xml:space="preserve">sessions</t>
        </is>
      </c>
    </row>
    <row r="93" ht="70" customHeight="1">
      <c r="A93" s="0" t="inlineStr">
        <is>
          <t xml:space="preserve">verification_tokens</t>
        </is>
      </c>
      <c r="B93" s="0" t="inlineStr">
        <is>
          <t xml:space="preserve">created_at</t>
        </is>
      </c>
      <c r="C93" s="0" t="inlineStr">
        <is>
          <t xml:space="preserve">DATETIME(6) NOT NULL DEFAULT CURRENT_TIMESTAMP(6)</t>
        </is>
      </c>
      <c r="D93" s="0" t="inlineStr">
        <is>
          <t xml:space="preserve">database/schema.sql:157</t>
        </is>
      </c>
      <c r="E93" s="0" t="inlineStr">
        <is>
          <t xml:space="preserve">sessions</t>
        </is>
      </c>
    </row>
    <row r="94" ht="70" customHeight="1">
      <c r="A94" s="2" t="inlineStr">
        <is>
          <t xml:space="preserve">verification_tokens</t>
        </is>
      </c>
      <c r="B94" s="2" t="inlineStr">
        <is>
          <t xml:space="preserve">updated_at</t>
        </is>
      </c>
      <c r="C94" s="2" t="inlineStr">
        <is>
          <t xml:space="preserve">DATETIME(6) NOT NULL DEFAULT CURRENT_TIMESTAMP(6)</t>
        </is>
      </c>
      <c r="D94" s="2" t="inlineStr">
        <is>
          <t xml:space="preserve">database/schema.sql:157</t>
        </is>
      </c>
      <c r="E94" s="2" t="inlineStr">
        <is>
          <t xml:space="preserve">sessions</t>
        </is>
      </c>
    </row>
    <row r="95" ht="70" customHeight="1">
      <c r="A95" s="0" t="inlineStr">
        <is>
          <t xml:space="preserve">rental_houses</t>
        </is>
      </c>
      <c r="B95" s="0" t="inlineStr">
        <is>
          <t xml:space="preserve">id</t>
        </is>
      </c>
      <c r="C95" s="0" t="inlineStr">
        <is>
          <t xml:space="preserve">BIGINT NOT NULL AUTO_INCREMENT PRIMARY KEY</t>
        </is>
      </c>
      <c r="D95" s="0" t="inlineStr">
        <is>
          <t xml:space="preserve">database/schema.sql:183</t>
        </is>
      </c>
      <c r="E95" s="0" t="inlineStr">
        <is>
          <t xml:space="preserve">create-house, house-rights-expiry, discover, migration</t>
        </is>
      </c>
    </row>
    <row r="96" ht="70" customHeight="1">
      <c r="A96" s="2" t="inlineStr">
        <is>
          <t xml:space="preserve">rental_houses</t>
        </is>
      </c>
      <c r="B96" s="2" t="inlineStr">
        <is>
          <t xml:space="preserve">landlord_id</t>
        </is>
      </c>
      <c r="C96" s="2" t="inlineStr">
        <is>
          <t xml:space="preserve">BIGINT NOT NULL</t>
        </is>
      </c>
      <c r="D96" s="2" t="inlineStr">
        <is>
          <t xml:space="preserve">database/schema.sql:183</t>
        </is>
      </c>
      <c r="E96" s="2" t="inlineStr">
        <is>
          <t xml:space="preserve">create-house, house-rights-expiry, discover, migration</t>
        </is>
      </c>
    </row>
    <row r="97" ht="70" customHeight="1">
      <c r="A97" s="0" t="inlineStr">
        <is>
          <t xml:space="preserve">rental_houses</t>
        </is>
      </c>
      <c r="B97" s="0" t="inlineStr">
        <is>
          <t xml:space="preserve">address</t>
        </is>
      </c>
      <c r="C97" s="0" t="inlineStr">
        <is>
          <t xml:space="preserve">VARCHAR(500) NOT NULL</t>
        </is>
      </c>
      <c r="D97" s="0" t="inlineStr">
        <is>
          <t xml:space="preserve">database/schema.sql:183</t>
        </is>
      </c>
      <c r="E97" s="0" t="inlineStr">
        <is>
          <t xml:space="preserve">create-house, house-rights-expiry, discover, migration</t>
        </is>
      </c>
    </row>
    <row r="98" ht="70" customHeight="1">
      <c r="A98" s="2" t="inlineStr">
        <is>
          <t xml:space="preserve">rental_houses</t>
        </is>
      </c>
      <c r="B98" s="2" t="inlineStr">
        <is>
          <t xml:space="preserve">province_code</t>
        </is>
      </c>
      <c r="C98" s="2" t="inlineStr">
        <is>
          <t xml:space="preserve">VARCHAR(30) NOT NULL</t>
        </is>
      </c>
      <c r="D98" s="2" t="inlineStr">
        <is>
          <t xml:space="preserve">database/schema.sql:183</t>
        </is>
      </c>
      <c r="E98" s="2" t="inlineStr">
        <is>
          <t xml:space="preserve">create-house, house-rights-expiry, discover, migration</t>
        </is>
      </c>
    </row>
    <row r="99" ht="70" customHeight="1">
      <c r="A99" s="0" t="inlineStr">
        <is>
          <t xml:space="preserve">rental_houses</t>
        </is>
      </c>
      <c r="B99" s="0" t="inlineStr">
        <is>
          <t xml:space="preserve">locality_code</t>
        </is>
      </c>
      <c r="C99" s="0" t="inlineStr">
        <is>
          <t xml:space="preserve">VARCHAR(30)</t>
        </is>
      </c>
      <c r="D99" s="0" t="inlineStr">
        <is>
          <t xml:space="preserve">database/schema.sql:183</t>
        </is>
      </c>
      <c r="E99" s="0" t="inlineStr">
        <is>
          <t xml:space="preserve">create-house, house-rights-expiry, discover, migration</t>
        </is>
      </c>
    </row>
    <row r="100" ht="70" customHeight="1">
      <c r="A100" s="2" t="inlineStr">
        <is>
          <t xml:space="preserve">rental_houses</t>
        </is>
      </c>
      <c r="B100" s="2" t="inlineStr">
        <is>
          <t xml:space="preserve">area_label</t>
        </is>
      </c>
      <c r="C100" s="2" t="inlineStr">
        <is>
          <t xml:space="preserve">VARCHAR(150)</t>
        </is>
      </c>
      <c r="D100" s="2" t="inlineStr">
        <is>
          <t xml:space="preserve">database/schema.sql:183</t>
        </is>
      </c>
      <c r="E100" s="2" t="inlineStr">
        <is>
          <t xml:space="preserve">create-house, house-rights-expiry, discover, migration</t>
        </is>
      </c>
    </row>
    <row r="101" ht="70" customHeight="1">
      <c r="A101" s="0" t="inlineStr">
        <is>
          <t xml:space="preserve">rental_houses</t>
        </is>
      </c>
      <c r="B101" s="0" t="inlineStr">
        <is>
          <t xml:space="preserve">latitude</t>
        </is>
      </c>
      <c r="C101" s="0" t="inlineStr">
        <is>
          <t xml:space="preserve">DECIMAL(10,7)</t>
        </is>
      </c>
      <c r="D101" s="0" t="inlineStr">
        <is>
          <t xml:space="preserve">database/schema.sql:183</t>
        </is>
      </c>
      <c r="E101" s="0" t="inlineStr">
        <is>
          <t xml:space="preserve">create-house, house-rights-expiry, discover, migration</t>
        </is>
      </c>
    </row>
    <row r="102" ht="70" customHeight="1">
      <c r="A102" s="2" t="inlineStr">
        <is>
          <t xml:space="preserve">rental_houses</t>
        </is>
      </c>
      <c r="B102" s="2" t="inlineStr">
        <is>
          <t xml:space="preserve">longitude</t>
        </is>
      </c>
      <c r="C102" s="2" t="inlineStr">
        <is>
          <t xml:space="preserve">DECIMAL(10,7)</t>
        </is>
      </c>
      <c r="D102" s="2" t="inlineStr">
        <is>
          <t xml:space="preserve">database/schema.sql:183</t>
        </is>
      </c>
      <c r="E102" s="2" t="inlineStr">
        <is>
          <t xml:space="preserve">create-house, house-rights-expiry, discover, migration</t>
        </is>
      </c>
    </row>
    <row r="103" ht="70" customHeight="1">
      <c r="A103" s="0" t="inlineStr">
        <is>
          <t xml:space="preserve">rental_houses</t>
        </is>
      </c>
      <c r="B103" s="0" t="inlineStr">
        <is>
          <t xml:space="preserve">notes</t>
        </is>
      </c>
      <c r="C103" s="0" t="inlineStr">
        <is>
          <t xml:space="preserve">VARCHAR(2000)</t>
        </is>
      </c>
      <c r="D103" s="0" t="inlineStr">
        <is>
          <t xml:space="preserve">database/schema.sql:183</t>
        </is>
      </c>
      <c r="E103" s="0" t="inlineStr">
        <is>
          <t xml:space="preserve">create-house, house-rights-expiry, discover, migration</t>
        </is>
      </c>
    </row>
    <row r="104" ht="70" customHeight="1">
      <c r="A104" s="2" t="inlineStr">
        <is>
          <t xml:space="preserve">rental_houses</t>
        </is>
      </c>
      <c r="B104" s="2" t="inlineStr">
        <is>
          <t xml:space="preserve">created_at</t>
        </is>
      </c>
      <c r="C104" s="2" t="inlineStr">
        <is>
          <t xml:space="preserve">DATETIME(6) NOT NULL DEFAULT CURRENT_TIMESTAMP(6)</t>
        </is>
      </c>
      <c r="D104" s="2" t="inlineStr">
        <is>
          <t xml:space="preserve">database/schema.sql:183</t>
        </is>
      </c>
      <c r="E104" s="2" t="inlineStr">
        <is>
          <t xml:space="preserve">create-house, house-rights-expiry, discover, migration</t>
        </is>
      </c>
    </row>
    <row r="105" ht="70" customHeight="1">
      <c r="A105" s="0" t="inlineStr">
        <is>
          <t xml:space="preserve">rental_houses</t>
        </is>
      </c>
      <c r="B105" s="0" t="inlineStr">
        <is>
          <t xml:space="preserve">updated_at</t>
        </is>
      </c>
      <c r="C105" s="0" t="inlineStr">
        <is>
          <t xml:space="preserve">DATETIME(6) NOT NULL DEFAULT CURRENT_TIMESTAMP(6)</t>
        </is>
      </c>
      <c r="D105" s="0" t="inlineStr">
        <is>
          <t xml:space="preserve">database/schema.sql:183</t>
        </is>
      </c>
      <c r="E105" s="0" t="inlineStr">
        <is>
          <t xml:space="preserve">create-house, house-rights-expiry, discover, migration</t>
        </is>
      </c>
    </row>
    <row r="106" ht="70" customHeight="1">
      <c r="A106" s="2" t="inlineStr">
        <is>
          <t xml:space="preserve">rental_houses</t>
        </is>
      </c>
      <c r="B106" s="2" t="inlineStr">
        <is>
          <t xml:space="preserve">name</t>
        </is>
      </c>
      <c r="C106" s="2" t="inlineStr">
        <is>
          <t xml:space="preserve">VARCHAR(150) NOT NULL DEFAULT '' AFTER landlord_id</t>
        </is>
      </c>
      <c r="D106" s="2" t="inlineStr">
        <is>
          <t xml:space="preserve">database/schema.sql:183</t>
        </is>
      </c>
      <c r="E106" s="2" t="inlineStr">
        <is>
          <t xml:space="preserve">create-house, house-rights-expiry, discover, migration</t>
        </is>
      </c>
    </row>
    <row r="107" ht="70" customHeight="1">
      <c r="A107" s="0" t="inlineStr">
        <is>
          <t xml:space="preserve">rental_houses</t>
        </is>
      </c>
      <c r="B107" s="0" t="inlineStr">
        <is>
          <t xml:space="preserve">row_version</t>
        </is>
      </c>
      <c r="C107" s="0" t="inlineStr">
        <is>
          <t xml:space="preserve">BIGINT NOT NULL DEFAULT 1</t>
        </is>
      </c>
      <c r="D107" s="0" t="inlineStr">
        <is>
          <t xml:space="preserve">database/schema.sql:183</t>
        </is>
      </c>
      <c r="E107" s="0" t="inlineStr">
        <is>
          <t xml:space="preserve">create-house, house-rights-expiry, discover, migration</t>
        </is>
      </c>
    </row>
    <row r="108" ht="70" customHeight="1">
      <c r="A108" s="2" t="inlineStr">
        <is>
          <t xml:space="preserve">rental_houses</t>
        </is>
      </c>
      <c r="B108" s="2" t="inlineStr">
        <is>
          <t xml:space="preserve">verification_version</t>
        </is>
      </c>
      <c r="C108" s="2" t="inlineStr">
        <is>
          <t xml:space="preserve">BIGINT NOT NULL DEFAULT 1</t>
        </is>
      </c>
      <c r="D108" s="2" t="inlineStr">
        <is>
          <t xml:space="preserve">database/schema.sql:183</t>
        </is>
      </c>
      <c r="E108" s="2" t="inlineStr">
        <is>
          <t xml:space="preserve">create-house, house-rights-expiry, discover, migration</t>
        </is>
      </c>
    </row>
    <row r="109" ht="70" customHeight="1">
      <c r="A109" s="0" t="inlineStr">
        <is>
          <t xml:space="preserve">rental_houses</t>
        </is>
      </c>
      <c r="B109" s="0" t="inlineStr">
        <is>
          <t xml:space="preserve">creation_key</t>
        </is>
      </c>
      <c r="C109" s="0" t="inlineStr">
        <is>
          <t xml:space="preserve">VARCHAR(100)</t>
        </is>
      </c>
      <c r="D109" s="0" t="inlineStr">
        <is>
          <t xml:space="preserve">database/schema.sql:183</t>
        </is>
      </c>
      <c r="E109" s="0" t="inlineStr">
        <is>
          <t xml:space="preserve">create-house, house-rights-expiry, discover, migration</t>
        </is>
      </c>
    </row>
    <row r="110" ht="70" customHeight="1">
      <c r="A110" s="2" t="inlineStr">
        <is>
          <t xml:space="preserve">rooms</t>
        </is>
      </c>
      <c r="B110" s="2" t="inlineStr">
        <is>
          <t xml:space="preserve">id</t>
        </is>
      </c>
      <c r="C110" s="2" t="inlineStr">
        <is>
          <t xml:space="preserve">BIGINT NOT NULL AUTO_INCREMENT PRIMARY KEY</t>
        </is>
      </c>
      <c r="D110" s="2" t="inlineStr">
        <is>
          <t xml:space="preserve">database/schema.sql:202</t>
        </is>
      </c>
      <c r="E110" s="2" t="inlineStr">
        <is>
          <t xml:space="preserve">rooms, room-detail, discover, move-in, join-hold</t>
        </is>
      </c>
    </row>
    <row r="111" ht="70" customHeight="1">
      <c r="A111" s="0" t="inlineStr">
        <is>
          <t xml:space="preserve">rooms</t>
        </is>
      </c>
      <c r="B111" s="0" t="inlineStr">
        <is>
          <t xml:space="preserve">house_id</t>
        </is>
      </c>
      <c r="C111" s="0" t="inlineStr">
        <is>
          <t xml:space="preserve">BIGINT NOT NULL</t>
        </is>
      </c>
      <c r="D111" s="0" t="inlineStr">
        <is>
          <t xml:space="preserve">database/schema.sql:202</t>
        </is>
      </c>
      <c r="E111" s="0" t="inlineStr">
        <is>
          <t xml:space="preserve">rooms, room-detail, discover, move-in, join-hold</t>
        </is>
      </c>
    </row>
    <row r="112" ht="70" customHeight="1">
      <c r="A112" s="2" t="inlineStr">
        <is>
          <t xml:space="preserve">rooms</t>
        </is>
      </c>
      <c r="B112" s="2" t="inlineStr">
        <is>
          <t xml:space="preserve">room_number</t>
        </is>
      </c>
      <c r="C112" s="2" t="inlineStr">
        <is>
          <t xml:space="preserve">VARCHAR(100) NOT NULL</t>
        </is>
      </c>
      <c r="D112" s="2" t="inlineStr">
        <is>
          <t xml:space="preserve">database/schema.sql:202</t>
        </is>
      </c>
      <c r="E112" s="2" t="inlineStr">
        <is>
          <t xml:space="preserve">rooms, room-detail, discover, move-in, join-hold</t>
        </is>
      </c>
    </row>
    <row r="113" ht="70" customHeight="1">
      <c r="A113" s="0" t="inlineStr">
        <is>
          <t xml:space="preserve">rooms</t>
        </is>
      </c>
      <c r="B113" s="0" t="inlineStr">
        <is>
          <t xml:space="preserve">area</t>
        </is>
      </c>
      <c r="C113" s="0" t="inlineStr">
        <is>
          <t xml:space="preserve">DECIMAL(10,2) NOT NULL</t>
        </is>
      </c>
      <c r="D113" s="0" t="inlineStr">
        <is>
          <t xml:space="preserve">database/schema.sql:202</t>
        </is>
      </c>
      <c r="E113" s="0" t="inlineStr">
        <is>
          <t xml:space="preserve">rooms, room-detail, discover, move-in, join-hold</t>
        </is>
      </c>
    </row>
    <row r="114" ht="70" customHeight="1">
      <c r="A114" s="2" t="inlineStr">
        <is>
          <t xml:space="preserve">rooms</t>
        </is>
      </c>
      <c r="B114" s="2" t="inlineStr">
        <is>
          <t xml:space="preserve">rent_price</t>
        </is>
      </c>
      <c r="C114" s="2" t="inlineStr">
        <is>
          <t xml:space="preserve">DECIMAL(15,2) NOT NULL DEFAULT 0</t>
        </is>
      </c>
      <c r="D114" s="2" t="inlineStr">
        <is>
          <t xml:space="preserve">database/schema.sql:202</t>
        </is>
      </c>
      <c r="E114" s="2" t="inlineStr">
        <is>
          <t xml:space="preserve">rooms, room-detail, discover, move-in, join-hold</t>
        </is>
      </c>
    </row>
    <row r="115" ht="70" customHeight="1">
      <c r="A115" s="0" t="inlineStr">
        <is>
          <t xml:space="preserve">rooms</t>
        </is>
      </c>
      <c r="B115" s="0" t="inlineStr">
        <is>
          <t xml:space="preserve">deposit_amount</t>
        </is>
      </c>
      <c r="C115" s="0" t="inlineStr">
        <is>
          <t xml:space="preserve">DECIMAL(15,2) NOT NULL DEFAULT 0</t>
        </is>
      </c>
      <c r="D115" s="0" t="inlineStr">
        <is>
          <t xml:space="preserve">database/schema.sql:202</t>
        </is>
      </c>
      <c r="E115" s="0" t="inlineStr">
        <is>
          <t xml:space="preserve">rooms, room-detail, discover, move-in, join-hold</t>
        </is>
      </c>
    </row>
    <row r="116" ht="70" customHeight="1">
      <c r="A116" s="2" t="inlineStr">
        <is>
          <t xml:space="preserve">rooms</t>
        </is>
      </c>
      <c r="B116" s="2" t="inlineStr">
        <is>
          <t xml:space="preserve">max_occupants</t>
        </is>
      </c>
      <c r="C116" s="2" t="inlineStr">
        <is>
          <t xml:space="preserve">INT NOT NULL</t>
        </is>
      </c>
      <c r="D116" s="2" t="inlineStr">
        <is>
          <t xml:space="preserve">database/schema.sql:202</t>
        </is>
      </c>
      <c r="E116" s="2" t="inlineStr">
        <is>
          <t xml:space="preserve">rooms, room-detail, discover, move-in, join-hold</t>
        </is>
      </c>
    </row>
    <row r="117" ht="70" customHeight="1">
      <c r="A117" s="0" t="inlineStr">
        <is>
          <t xml:space="preserve">rooms</t>
        </is>
      </c>
      <c r="B117" s="0" t="inlineStr">
        <is>
          <t xml:space="preserve">allow_additional_occupants</t>
        </is>
      </c>
      <c r="C117" s="0" t="inlineStr">
        <is>
          <t xml:space="preserve">BOOLEAN NOT NULL DEFAULT FALSE</t>
        </is>
      </c>
      <c r="D117" s="0" t="inlineStr">
        <is>
          <t xml:space="preserve">database/schema.sql:202</t>
        </is>
      </c>
      <c r="E117" s="0" t="inlineStr">
        <is>
          <t xml:space="preserve">rooms, room-detail, discover, move-in, join-hold</t>
        </is>
      </c>
    </row>
    <row r="118" ht="70" customHeight="1">
      <c r="A118" s="2" t="inlineStr">
        <is>
          <t xml:space="preserve">rooms</t>
        </is>
      </c>
      <c r="B118" s="2" t="inlineStr">
        <is>
          <t xml:space="preserve">status</t>
        </is>
      </c>
      <c r="C118" s="2" t="inlineStr">
        <is>
          <t xml:space="preserve">VARCHAR(40) NOT NULL DEFAULT 'AVAILABLE'</t>
        </is>
      </c>
      <c r="D118" s="2" t="inlineStr">
        <is>
          <t xml:space="preserve">database/schema.sql:202</t>
        </is>
      </c>
      <c r="E118" s="2" t="inlineStr">
        <is>
          <t xml:space="preserve">rooms, room-detail, discover, move-in, join-hold</t>
        </is>
      </c>
    </row>
    <row r="119" ht="70" customHeight="1">
      <c r="A119" s="0" t="inlineStr">
        <is>
          <t xml:space="preserve">rooms</t>
        </is>
      </c>
      <c r="B119" s="0" t="inlineStr">
        <is>
          <t xml:space="preserve">notes</t>
        </is>
      </c>
      <c r="C119" s="0" t="inlineStr">
        <is>
          <t xml:space="preserve">VARCHAR(2000)</t>
        </is>
      </c>
      <c r="D119" s="0" t="inlineStr">
        <is>
          <t xml:space="preserve">database/schema.sql:202</t>
        </is>
      </c>
      <c r="E119" s="0" t="inlineStr">
        <is>
          <t xml:space="preserve">rooms, room-detail, discover, move-in, join-hold</t>
        </is>
      </c>
    </row>
    <row r="120" ht="70" customHeight="1">
      <c r="A120" s="2" t="inlineStr">
        <is>
          <t xml:space="preserve">rooms</t>
        </is>
      </c>
      <c r="B120" s="2" t="inlineStr">
        <is>
          <t xml:space="preserve">created_at</t>
        </is>
      </c>
      <c r="C120" s="2" t="inlineStr">
        <is>
          <t xml:space="preserve">DATETIME(6) NOT NULL DEFAULT CURRENT_TIMESTAMP(6)</t>
        </is>
      </c>
      <c r="D120" s="2" t="inlineStr">
        <is>
          <t xml:space="preserve">database/schema.sql:202</t>
        </is>
      </c>
      <c r="E120" s="2" t="inlineStr">
        <is>
          <t xml:space="preserve">rooms, room-detail, discover, move-in, join-hold</t>
        </is>
      </c>
    </row>
    <row r="121" ht="70" customHeight="1">
      <c r="A121" s="0" t="inlineStr">
        <is>
          <t xml:space="preserve">rooms</t>
        </is>
      </c>
      <c r="B121" s="0" t="inlineStr">
        <is>
          <t xml:space="preserve">updated_at</t>
        </is>
      </c>
      <c r="C121" s="0" t="inlineStr">
        <is>
          <t xml:space="preserve">DATETIME(6) NOT NULL DEFAULT CURRENT_TIMESTAMP(6)</t>
        </is>
      </c>
      <c r="D121" s="0" t="inlineStr">
        <is>
          <t xml:space="preserve">database/schema.sql:202</t>
        </is>
      </c>
      <c r="E121" s="0" t="inlineStr">
        <is>
          <t xml:space="preserve">rooms, room-detail, discover, move-in, join-hold</t>
        </is>
      </c>
    </row>
    <row r="122" ht="70" customHeight="1">
      <c r="A122" s="2" t="inlineStr">
        <is>
          <t xml:space="preserve">rental_services</t>
        </is>
      </c>
      <c r="B122" s="2" t="inlineStr">
        <is>
          <t xml:space="preserve">id</t>
        </is>
      </c>
      <c r="C122" s="2" t="inlineStr">
        <is>
          <t xml:space="preserve">BIGINT NOT NULL AUTO_INCREMENT PRIMARY KEY</t>
        </is>
      </c>
      <c r="D122" s="2" t="inlineStr">
        <is>
          <t xml:space="preserve">database/schema.sql:227</t>
        </is>
      </c>
      <c r="E122" s="2" t="inlineStr">
        <is>
          <t xml:space="preserve">services</t>
        </is>
      </c>
    </row>
    <row r="123" ht="70" customHeight="1">
      <c r="A123" s="0" t="inlineStr">
        <is>
          <t xml:space="preserve">rental_services</t>
        </is>
      </c>
      <c r="B123" s="0" t="inlineStr">
        <is>
          <t xml:space="preserve">name</t>
        </is>
      </c>
      <c r="C123" s="0" t="inlineStr">
        <is>
          <t xml:space="preserve">VARCHAR(100) NOT NULL</t>
        </is>
      </c>
      <c r="D123" s="0" t="inlineStr">
        <is>
          <t xml:space="preserve">database/schema.sql:227</t>
        </is>
      </c>
      <c r="E123" s="0" t="inlineStr">
        <is>
          <t xml:space="preserve">services</t>
        </is>
      </c>
    </row>
    <row r="124" ht="70" customHeight="1">
      <c r="A124" s="2" t="inlineStr">
        <is>
          <t xml:space="preserve">rental_services</t>
        </is>
      </c>
      <c r="B124" s="2" t="inlineStr">
        <is>
          <t xml:space="preserve">unit</t>
        </is>
      </c>
      <c r="C124" s="2" t="inlineStr">
        <is>
          <t xml:space="preserve">VARCHAR(30) NOT NULL</t>
        </is>
      </c>
      <c r="D124" s="2" t="inlineStr">
        <is>
          <t xml:space="preserve">database/schema.sql:227</t>
        </is>
      </c>
      <c r="E124" s="2" t="inlineStr">
        <is>
          <t xml:space="preserve">services</t>
        </is>
      </c>
    </row>
    <row r="125" ht="70" customHeight="1">
      <c r="A125" s="0" t="inlineStr">
        <is>
          <t xml:space="preserve">rental_services</t>
        </is>
      </c>
      <c r="B125" s="0" t="inlineStr">
        <is>
          <t xml:space="preserve">default_calculation_method</t>
        </is>
      </c>
      <c r="C125" s="0" t="inlineStr">
        <is>
          <t xml:space="preserve">VARCHAR(40) NOT NULL</t>
        </is>
      </c>
      <c r="D125" s="0" t="inlineStr">
        <is>
          <t xml:space="preserve">database/schema.sql:227</t>
        </is>
      </c>
      <c r="E125" s="0" t="inlineStr">
        <is>
          <t xml:space="preserve">services</t>
        </is>
      </c>
    </row>
    <row r="126" ht="70" customHeight="1">
      <c r="A126" s="2" t="inlineStr">
        <is>
          <t xml:space="preserve">rental_services</t>
        </is>
      </c>
      <c r="B126" s="2" t="inlineStr">
        <is>
          <t xml:space="preserve">created_at</t>
        </is>
      </c>
      <c r="C126" s="2" t="inlineStr">
        <is>
          <t xml:space="preserve">DATETIME(6) NOT NULL DEFAULT CURRENT_TIMESTAMP(6)</t>
        </is>
      </c>
      <c r="D126" s="2" t="inlineStr">
        <is>
          <t xml:space="preserve">database/schema.sql:227</t>
        </is>
      </c>
      <c r="E126" s="2" t="inlineStr">
        <is>
          <t xml:space="preserve">services</t>
        </is>
      </c>
    </row>
    <row r="127" ht="70" customHeight="1">
      <c r="A127" s="0" t="inlineStr">
        <is>
          <t xml:space="preserve">rental_services</t>
        </is>
      </c>
      <c r="B127" s="0" t="inlineStr">
        <is>
          <t xml:space="preserve">updated_at</t>
        </is>
      </c>
      <c r="C127" s="0" t="inlineStr">
        <is>
          <t xml:space="preserve">DATETIME(6) NOT NULL DEFAULT CURRENT_TIMESTAMP(6)</t>
        </is>
      </c>
      <c r="D127" s="0" t="inlineStr">
        <is>
          <t xml:space="preserve">database/schema.sql:227</t>
        </is>
      </c>
      <c r="E127" s="0" t="inlineStr">
        <is>
          <t xml:space="preserve">services</t>
        </is>
      </c>
    </row>
    <row r="128" ht="70" customHeight="1">
      <c r="A128" s="2" t="inlineStr">
        <is>
          <t xml:space="preserve">house_services</t>
        </is>
      </c>
      <c r="B128" s="2" t="inlineStr">
        <is>
          <t xml:space="preserve">id</t>
        </is>
      </c>
      <c r="C128" s="2" t="inlineStr">
        <is>
          <t xml:space="preserve">BIGINT NOT NULL AUTO_INCREMENT PRIMARY KEY</t>
        </is>
      </c>
      <c r="D128" s="2" t="inlineStr">
        <is>
          <t xml:space="preserve">database/schema.sql:240</t>
        </is>
      </c>
      <c r="E128" s="2" t="inlineStr">
        <is>
          <t xml:space="preserve">room-detail, services</t>
        </is>
      </c>
    </row>
    <row r="129" ht="70" customHeight="1">
      <c r="A129" s="0" t="inlineStr">
        <is>
          <t xml:space="preserve">house_services</t>
        </is>
      </c>
      <c r="B129" s="0" t="inlineStr">
        <is>
          <t xml:space="preserve">house_id</t>
        </is>
      </c>
      <c r="C129" s="0" t="inlineStr">
        <is>
          <t xml:space="preserve">BIGINT NOT NULL</t>
        </is>
      </c>
      <c r="D129" s="0" t="inlineStr">
        <is>
          <t xml:space="preserve">database/schema.sql:240</t>
        </is>
      </c>
      <c r="E129" s="0" t="inlineStr">
        <is>
          <t xml:space="preserve">room-detail, services</t>
        </is>
      </c>
    </row>
    <row r="130" ht="70" customHeight="1">
      <c r="A130" s="2" t="inlineStr">
        <is>
          <t xml:space="preserve">house_services</t>
        </is>
      </c>
      <c r="B130" s="2" t="inlineStr">
        <is>
          <t xml:space="preserve">catalog_service_id</t>
        </is>
      </c>
      <c r="C130" s="2" t="inlineStr">
        <is>
          <t xml:space="preserve">BIGINT</t>
        </is>
      </c>
      <c r="D130" s="2" t="inlineStr">
        <is>
          <t xml:space="preserve">database/schema.sql:240</t>
        </is>
      </c>
      <c r="E130" s="2" t="inlineStr">
        <is>
          <t xml:space="preserve">room-detail, services</t>
        </is>
      </c>
    </row>
    <row r="131" ht="70" customHeight="1">
      <c r="A131" s="0" t="inlineStr">
        <is>
          <t xml:space="preserve">house_services</t>
        </is>
      </c>
      <c r="B131" s="0" t="inlineStr">
        <is>
          <t xml:space="preserve">name</t>
        </is>
      </c>
      <c r="C131" s="0" t="inlineStr">
        <is>
          <t xml:space="preserve">VARCHAR(100) NOT NULL</t>
        </is>
      </c>
      <c r="D131" s="0" t="inlineStr">
        <is>
          <t xml:space="preserve">database/schema.sql:240</t>
        </is>
      </c>
      <c r="E131" s="0" t="inlineStr">
        <is>
          <t xml:space="preserve">room-detail, services</t>
        </is>
      </c>
    </row>
    <row r="132" ht="70" customHeight="1">
      <c r="A132" s="2" t="inlineStr">
        <is>
          <t xml:space="preserve">house_services</t>
        </is>
      </c>
      <c r="B132" s="2" t="inlineStr">
        <is>
          <t xml:space="preserve">unit</t>
        </is>
      </c>
      <c r="C132" s="2" t="inlineStr">
        <is>
          <t xml:space="preserve">VARCHAR(30) NOT NULL</t>
        </is>
      </c>
      <c r="D132" s="2" t="inlineStr">
        <is>
          <t xml:space="preserve">database/schema.sql:240</t>
        </is>
      </c>
      <c r="E132" s="2" t="inlineStr">
        <is>
          <t xml:space="preserve">room-detail, services</t>
        </is>
      </c>
    </row>
    <row r="133" ht="70" customHeight="1">
      <c r="A133" s="0" t="inlineStr">
        <is>
          <t xml:space="preserve">house_services</t>
        </is>
      </c>
      <c r="B133" s="0" t="inlineStr">
        <is>
          <t xml:space="preserve">default_unit_price</t>
        </is>
      </c>
      <c r="C133" s="0" t="inlineStr">
        <is>
          <t xml:space="preserve">DECIMAL(15,2) NOT NULL DEFAULT 0</t>
        </is>
      </c>
      <c r="D133" s="0" t="inlineStr">
        <is>
          <t xml:space="preserve">database/schema.sql:240</t>
        </is>
      </c>
      <c r="E133" s="0" t="inlineStr">
        <is>
          <t xml:space="preserve">room-detail, services</t>
        </is>
      </c>
    </row>
    <row r="134" ht="70" customHeight="1">
      <c r="A134" s="2" t="inlineStr">
        <is>
          <t xml:space="preserve">house_services</t>
        </is>
      </c>
      <c r="B134" s="2" t="inlineStr">
        <is>
          <t xml:space="preserve">default_calculation_method</t>
        </is>
      </c>
      <c r="C134" s="2" t="inlineStr">
        <is>
          <t xml:space="preserve">VARCHAR(40) NOT NULL</t>
        </is>
      </c>
      <c r="D134" s="2" t="inlineStr">
        <is>
          <t xml:space="preserve">database/schema.sql:240</t>
        </is>
      </c>
      <c r="E134" s="2" t="inlineStr">
        <is>
          <t xml:space="preserve">room-detail, services</t>
        </is>
      </c>
    </row>
    <row r="135" ht="70" customHeight="1">
      <c r="A135" s="0" t="inlineStr">
        <is>
          <t xml:space="preserve">house_services</t>
        </is>
      </c>
      <c r="B135" s="0" t="inlineStr">
        <is>
          <t xml:space="preserve">is_active</t>
        </is>
      </c>
      <c r="C135" s="0" t="inlineStr">
        <is>
          <t xml:space="preserve">BOOLEAN NOT NULL DEFAULT TRUE</t>
        </is>
      </c>
      <c r="D135" s="0" t="inlineStr">
        <is>
          <t xml:space="preserve">database/schema.sql:240</t>
        </is>
      </c>
      <c r="E135" s="0" t="inlineStr">
        <is>
          <t xml:space="preserve">room-detail, services</t>
        </is>
      </c>
    </row>
    <row r="136" ht="70" customHeight="1">
      <c r="A136" s="2" t="inlineStr">
        <is>
          <t xml:space="preserve">house_services</t>
        </is>
      </c>
      <c r="B136" s="2" t="inlineStr">
        <is>
          <t xml:space="preserve">created_at</t>
        </is>
      </c>
      <c r="C136" s="2" t="inlineStr">
        <is>
          <t xml:space="preserve">DATETIME(6) NOT NULL DEFAULT CURRENT_TIMESTAMP(6)</t>
        </is>
      </c>
      <c r="D136" s="2" t="inlineStr">
        <is>
          <t xml:space="preserve">database/schema.sql:240</t>
        </is>
      </c>
      <c r="E136" s="2" t="inlineStr">
        <is>
          <t xml:space="preserve">room-detail, services</t>
        </is>
      </c>
    </row>
    <row r="137" ht="70" customHeight="1">
      <c r="A137" s="0" t="inlineStr">
        <is>
          <t xml:space="preserve">house_services</t>
        </is>
      </c>
      <c r="B137" s="0" t="inlineStr">
        <is>
          <t xml:space="preserve">updated_at</t>
        </is>
      </c>
      <c r="C137" s="0" t="inlineStr">
        <is>
          <t xml:space="preserve">DATETIME(6) NOT NULL DEFAULT CURRENT_TIMESTAMP(6)</t>
        </is>
      </c>
      <c r="D137" s="0" t="inlineStr">
        <is>
          <t xml:space="preserve">database/schema.sql:240</t>
        </is>
      </c>
      <c r="E137" s="0" t="inlineStr">
        <is>
          <t xml:space="preserve">room-detail, services</t>
        </is>
      </c>
    </row>
    <row r="138" ht="70" customHeight="1">
      <c r="A138" s="2" t="inlineStr">
        <is>
          <t xml:space="preserve">room_services</t>
        </is>
      </c>
      <c r="B138" s="2" t="inlineStr">
        <is>
          <t xml:space="preserve">id</t>
        </is>
      </c>
      <c r="C138" s="2" t="inlineStr">
        <is>
          <t xml:space="preserve">BIGINT NOT NULL AUTO_INCREMENT PRIMARY KEY</t>
        </is>
      </c>
      <c r="D138" s="2" t="inlineStr">
        <is>
          <t xml:space="preserve">database/schema.sql:261</t>
        </is>
      </c>
      <c r="E138" s="2" t="inlineStr">
        <is>
          <t xml:space="preserve">room-detail, services, bill</t>
        </is>
      </c>
    </row>
    <row r="139" ht="70" customHeight="1">
      <c r="A139" s="0" t="inlineStr">
        <is>
          <t xml:space="preserve">room_services</t>
        </is>
      </c>
      <c r="B139" s="0" t="inlineStr">
        <is>
          <t xml:space="preserve">room_id</t>
        </is>
      </c>
      <c r="C139" s="0" t="inlineStr">
        <is>
          <t xml:space="preserve">BIGINT NOT NULL</t>
        </is>
      </c>
      <c r="D139" s="0" t="inlineStr">
        <is>
          <t xml:space="preserve">database/schema.sql:261</t>
        </is>
      </c>
      <c r="E139" s="0" t="inlineStr">
        <is>
          <t xml:space="preserve">room-detail, services, bill</t>
        </is>
      </c>
    </row>
    <row r="140" ht="70" customHeight="1">
      <c r="A140" s="2" t="inlineStr">
        <is>
          <t xml:space="preserve">room_services</t>
        </is>
      </c>
      <c r="B140" s="2" t="inlineStr">
        <is>
          <t xml:space="preserve">house_id</t>
        </is>
      </c>
      <c r="C140" s="2" t="inlineStr">
        <is>
          <t xml:space="preserve">BIGINT NOT NULL</t>
        </is>
      </c>
      <c r="D140" s="2" t="inlineStr">
        <is>
          <t xml:space="preserve">database/schema.sql:261</t>
        </is>
      </c>
      <c r="E140" s="2" t="inlineStr">
        <is>
          <t xml:space="preserve">room-detail, services, bill</t>
        </is>
      </c>
    </row>
    <row r="141" ht="70" customHeight="1">
      <c r="A141" s="0" t="inlineStr">
        <is>
          <t xml:space="preserve">room_services</t>
        </is>
      </c>
      <c r="B141" s="0" t="inlineStr">
        <is>
          <t xml:space="preserve">house_service_id</t>
        </is>
      </c>
      <c r="C141" s="0" t="inlineStr">
        <is>
          <t xml:space="preserve">BIGINT NOT NULL</t>
        </is>
      </c>
      <c r="D141" s="0" t="inlineStr">
        <is>
          <t xml:space="preserve">database/schema.sql:261</t>
        </is>
      </c>
      <c r="E141" s="0" t="inlineStr">
        <is>
          <t xml:space="preserve">room-detail, services, bill</t>
        </is>
      </c>
    </row>
    <row r="142" ht="70" customHeight="1">
      <c r="A142" s="2" t="inlineStr">
        <is>
          <t xml:space="preserve">room_services</t>
        </is>
      </c>
      <c r="B142" s="2" t="inlineStr">
        <is>
          <t xml:space="preserve">unit_price_override</t>
        </is>
      </c>
      <c r="C142" s="2" t="inlineStr">
        <is>
          <t xml:space="preserve">DECIMAL(15,2)</t>
        </is>
      </c>
      <c r="D142" s="2" t="inlineStr">
        <is>
          <t xml:space="preserve">database/schema.sql:261</t>
        </is>
      </c>
      <c r="E142" s="2" t="inlineStr">
        <is>
          <t xml:space="preserve">room-detail, services, bill</t>
        </is>
      </c>
    </row>
    <row r="143" ht="70" customHeight="1">
      <c r="A143" s="0" t="inlineStr">
        <is>
          <t xml:space="preserve">room_services</t>
        </is>
      </c>
      <c r="B143" s="0" t="inlineStr">
        <is>
          <t xml:space="preserve">calculation_method_override</t>
        </is>
      </c>
      <c r="C143" s="0" t="inlineStr">
        <is>
          <t xml:space="preserve">VARCHAR(40)</t>
        </is>
      </c>
      <c r="D143" s="0" t="inlineStr">
        <is>
          <t xml:space="preserve">database/schema.sql:261</t>
        </is>
      </c>
      <c r="E143" s="0" t="inlineStr">
        <is>
          <t xml:space="preserve">room-detail, services, bill</t>
        </is>
      </c>
    </row>
    <row r="144" ht="70" customHeight="1">
      <c r="A144" s="2" t="inlineStr">
        <is>
          <t xml:space="preserve">room_services</t>
        </is>
      </c>
      <c r="B144" s="2" t="inlineStr">
        <is>
          <t xml:space="preserve">is_active</t>
        </is>
      </c>
      <c r="C144" s="2" t="inlineStr">
        <is>
          <t xml:space="preserve">BOOLEAN NOT NULL DEFAULT TRUE</t>
        </is>
      </c>
      <c r="D144" s="2" t="inlineStr">
        <is>
          <t xml:space="preserve">database/schema.sql:261</t>
        </is>
      </c>
      <c r="E144" s="2" t="inlineStr">
        <is>
          <t xml:space="preserve">room-detail, services, bill</t>
        </is>
      </c>
    </row>
    <row r="145" ht="70" customHeight="1">
      <c r="A145" s="0" t="inlineStr">
        <is>
          <t xml:space="preserve">room_services</t>
        </is>
      </c>
      <c r="B145" s="0" t="inlineStr">
        <is>
          <t xml:space="preserve">created_at</t>
        </is>
      </c>
      <c r="C145" s="0" t="inlineStr">
        <is>
          <t xml:space="preserve">DATETIME(6) NOT NULL DEFAULT CURRENT_TIMESTAMP(6)</t>
        </is>
      </c>
      <c r="D145" s="0" t="inlineStr">
        <is>
          <t xml:space="preserve">database/schema.sql:261</t>
        </is>
      </c>
      <c r="E145" s="0" t="inlineStr">
        <is>
          <t xml:space="preserve">room-detail, services, bill</t>
        </is>
      </c>
    </row>
    <row r="146" ht="70" customHeight="1">
      <c r="A146" s="2" t="inlineStr">
        <is>
          <t xml:space="preserve">room_services</t>
        </is>
      </c>
      <c r="B146" s="2" t="inlineStr">
        <is>
          <t xml:space="preserve">updated_at</t>
        </is>
      </c>
      <c r="C146" s="2" t="inlineStr">
        <is>
          <t xml:space="preserve">DATETIME(6) NOT NULL DEFAULT CURRENT_TIMESTAMP(6)</t>
        </is>
      </c>
      <c r="D146" s="2" t="inlineStr">
        <is>
          <t xml:space="preserve">database/schema.sql:261</t>
        </is>
      </c>
      <c r="E146" s="2" t="inlineStr">
        <is>
          <t xml:space="preserve">room-detail, services, bill</t>
        </is>
      </c>
    </row>
    <row r="147" ht="70" customHeight="1">
      <c r="A147" s="0" t="inlineStr">
        <is>
          <t xml:space="preserve">posts</t>
        </is>
      </c>
      <c r="B147" s="0" t="inlineStr">
        <is>
          <t xml:space="preserve">id</t>
        </is>
      </c>
      <c r="C147" s="0" t="inlineStr">
        <is>
          <t xml:space="preserve">BIGINT NOT NULL AUTO_INCREMENT PRIMARY KEY</t>
        </is>
      </c>
      <c r="D147" s="0" t="inlineStr">
        <is>
          <t xml:space="preserve">database/schema.sql:281</t>
        </is>
      </c>
      <c r="E147" s="0" t="inlineStr">
        <is>
          <t xml:space="preserve">house-rights-expiry, room-detail, submit-post, moderate-post, discover, share-post, migration</t>
        </is>
      </c>
    </row>
    <row r="148" ht="70" customHeight="1">
      <c r="A148" s="2" t="inlineStr">
        <is>
          <t xml:space="preserve">posts</t>
        </is>
      </c>
      <c r="B148" s="2" t="inlineStr">
        <is>
          <t xml:space="preserve">landlord_id</t>
        </is>
      </c>
      <c r="C148" s="2" t="inlineStr">
        <is>
          <t xml:space="preserve">BIGINT NOT NULL</t>
        </is>
      </c>
      <c r="D148" s="2" t="inlineStr">
        <is>
          <t xml:space="preserve">database/schema.sql:281</t>
        </is>
      </c>
      <c r="E148" s="2" t="inlineStr">
        <is>
          <t xml:space="preserve">house-rights-expiry, room-detail, submit-post, moderate-post, discover, share-post, migration</t>
        </is>
      </c>
    </row>
    <row r="149" ht="70" customHeight="1">
      <c r="A149" s="0" t="inlineStr">
        <is>
          <t xml:space="preserve">posts</t>
        </is>
      </c>
      <c r="B149" s="0" t="inlineStr">
        <is>
          <t xml:space="preserve">house_id</t>
        </is>
      </c>
      <c r="C149" s="0" t="inlineStr">
        <is>
          <t xml:space="preserve">BIGINT NOT NULL</t>
        </is>
      </c>
      <c r="D149" s="0" t="inlineStr">
        <is>
          <t xml:space="preserve">database/schema.sql:281</t>
        </is>
      </c>
      <c r="E149" s="0" t="inlineStr">
        <is>
          <t xml:space="preserve">house-rights-expiry, room-detail, submit-post, moderate-post, discover, share-post, migration</t>
        </is>
      </c>
    </row>
    <row r="150" ht="70" customHeight="1">
      <c r="A150" s="2" t="inlineStr">
        <is>
          <t xml:space="preserve">posts</t>
        </is>
      </c>
      <c r="B150" s="2" t="inlineStr">
        <is>
          <t xml:space="preserve">room_id</t>
        </is>
      </c>
      <c r="C150" s="2" t="inlineStr">
        <is>
          <t xml:space="preserve">BIGINT NOT NULL</t>
        </is>
      </c>
      <c r="D150" s="2" t="inlineStr">
        <is>
          <t xml:space="preserve">database/schema.sql:281</t>
        </is>
      </c>
      <c r="E150" s="2" t="inlineStr">
        <is>
          <t xml:space="preserve">house-rights-expiry, room-detail, submit-post, moderate-post, discover, share-post, migration</t>
        </is>
      </c>
    </row>
    <row r="151" ht="70" customHeight="1">
      <c r="A151" s="0" t="inlineStr">
        <is>
          <t xml:space="preserve">posts</t>
        </is>
      </c>
      <c r="B151" s="0" t="inlineStr">
        <is>
          <t xml:space="preserve">title</t>
        </is>
      </c>
      <c r="C151" s="0" t="inlineStr">
        <is>
          <t xml:space="preserve">VARCHAR(200) NOT NULL</t>
        </is>
      </c>
      <c r="D151" s="0" t="inlineStr">
        <is>
          <t xml:space="preserve">database/schema.sql:281</t>
        </is>
      </c>
      <c r="E151" s="0" t="inlineStr">
        <is>
          <t xml:space="preserve">house-rights-expiry, room-detail, submit-post, moderate-post, discover, share-post, migration</t>
        </is>
      </c>
    </row>
    <row r="152" ht="70" customHeight="1">
      <c r="A152" s="2" t="inlineStr">
        <is>
          <t xml:space="preserve">posts</t>
        </is>
      </c>
      <c r="B152" s="2" t="inlineStr">
        <is>
          <t xml:space="preserve">content</t>
        </is>
      </c>
      <c r="C152" s="2" t="inlineStr">
        <is>
          <t xml:space="preserve">TEXT</t>
        </is>
      </c>
      <c r="D152" s="2" t="inlineStr">
        <is>
          <t xml:space="preserve">database/schema.sql:281</t>
        </is>
      </c>
      <c r="E152" s="2" t="inlineStr">
        <is>
          <t xml:space="preserve">house-rights-expiry, room-detail, submit-post, moderate-post, discover, share-post, migration</t>
        </is>
      </c>
    </row>
    <row r="153" ht="70" customHeight="1">
      <c r="A153" s="0" t="inlineStr">
        <is>
          <t xml:space="preserve">posts</t>
        </is>
      </c>
      <c r="B153" s="0" t="inlineStr">
        <is>
          <t xml:space="preserve">status</t>
        </is>
      </c>
      <c r="C153" s="0" t="inlineStr">
        <is>
          <t xml:space="preserve">VARCHAR(40) NOT NULL DEFAULT 'DRAFT'</t>
        </is>
      </c>
      <c r="D153" s="0" t="inlineStr">
        <is>
          <t xml:space="preserve">database/schema.sql:281</t>
        </is>
      </c>
      <c r="E153" s="0" t="inlineStr">
        <is>
          <t xml:space="preserve">house-rights-expiry, room-detail, submit-post, moderate-post, discover, share-post, migration</t>
        </is>
      </c>
    </row>
    <row r="154" ht="70" customHeight="1">
      <c r="A154" s="2" t="inlineStr">
        <is>
          <t xml:space="preserve">posts</t>
        </is>
      </c>
      <c r="B154" s="2" t="inlineStr">
        <is>
          <t xml:space="preserve">pending_review_slot</t>
        </is>
      </c>
      <c r="C154" s="2" t="inlineStr">
        <is>
          <t xml:space="preserve">TINYINT</t>
        </is>
      </c>
      <c r="D154" s="2" t="inlineStr">
        <is>
          <t xml:space="preserve">database/schema.sql:281</t>
        </is>
      </c>
      <c r="E154" s="2" t="inlineStr">
        <is>
          <t xml:space="preserve">house-rights-expiry, room-detail, submit-post, moderate-post, discover, share-post, migration</t>
        </is>
      </c>
    </row>
    <row r="155" ht="70" customHeight="1">
      <c r="A155" s="0" t="inlineStr">
        <is>
          <t xml:space="preserve">posts</t>
        </is>
      </c>
      <c r="B155" s="0" t="inlineStr">
        <is>
          <t xml:space="preserve">availability_status</t>
        </is>
      </c>
      <c r="C155" s="0" t="inlineStr">
        <is>
          <t xml:space="preserve">VARCHAR(40) NOT NULL DEFAULT 'STALE'</t>
        </is>
      </c>
      <c r="D155" s="0" t="inlineStr">
        <is>
          <t xml:space="preserve">database/schema.sql:281</t>
        </is>
      </c>
      <c r="E155" s="0" t="inlineStr">
        <is>
          <t xml:space="preserve">house-rights-expiry, room-detail, submit-post, moderate-post, discover, share-post, migration</t>
        </is>
      </c>
    </row>
    <row r="156" ht="70" customHeight="1">
      <c r="A156" s="2" t="inlineStr">
        <is>
          <t xml:space="preserve">posts</t>
        </is>
      </c>
      <c r="B156" s="2" t="inlineStr">
        <is>
          <t xml:space="preserve">availability_confirmed_at</t>
        </is>
      </c>
      <c r="C156" s="2" t="inlineStr">
        <is>
          <t xml:space="preserve">DATETIME(6)</t>
        </is>
      </c>
      <c r="D156" s="2" t="inlineStr">
        <is>
          <t xml:space="preserve">database/schema.sql:281</t>
        </is>
      </c>
      <c r="E156" s="2" t="inlineStr">
        <is>
          <t xml:space="preserve">house-rights-expiry, room-detail, submit-post, moderate-post, discover, share-post, migration</t>
        </is>
      </c>
    </row>
    <row r="157" ht="70" customHeight="1">
      <c r="A157" s="0" t="inlineStr">
        <is>
          <t xml:space="preserve">posts</t>
        </is>
      </c>
      <c r="B157" s="0" t="inlineStr">
        <is>
          <t xml:space="preserve">availability_expires_at</t>
        </is>
      </c>
      <c r="C157" s="0" t="inlineStr">
        <is>
          <t xml:space="preserve">DATETIME(6)</t>
        </is>
      </c>
      <c r="D157" s="0" t="inlineStr">
        <is>
          <t xml:space="preserve">database/schema.sql:281</t>
        </is>
      </c>
      <c r="E157" s="0" t="inlineStr">
        <is>
          <t xml:space="preserve">house-rights-expiry, room-detail, submit-post, moderate-post, discover, share-post, migration</t>
        </is>
      </c>
    </row>
    <row r="158" ht="70" customHeight="1">
      <c r="A158" s="2" t="inlineStr">
        <is>
          <t xml:space="preserve">posts</t>
        </is>
      </c>
      <c r="B158" s="2" t="inlineStr">
        <is>
          <t xml:space="preserve">published_at</t>
        </is>
      </c>
      <c r="C158" s="2" t="inlineStr">
        <is>
          <t xml:space="preserve">DATETIME(6)</t>
        </is>
      </c>
      <c r="D158" s="2" t="inlineStr">
        <is>
          <t xml:space="preserve">database/schema.sql:281</t>
        </is>
      </c>
      <c r="E158" s="2" t="inlineStr">
        <is>
          <t xml:space="preserve">house-rights-expiry, room-detail, submit-post, moderate-post, discover, share-post, migration</t>
        </is>
      </c>
    </row>
    <row r="159" ht="70" customHeight="1">
      <c r="A159" s="0" t="inlineStr">
        <is>
          <t xml:space="preserve">posts</t>
        </is>
      </c>
      <c r="B159" s="0" t="inlineStr">
        <is>
          <t xml:space="preserve">reviewed_at</t>
        </is>
      </c>
      <c r="C159" s="0" t="inlineStr">
        <is>
          <t xml:space="preserve">DATETIME(6)</t>
        </is>
      </c>
      <c r="D159" s="0" t="inlineStr">
        <is>
          <t xml:space="preserve">database/schema.sql:281</t>
        </is>
      </c>
      <c r="E159" s="0" t="inlineStr">
        <is>
          <t xml:space="preserve">house-rights-expiry, room-detail, submit-post, moderate-post, discover, share-post, migration</t>
        </is>
      </c>
    </row>
    <row r="160" ht="70" customHeight="1">
      <c r="A160" s="2" t="inlineStr">
        <is>
          <t xml:space="preserve">posts</t>
        </is>
      </c>
      <c r="B160" s="2" t="inlineStr">
        <is>
          <t xml:space="preserve">hidden_at</t>
        </is>
      </c>
      <c r="C160" s="2" t="inlineStr">
        <is>
          <t xml:space="preserve">DATETIME(6)</t>
        </is>
      </c>
      <c r="D160" s="2" t="inlineStr">
        <is>
          <t xml:space="preserve">database/schema.sql:281</t>
        </is>
      </c>
      <c r="E160" s="2" t="inlineStr">
        <is>
          <t xml:space="preserve">house-rights-expiry, room-detail, submit-post, moderate-post, discover, share-post, migration</t>
        </is>
      </c>
    </row>
    <row r="161" ht="70" customHeight="1">
      <c r="A161" s="0" t="inlineStr">
        <is>
          <t xml:space="preserve">posts</t>
        </is>
      </c>
      <c r="B161" s="0" t="inlineStr">
        <is>
          <t xml:space="preserve">reviewed_by_id</t>
        </is>
      </c>
      <c r="C161" s="0" t="inlineStr">
        <is>
          <t xml:space="preserve">BIGINT</t>
        </is>
      </c>
      <c r="D161" s="0" t="inlineStr">
        <is>
          <t xml:space="preserve">database/schema.sql:281</t>
        </is>
      </c>
      <c r="E161" s="0" t="inlineStr">
        <is>
          <t xml:space="preserve">house-rights-expiry, room-detail, submit-post, moderate-post, discover, share-post, migration</t>
        </is>
      </c>
    </row>
    <row r="162" ht="70" customHeight="1">
      <c r="A162" s="2" t="inlineStr">
        <is>
          <t xml:space="preserve">posts</t>
        </is>
      </c>
      <c r="B162" s="2" t="inlineStr">
        <is>
          <t xml:space="preserve">rejection_reason</t>
        </is>
      </c>
      <c r="C162" s="2" t="inlineStr">
        <is>
          <t xml:space="preserve">VARCHAR(1000)</t>
        </is>
      </c>
      <c r="D162" s="2" t="inlineStr">
        <is>
          <t xml:space="preserve">database/schema.sql:281</t>
        </is>
      </c>
      <c r="E162" s="2" t="inlineStr">
        <is>
          <t xml:space="preserve">house-rights-expiry, room-detail, submit-post, moderate-post, discover, share-post, migration</t>
        </is>
      </c>
    </row>
    <row r="163" ht="70" customHeight="1">
      <c r="A163" s="0" t="inlineStr">
        <is>
          <t xml:space="preserve">posts</t>
        </is>
      </c>
      <c r="B163" s="0" t="inlineStr">
        <is>
          <t xml:space="preserve">hidden_by_id</t>
        </is>
      </c>
      <c r="C163" s="0" t="inlineStr">
        <is>
          <t xml:space="preserve">BIGINT</t>
        </is>
      </c>
      <c r="D163" s="0" t="inlineStr">
        <is>
          <t xml:space="preserve">database/schema.sql:281</t>
        </is>
      </c>
      <c r="E163" s="0" t="inlineStr">
        <is>
          <t xml:space="preserve">house-rights-expiry, room-detail, submit-post, moderate-post, discover, share-post, migration</t>
        </is>
      </c>
    </row>
    <row r="164" ht="70" customHeight="1">
      <c r="A164" s="2" t="inlineStr">
        <is>
          <t xml:space="preserve">posts</t>
        </is>
      </c>
      <c r="B164" s="2" t="inlineStr">
        <is>
          <t xml:space="preserve">hidden_reason</t>
        </is>
      </c>
      <c r="C164" s="2" t="inlineStr">
        <is>
          <t xml:space="preserve">VARCHAR(1000)</t>
        </is>
      </c>
      <c r="D164" s="2" t="inlineStr">
        <is>
          <t xml:space="preserve">database/schema.sql:281</t>
        </is>
      </c>
      <c r="E164" s="2" t="inlineStr">
        <is>
          <t xml:space="preserve">house-rights-expiry, room-detail, submit-post, moderate-post, discover, share-post, migration</t>
        </is>
      </c>
    </row>
    <row r="165" ht="70" customHeight="1">
      <c r="A165" s="0" t="inlineStr">
        <is>
          <t xml:space="preserve">posts</t>
        </is>
      </c>
      <c r="B165" s="0" t="inlineStr">
        <is>
          <t xml:space="preserve">content_version</t>
        </is>
      </c>
      <c r="C165" s="0" t="inlineStr">
        <is>
          <t xml:space="preserve">BIGINT NOT NULL DEFAULT 1</t>
        </is>
      </c>
      <c r="D165" s="0" t="inlineStr">
        <is>
          <t xml:space="preserve">database/schema.sql:281</t>
        </is>
      </c>
      <c r="E165" s="0" t="inlineStr">
        <is>
          <t xml:space="preserve">house-rights-expiry, room-detail, submit-post, moderate-post, discover, share-post, migration</t>
        </is>
      </c>
    </row>
    <row r="166" ht="70" customHeight="1">
      <c r="A166" s="2" t="inlineStr">
        <is>
          <t xml:space="preserve">posts</t>
        </is>
      </c>
      <c r="B166" s="2" t="inlineStr">
        <is>
          <t xml:space="preserve">created_at</t>
        </is>
      </c>
      <c r="C166" s="2" t="inlineStr">
        <is>
          <t xml:space="preserve">DATETIME(6) NOT NULL DEFAULT CURRENT_TIMESTAMP(6)</t>
        </is>
      </c>
      <c r="D166" s="2" t="inlineStr">
        <is>
          <t xml:space="preserve">database/schema.sql:281</t>
        </is>
      </c>
      <c r="E166" s="2" t="inlineStr">
        <is>
          <t xml:space="preserve">house-rights-expiry, room-detail, submit-post, moderate-post, discover, share-post, migration</t>
        </is>
      </c>
    </row>
    <row r="167" ht="70" customHeight="1">
      <c r="A167" s="0" t="inlineStr">
        <is>
          <t xml:space="preserve">posts</t>
        </is>
      </c>
      <c r="B167" s="0" t="inlineStr">
        <is>
          <t xml:space="preserve">updated_at</t>
        </is>
      </c>
      <c r="C167" s="0" t="inlineStr">
        <is>
          <t xml:space="preserve">DATETIME(6) NOT NULL DEFAULT CURRENT_TIMESTAMP(6)</t>
        </is>
      </c>
      <c r="D167" s="0" t="inlineStr">
        <is>
          <t xml:space="preserve">database/schema.sql:281</t>
        </is>
      </c>
      <c r="E167" s="0" t="inlineStr">
        <is>
          <t xml:space="preserve">house-rights-expiry, room-detail, submit-post, moderate-post, discover, share-post, migration</t>
        </is>
      </c>
    </row>
    <row r="168" ht="70" customHeight="1">
      <c r="A168" s="2" t="inlineStr">
        <is>
          <t xml:space="preserve">post_images</t>
        </is>
      </c>
      <c r="B168" s="2" t="inlineStr">
        <is>
          <t xml:space="preserve">id</t>
        </is>
      </c>
      <c r="C168" s="2" t="inlineStr">
        <is>
          <t xml:space="preserve">BIGINT NOT NULL AUTO_INCREMENT PRIMARY KEY</t>
        </is>
      </c>
      <c r="D168" s="2" t="inlineStr">
        <is>
          <t xml:space="preserve">database/schema.sql:318</t>
        </is>
      </c>
      <c r="E168" s="2" t="inlineStr">
        <is>
          <t xml:space="preserve">submit-post</t>
        </is>
      </c>
    </row>
    <row r="169" ht="70" customHeight="1">
      <c r="A169" s="0" t="inlineStr">
        <is>
          <t xml:space="preserve">post_images</t>
        </is>
      </c>
      <c r="B169" s="0" t="inlineStr">
        <is>
          <t xml:space="preserve">post_id</t>
        </is>
      </c>
      <c r="C169" s="0" t="inlineStr">
        <is>
          <t xml:space="preserve">BIGINT NOT NULL</t>
        </is>
      </c>
      <c r="D169" s="0" t="inlineStr">
        <is>
          <t xml:space="preserve">database/schema.sql:318</t>
        </is>
      </c>
      <c r="E169" s="0" t="inlineStr">
        <is>
          <t xml:space="preserve">submit-post</t>
        </is>
      </c>
    </row>
    <row r="170" ht="70" customHeight="1">
      <c r="A170" s="2" t="inlineStr">
        <is>
          <t xml:space="preserve">post_images</t>
        </is>
      </c>
      <c r="B170" s="2" t="inlineStr">
        <is>
          <t xml:space="preserve">file_id</t>
        </is>
      </c>
      <c r="C170" s="2" t="inlineStr">
        <is>
          <t xml:space="preserve">BIGINT</t>
        </is>
      </c>
      <c r="D170" s="2" t="inlineStr">
        <is>
          <t xml:space="preserve">database/schema.sql:318</t>
        </is>
      </c>
      <c r="E170" s="2" t="inlineStr">
        <is>
          <t xml:space="preserve">submit-post</t>
        </is>
      </c>
    </row>
    <row r="171" ht="70" customHeight="1">
      <c r="A171" s="0" t="inlineStr">
        <is>
          <t xml:space="preserve">post_images</t>
        </is>
      </c>
      <c r="B171" s="0" t="inlineStr">
        <is>
          <t xml:space="preserve">external_url</t>
        </is>
      </c>
      <c r="C171" s="0" t="inlineStr">
        <is>
          <t xml:space="preserve">VARCHAR(500)</t>
        </is>
      </c>
      <c r="D171" s="0" t="inlineStr">
        <is>
          <t xml:space="preserve">database/schema.sql:318</t>
        </is>
      </c>
      <c r="E171" s="0" t="inlineStr">
        <is>
          <t xml:space="preserve">submit-post</t>
        </is>
      </c>
    </row>
    <row r="172" ht="70" customHeight="1">
      <c r="A172" s="2" t="inlineStr">
        <is>
          <t xml:space="preserve">post_images</t>
        </is>
      </c>
      <c r="B172" s="2" t="inlineStr">
        <is>
          <t xml:space="preserve">position</t>
        </is>
      </c>
      <c r="C172" s="2" t="inlineStr">
        <is>
          <t xml:space="preserve">INT NOT NULL DEFAULT 0</t>
        </is>
      </c>
      <c r="D172" s="2" t="inlineStr">
        <is>
          <t xml:space="preserve">database/schema.sql:318</t>
        </is>
      </c>
      <c r="E172" s="2" t="inlineStr">
        <is>
          <t xml:space="preserve">submit-post</t>
        </is>
      </c>
    </row>
    <row r="173" ht="70" customHeight="1">
      <c r="A173" s="0" t="inlineStr">
        <is>
          <t xml:space="preserve">post_images</t>
        </is>
      </c>
      <c r="B173" s="0" t="inlineStr">
        <is>
          <t xml:space="preserve">created_at</t>
        </is>
      </c>
      <c r="C173" s="0" t="inlineStr">
        <is>
          <t xml:space="preserve">DATETIME(6) NOT NULL DEFAULT CURRENT_TIMESTAMP(6)</t>
        </is>
      </c>
      <c r="D173" s="0" t="inlineStr">
        <is>
          <t xml:space="preserve">database/schema.sql:318</t>
        </is>
      </c>
      <c r="E173" s="0" t="inlineStr">
        <is>
          <t xml:space="preserve">submit-post</t>
        </is>
      </c>
    </row>
    <row r="174" ht="70" customHeight="1">
      <c r="A174" s="2" t="inlineStr">
        <is>
          <t xml:space="preserve">post_images</t>
        </is>
      </c>
      <c r="B174" s="2" t="inlineStr">
        <is>
          <t xml:space="preserve">updated_at</t>
        </is>
      </c>
      <c r="C174" s="2" t="inlineStr">
        <is>
          <t xml:space="preserve">DATETIME(6) NOT NULL DEFAULT CURRENT_TIMESTAMP(6)</t>
        </is>
      </c>
      <c r="D174" s="2" t="inlineStr">
        <is>
          <t xml:space="preserve">database/schema.sql:318</t>
        </is>
      </c>
      <c r="E174" s="2" t="inlineStr">
        <is>
          <t xml:space="preserve">submit-post</t>
        </is>
      </c>
    </row>
    <row r="175" ht="70" customHeight="1">
      <c r="A175" s="0" t="inlineStr">
        <is>
          <t xml:space="preserve">post_amenities</t>
        </is>
      </c>
      <c r="B175" s="0" t="inlineStr">
        <is>
          <t xml:space="preserve">id</t>
        </is>
      </c>
      <c r="C175" s="0" t="inlineStr">
        <is>
          <t xml:space="preserve">BIGINT NOT NULL AUTO_INCREMENT PRIMARY KEY</t>
        </is>
      </c>
      <c r="D175" s="0" t="inlineStr">
        <is>
          <t xml:space="preserve">database/schema.sql:334</t>
        </is>
      </c>
      <c r="E175" s="0" t="inlineStr">
        <is>
          <t xml:space="preserve">submit-post, discover</t>
        </is>
      </c>
    </row>
    <row r="176" ht="70" customHeight="1">
      <c r="A176" s="2" t="inlineStr">
        <is>
          <t xml:space="preserve">post_amenities</t>
        </is>
      </c>
      <c r="B176" s="2" t="inlineStr">
        <is>
          <t xml:space="preserve">post_id</t>
        </is>
      </c>
      <c r="C176" s="2" t="inlineStr">
        <is>
          <t xml:space="preserve">BIGINT NOT NULL</t>
        </is>
      </c>
      <c r="D176" s="2" t="inlineStr">
        <is>
          <t xml:space="preserve">database/schema.sql:334</t>
        </is>
      </c>
      <c r="E176" s="2" t="inlineStr">
        <is>
          <t xml:space="preserve">submit-post, discover</t>
        </is>
      </c>
    </row>
    <row r="177" ht="70" customHeight="1">
      <c r="A177" s="0" t="inlineStr">
        <is>
          <t xml:space="preserve">post_amenities</t>
        </is>
      </c>
      <c r="B177" s="0" t="inlineStr">
        <is>
          <t xml:space="preserve">amenity</t>
        </is>
      </c>
      <c r="C177" s="0" t="inlineStr">
        <is>
          <t xml:space="preserve">VARCHAR(100) NOT NULL</t>
        </is>
      </c>
      <c r="D177" s="0" t="inlineStr">
        <is>
          <t xml:space="preserve">database/schema.sql:334</t>
        </is>
      </c>
      <c r="E177" s="0" t="inlineStr">
        <is>
          <t xml:space="preserve">submit-post, discover</t>
        </is>
      </c>
    </row>
    <row r="178" ht="70" customHeight="1">
      <c r="A178" s="2" t="inlineStr">
        <is>
          <t xml:space="preserve">post_amenities</t>
        </is>
      </c>
      <c r="B178" s="2" t="inlineStr">
        <is>
          <t xml:space="preserve">created_at</t>
        </is>
      </c>
      <c r="C178" s="2" t="inlineStr">
        <is>
          <t xml:space="preserve">DATETIME(6) NOT NULL DEFAULT CURRENT_TIMESTAMP(6)</t>
        </is>
      </c>
      <c r="D178" s="2" t="inlineStr">
        <is>
          <t xml:space="preserve">database/schema.sql:334</t>
        </is>
      </c>
      <c r="E178" s="2" t="inlineStr">
        <is>
          <t xml:space="preserve">submit-post, discover</t>
        </is>
      </c>
    </row>
    <row r="179" ht="70" customHeight="1">
      <c r="A179" s="0" t="inlineStr">
        <is>
          <t xml:space="preserve">post_amenities</t>
        </is>
      </c>
      <c r="B179" s="0" t="inlineStr">
        <is>
          <t xml:space="preserve">updated_at</t>
        </is>
      </c>
      <c r="C179" s="0" t="inlineStr">
        <is>
          <t xml:space="preserve">DATETIME(6) NOT NULL DEFAULT CURRENT_TIMESTAMP(6)</t>
        </is>
      </c>
      <c r="D179" s="0" t="inlineStr">
        <is>
          <t xml:space="preserve">database/schema.sql:334</t>
        </is>
      </c>
      <c r="E179" s="0" t="inlineStr">
        <is>
          <t xml:space="preserve">submit-post, discover</t>
        </is>
      </c>
    </row>
    <row r="180" ht="70" customHeight="1">
      <c r="A180" s="2" t="inlineStr">
        <is>
          <t xml:space="preserve">favorite_posts</t>
        </is>
      </c>
      <c r="B180" s="2" t="inlineStr">
        <is>
          <t xml:space="preserve">id</t>
        </is>
      </c>
      <c r="C180" s="2" t="inlineStr">
        <is>
          <t xml:space="preserve">BIGINT NOT NULL AUTO_INCREMENT PRIMARY KEY</t>
        </is>
      </c>
      <c r="D180" s="2" t="inlineStr">
        <is>
          <t xml:space="preserve">database/schema.sql:344</t>
        </is>
      </c>
      <c r="E180" s="2" t="inlineStr">
        <is>
          <t xml:space="preserve">discover</t>
        </is>
      </c>
    </row>
    <row r="181" ht="70" customHeight="1">
      <c r="A181" s="0" t="inlineStr">
        <is>
          <t xml:space="preserve">favorite_posts</t>
        </is>
      </c>
      <c r="B181" s="0" t="inlineStr">
        <is>
          <t xml:space="preserve">user_id</t>
        </is>
      </c>
      <c r="C181" s="0" t="inlineStr">
        <is>
          <t xml:space="preserve">BIGINT NOT NULL</t>
        </is>
      </c>
      <c r="D181" s="0" t="inlineStr">
        <is>
          <t xml:space="preserve">database/schema.sql:344</t>
        </is>
      </c>
      <c r="E181" s="0" t="inlineStr">
        <is>
          <t xml:space="preserve">discover</t>
        </is>
      </c>
    </row>
    <row r="182" ht="70" customHeight="1">
      <c r="A182" s="2" t="inlineStr">
        <is>
          <t xml:space="preserve">favorite_posts</t>
        </is>
      </c>
      <c r="B182" s="2" t="inlineStr">
        <is>
          <t xml:space="preserve">post_id</t>
        </is>
      </c>
      <c r="C182" s="2" t="inlineStr">
        <is>
          <t xml:space="preserve">BIGINT NOT NULL</t>
        </is>
      </c>
      <c r="D182" s="2" t="inlineStr">
        <is>
          <t xml:space="preserve">database/schema.sql:344</t>
        </is>
      </c>
      <c r="E182" s="2" t="inlineStr">
        <is>
          <t xml:space="preserve">discover</t>
        </is>
      </c>
    </row>
    <row r="183" ht="70" customHeight="1">
      <c r="A183" s="0" t="inlineStr">
        <is>
          <t xml:space="preserve">favorite_posts</t>
        </is>
      </c>
      <c r="B183" s="0" t="inlineStr">
        <is>
          <t xml:space="preserve">created_at</t>
        </is>
      </c>
      <c r="C183" s="0" t="inlineStr">
        <is>
          <t xml:space="preserve">DATETIME(6) NOT NULL DEFAULT CURRENT_TIMESTAMP(6)</t>
        </is>
      </c>
      <c r="D183" s="0" t="inlineStr">
        <is>
          <t xml:space="preserve">database/schema.sql:344</t>
        </is>
      </c>
      <c r="E183" s="0" t="inlineStr">
        <is>
          <t xml:space="preserve">discover</t>
        </is>
      </c>
    </row>
    <row r="184" ht="70" customHeight="1">
      <c r="A184" s="2" t="inlineStr">
        <is>
          <t xml:space="preserve">favorite_posts</t>
        </is>
      </c>
      <c r="B184" s="2" t="inlineStr">
        <is>
          <t xml:space="preserve">updated_at</t>
        </is>
      </c>
      <c r="C184" s="2" t="inlineStr">
        <is>
          <t xml:space="preserve">DATETIME(6) NOT NULL DEFAULT CURRENT_TIMESTAMP(6)</t>
        </is>
      </c>
      <c r="D184" s="2" t="inlineStr">
        <is>
          <t xml:space="preserve">database/schema.sql:344</t>
        </is>
      </c>
      <c r="E184" s="2" t="inlineStr">
        <is>
          <t xml:space="preserve">discover</t>
        </is>
      </c>
    </row>
    <row r="185" ht="70" customHeight="1">
      <c r="A185" s="0" t="inlineStr">
        <is>
          <t xml:space="preserve">room_viewing_requests</t>
        </is>
      </c>
      <c r="B185" s="0" t="inlineStr">
        <is>
          <t xml:space="preserve">id</t>
        </is>
      </c>
      <c r="C185" s="0" t="inlineStr">
        <is>
          <t xml:space="preserve">BIGINT NOT NULL AUTO_INCREMENT PRIMARY KEY</t>
        </is>
      </c>
      <c r="D185" s="0" t="inlineStr">
        <is>
          <t xml:space="preserve">database/schema.sql:354</t>
        </is>
      </c>
      <c r="E185" s="0" t="inlineStr">
        <is>
          <t xml:space="preserve">room-chat, propose-viewing, schedule-viewing, viewing-outcome, reserve-cleanup</t>
        </is>
      </c>
    </row>
    <row r="186" ht="70" customHeight="1">
      <c r="A186" s="2" t="inlineStr">
        <is>
          <t xml:space="preserve">room_viewing_requests</t>
        </is>
      </c>
      <c r="B186" s="2" t="inlineStr">
        <is>
          <t xml:space="preserve">room_id</t>
        </is>
      </c>
      <c r="C186" s="2" t="inlineStr">
        <is>
          <t xml:space="preserve">BIGINT NOT NULL</t>
        </is>
      </c>
      <c r="D186" s="2" t="inlineStr">
        <is>
          <t xml:space="preserve">database/schema.sql:354</t>
        </is>
      </c>
      <c r="E186" s="2" t="inlineStr">
        <is>
          <t xml:space="preserve">room-chat, propose-viewing, schedule-viewing, viewing-outcome, reserve-cleanup</t>
        </is>
      </c>
    </row>
    <row r="187" ht="70" customHeight="1">
      <c r="A187" s="0" t="inlineStr">
        <is>
          <t xml:space="preserve">room_viewing_requests</t>
        </is>
      </c>
      <c r="B187" s="0" t="inlineStr">
        <is>
          <t xml:space="preserve">house_id</t>
        </is>
      </c>
      <c r="C187" s="0" t="inlineStr">
        <is>
          <t xml:space="preserve">BIGINT NOT NULL</t>
        </is>
      </c>
      <c r="D187" s="0" t="inlineStr">
        <is>
          <t xml:space="preserve">database/schema.sql:354</t>
        </is>
      </c>
      <c r="E187" s="0" t="inlineStr">
        <is>
          <t xml:space="preserve">room-chat, propose-viewing, schedule-viewing, viewing-outcome, reserve-cleanup</t>
        </is>
      </c>
    </row>
    <row r="188" ht="70" customHeight="1">
      <c r="A188" s="2" t="inlineStr">
        <is>
          <t xml:space="preserve">room_viewing_requests</t>
        </is>
      </c>
      <c r="B188" s="2" t="inlineStr">
        <is>
          <t xml:space="preserve">conversation_id</t>
        </is>
      </c>
      <c r="C188" s="2" t="inlineStr">
        <is>
          <t xml:space="preserve">BIGINT NOT NULL</t>
        </is>
      </c>
      <c r="D188" s="2" t="inlineStr">
        <is>
          <t xml:space="preserve">database/schema.sql:354</t>
        </is>
      </c>
      <c r="E188" s="2" t="inlineStr">
        <is>
          <t xml:space="preserve">room-chat, propose-viewing, schedule-viewing, viewing-outcome, reserve-cleanup</t>
        </is>
      </c>
    </row>
    <row r="189" ht="70" customHeight="1">
      <c r="A189" s="0" t="inlineStr">
        <is>
          <t xml:space="preserve">room_viewing_requests</t>
        </is>
      </c>
      <c r="B189" s="0" t="inlineStr">
        <is>
          <t xml:space="preserve">tenant_id</t>
        </is>
      </c>
      <c r="C189" s="0" t="inlineStr">
        <is>
          <t xml:space="preserve">BIGINT NOT NULL</t>
        </is>
      </c>
      <c r="D189" s="0" t="inlineStr">
        <is>
          <t xml:space="preserve">database/schema.sql:354</t>
        </is>
      </c>
      <c r="E189" s="0" t="inlineStr">
        <is>
          <t xml:space="preserve">room-chat, propose-viewing, schedule-viewing, viewing-outcome, reserve-cleanup</t>
        </is>
      </c>
    </row>
    <row r="190" ht="70" customHeight="1">
      <c r="A190" s="2" t="inlineStr">
        <is>
          <t xml:space="preserve">room_viewing_requests</t>
        </is>
      </c>
      <c r="B190" s="2" t="inlineStr">
        <is>
          <t xml:space="preserve">created_by_id</t>
        </is>
      </c>
      <c r="C190" s="2" t="inlineStr">
        <is>
          <t xml:space="preserve">BIGINT NOT NULL</t>
        </is>
      </c>
      <c r="D190" s="2" t="inlineStr">
        <is>
          <t xml:space="preserve">database/schema.sql:354</t>
        </is>
      </c>
      <c r="E190" s="2" t="inlineStr">
        <is>
          <t xml:space="preserve">room-chat, propose-viewing, schedule-viewing, viewing-outcome, reserve-cleanup</t>
        </is>
      </c>
    </row>
    <row r="191" ht="70" customHeight="1">
      <c r="A191" s="0" t="inlineStr">
        <is>
          <t xml:space="preserve">room_viewing_requests</t>
        </is>
      </c>
      <c r="B191" s="0" t="inlineStr">
        <is>
          <t xml:space="preserve">starts_at</t>
        </is>
      </c>
      <c r="C191" s="0" t="inlineStr">
        <is>
          <t xml:space="preserve">DATETIME(6) NOT NULL</t>
        </is>
      </c>
      <c r="D191" s="0" t="inlineStr">
        <is>
          <t xml:space="preserve">database/schema.sql:354</t>
        </is>
      </c>
      <c r="E191" s="0" t="inlineStr">
        <is>
          <t xml:space="preserve">room-chat, propose-viewing, schedule-viewing, viewing-outcome, reserve-cleanup</t>
        </is>
      </c>
    </row>
    <row r="192" ht="70" customHeight="1">
      <c r="A192" s="2" t="inlineStr">
        <is>
          <t xml:space="preserve">room_viewing_requests</t>
        </is>
      </c>
      <c r="B192" s="2" t="inlineStr">
        <is>
          <t xml:space="preserve">ends_at</t>
        </is>
      </c>
      <c r="C192" s="2" t="inlineStr">
        <is>
          <t xml:space="preserve">DATETIME(6) NOT NULL</t>
        </is>
      </c>
      <c r="D192" s="2" t="inlineStr">
        <is>
          <t xml:space="preserve">database/schema.sql:354</t>
        </is>
      </c>
      <c r="E192" s="2" t="inlineStr">
        <is>
          <t xml:space="preserve">room-chat, propose-viewing, schedule-viewing, viewing-outcome, reserve-cleanup</t>
        </is>
      </c>
    </row>
    <row r="193" ht="70" customHeight="1">
      <c r="A193" s="0" t="inlineStr">
        <is>
          <t xml:space="preserve">room_viewing_requests</t>
        </is>
      </c>
      <c r="B193" s="0" t="inlineStr">
        <is>
          <t xml:space="preserve">notes</t>
        </is>
      </c>
      <c r="C193" s="0" t="inlineStr">
        <is>
          <t xml:space="preserve">VARCHAR(2000)</t>
        </is>
      </c>
      <c r="D193" s="0" t="inlineStr">
        <is>
          <t xml:space="preserve">database/schema.sql:354</t>
        </is>
      </c>
      <c r="E193" s="0" t="inlineStr">
        <is>
          <t xml:space="preserve">room-chat, propose-viewing, schedule-viewing, viewing-outcome, reserve-cleanup</t>
        </is>
      </c>
    </row>
    <row r="194" ht="70" customHeight="1">
      <c r="A194" s="2" t="inlineStr">
        <is>
          <t xml:space="preserve">room_viewing_requests</t>
        </is>
      </c>
      <c r="B194" s="2" t="inlineStr">
        <is>
          <t xml:space="preserve">status</t>
        </is>
      </c>
      <c r="C194" s="2" t="inlineStr">
        <is>
          <t xml:space="preserve">VARCHAR(40) NOT NULL DEFAULT 'SCHEDULED'</t>
        </is>
      </c>
      <c r="D194" s="2" t="inlineStr">
        <is>
          <t xml:space="preserve">database/schema.sql:354</t>
        </is>
      </c>
      <c r="E194" s="2" t="inlineStr">
        <is>
          <t xml:space="preserve">room-chat, propose-viewing, schedule-viewing, viewing-outcome, reserve-cleanup</t>
        </is>
      </c>
    </row>
    <row r="195" ht="70" customHeight="1">
      <c r="A195" s="0" t="inlineStr">
        <is>
          <t xml:space="preserve">room_viewing_requests</t>
        </is>
      </c>
      <c r="B195" s="0" t="inlineStr">
        <is>
          <t xml:space="preserve">attendance_confirmed_by_id</t>
        </is>
      </c>
      <c r="C195" s="0" t="inlineStr">
        <is>
          <t xml:space="preserve">BIGINT</t>
        </is>
      </c>
      <c r="D195" s="0" t="inlineStr">
        <is>
          <t xml:space="preserve">database/schema.sql:354</t>
        </is>
      </c>
      <c r="E195" s="0" t="inlineStr">
        <is>
          <t xml:space="preserve">room-chat, propose-viewing, schedule-viewing, viewing-outcome, reserve-cleanup</t>
        </is>
      </c>
    </row>
    <row r="196" ht="70" customHeight="1">
      <c r="A196" s="2" t="inlineStr">
        <is>
          <t xml:space="preserve">room_viewing_requests</t>
        </is>
      </c>
      <c r="B196" s="2" t="inlineStr">
        <is>
          <t xml:space="preserve">attendance_confirmed_at</t>
        </is>
      </c>
      <c r="C196" s="2" t="inlineStr">
        <is>
          <t xml:space="preserve">DATETIME(6)</t>
        </is>
      </c>
      <c r="D196" s="2" t="inlineStr">
        <is>
          <t xml:space="preserve">database/schema.sql:354</t>
        </is>
      </c>
      <c r="E196" s="2" t="inlineStr">
        <is>
          <t xml:space="preserve">room-chat, propose-viewing, schedule-viewing, viewing-outcome, reserve-cleanup</t>
        </is>
      </c>
    </row>
    <row r="197" ht="70" customHeight="1">
      <c r="A197" s="0" t="inlineStr">
        <is>
          <t xml:space="preserve">room_viewing_requests</t>
        </is>
      </c>
      <c r="B197" s="0" t="inlineStr">
        <is>
          <t xml:space="preserve">cancelled_at</t>
        </is>
      </c>
      <c r="C197" s="0" t="inlineStr">
        <is>
          <t xml:space="preserve">DATETIME(6)</t>
        </is>
      </c>
      <c r="D197" s="0" t="inlineStr">
        <is>
          <t xml:space="preserve">database/schema.sql:354</t>
        </is>
      </c>
      <c r="E197" s="0" t="inlineStr">
        <is>
          <t xml:space="preserve">room-chat, propose-viewing, schedule-viewing, viewing-outcome, reserve-cleanup</t>
        </is>
      </c>
    </row>
    <row r="198" ht="70" customHeight="1">
      <c r="A198" s="2" t="inlineStr">
        <is>
          <t xml:space="preserve">room_viewing_requests</t>
        </is>
      </c>
      <c r="B198" s="2" t="inlineStr">
        <is>
          <t xml:space="preserve">cancelled_by_id</t>
        </is>
      </c>
      <c r="C198" s="2" t="inlineStr">
        <is>
          <t xml:space="preserve">BIGINT</t>
        </is>
      </c>
      <c r="D198" s="2" t="inlineStr">
        <is>
          <t xml:space="preserve">database/schema.sql:354</t>
        </is>
      </c>
      <c r="E198" s="2" t="inlineStr">
        <is>
          <t xml:space="preserve">room-chat, propose-viewing, schedule-viewing, viewing-outcome, reserve-cleanup</t>
        </is>
      </c>
    </row>
    <row r="199" ht="70" customHeight="1">
      <c r="A199" s="0" t="inlineStr">
        <is>
          <t xml:space="preserve">room_viewing_requests</t>
        </is>
      </c>
      <c r="B199" s="0" t="inlineStr">
        <is>
          <t xml:space="preserve">cancellation_reason</t>
        </is>
      </c>
      <c r="C199" s="0" t="inlineStr">
        <is>
          <t xml:space="preserve">VARCHAR(1000)</t>
        </is>
      </c>
      <c r="D199" s="0" t="inlineStr">
        <is>
          <t xml:space="preserve">database/schema.sql:354</t>
        </is>
      </c>
      <c r="E199" s="0" t="inlineStr">
        <is>
          <t xml:space="preserve">room-chat, propose-viewing, schedule-viewing, viewing-outcome, reserve-cleanup</t>
        </is>
      </c>
    </row>
    <row r="200" ht="70" customHeight="1">
      <c r="A200" s="2" t="inlineStr">
        <is>
          <t xml:space="preserve">room_viewing_requests</t>
        </is>
      </c>
      <c r="B200" s="2" t="inlineStr">
        <is>
          <t xml:space="preserve">rental_decision</t>
        </is>
      </c>
      <c r="C200" s="2" t="inlineStr">
        <is>
          <t xml:space="preserve">VARCHAR(40) NOT NULL DEFAULT 'WAITING'</t>
        </is>
      </c>
      <c r="D200" s="2" t="inlineStr">
        <is>
          <t xml:space="preserve">database/schema.sql:354</t>
        </is>
      </c>
      <c r="E200" s="2" t="inlineStr">
        <is>
          <t xml:space="preserve">room-chat, propose-viewing, schedule-viewing, viewing-outcome, reserve-cleanup</t>
        </is>
      </c>
    </row>
    <row r="201" ht="70" customHeight="1">
      <c r="A201" s="0" t="inlineStr">
        <is>
          <t xml:space="preserve">room_viewing_requests</t>
        </is>
      </c>
      <c r="B201" s="0" t="inlineStr">
        <is>
          <t xml:space="preserve">rental_decided_by_id</t>
        </is>
      </c>
      <c r="C201" s="0" t="inlineStr">
        <is>
          <t xml:space="preserve">BIGINT</t>
        </is>
      </c>
      <c r="D201" s="0" t="inlineStr">
        <is>
          <t xml:space="preserve">database/schema.sql:354</t>
        </is>
      </c>
      <c r="E201" s="0" t="inlineStr">
        <is>
          <t xml:space="preserve">room-chat, propose-viewing, schedule-viewing, viewing-outcome, reserve-cleanup</t>
        </is>
      </c>
    </row>
    <row r="202" ht="70" customHeight="1">
      <c r="A202" s="2" t="inlineStr">
        <is>
          <t xml:space="preserve">room_viewing_requests</t>
        </is>
      </c>
      <c r="B202" s="2" t="inlineStr">
        <is>
          <t xml:space="preserve">rental_decided_at</t>
        </is>
      </c>
      <c r="C202" s="2" t="inlineStr">
        <is>
          <t xml:space="preserve">DATETIME(6)</t>
        </is>
      </c>
      <c r="D202" s="2" t="inlineStr">
        <is>
          <t xml:space="preserve">database/schema.sql:354</t>
        </is>
      </c>
      <c r="E202" s="2" t="inlineStr">
        <is>
          <t xml:space="preserve">room-chat, propose-viewing, schedule-viewing, viewing-outcome, reserve-cleanup</t>
        </is>
      </c>
    </row>
    <row r="203" ht="70" customHeight="1">
      <c r="A203" s="0" t="inlineStr">
        <is>
          <t xml:space="preserve">room_viewing_requests</t>
        </is>
      </c>
      <c r="B203" s="0" t="inlineStr">
        <is>
          <t xml:space="preserve">rental_withdrawn_at</t>
        </is>
      </c>
      <c r="C203" s="0" t="inlineStr">
        <is>
          <t xml:space="preserve">DATETIME(6)</t>
        </is>
      </c>
      <c r="D203" s="0" t="inlineStr">
        <is>
          <t xml:space="preserve">database/schema.sql:354</t>
        </is>
      </c>
      <c r="E203" s="0" t="inlineStr">
        <is>
          <t xml:space="preserve">room-chat, propose-viewing, schedule-viewing, viewing-outcome, reserve-cleanup</t>
        </is>
      </c>
    </row>
    <row r="204" ht="70" customHeight="1">
      <c r="A204" s="2" t="inlineStr">
        <is>
          <t xml:space="preserve">room_viewing_requests</t>
        </is>
      </c>
      <c r="B204" s="2" t="inlineStr">
        <is>
          <t xml:space="preserve">created_at</t>
        </is>
      </c>
      <c r="C204" s="2" t="inlineStr">
        <is>
          <t xml:space="preserve">DATETIME(6) NOT NULL DEFAULT CURRENT_TIMESTAMP(6)</t>
        </is>
      </c>
      <c r="D204" s="2" t="inlineStr">
        <is>
          <t xml:space="preserve">database/schema.sql:354</t>
        </is>
      </c>
      <c r="E204" s="2" t="inlineStr">
        <is>
          <t xml:space="preserve">room-chat, propose-viewing, schedule-viewing, viewing-outcome, reserve-cleanup</t>
        </is>
      </c>
    </row>
    <row r="205" ht="70" customHeight="1">
      <c r="A205" s="0" t="inlineStr">
        <is>
          <t xml:space="preserve">room_viewing_requests</t>
        </is>
      </c>
      <c r="B205" s="0" t="inlineStr">
        <is>
          <t xml:space="preserve">updated_at</t>
        </is>
      </c>
      <c r="C205" s="0" t="inlineStr">
        <is>
          <t xml:space="preserve">DATETIME(6) NOT NULL DEFAULT CURRENT_TIMESTAMP(6)</t>
        </is>
      </c>
      <c r="D205" s="0" t="inlineStr">
        <is>
          <t xml:space="preserve">database/schema.sql:354</t>
        </is>
      </c>
      <c r="E205" s="0" t="inlineStr">
        <is>
          <t xml:space="preserve">room-chat, propose-viewing, schedule-viewing, viewing-outcome, reserve-cleanup</t>
        </is>
      </c>
    </row>
    <row r="206" ht="70" customHeight="1">
      <c r="A206" s="2" t="inlineStr">
        <is>
          <t xml:space="preserve">contract_representative_history</t>
        </is>
      </c>
      <c r="B206" s="2" t="inlineStr">
        <is>
          <t xml:space="preserve">id</t>
        </is>
      </c>
      <c r="C206" s="2" t="inlineStr">
        <is>
          <t xml:space="preserve">BIGINT NOT NULL AUTO_INCREMENT PRIMARY KEY</t>
        </is>
      </c>
      <c r="D206" s="2" t="inlineStr">
        <is>
          <t xml:space="preserve">database/schema.sql:395</t>
        </is>
      </c>
      <c r="E206" s="2" t="inlineStr">
        <is>
          <t xml:space="preserve">create-contract, residents, departure, handover, transfer, end-lease, data-safety, migration</t>
        </is>
      </c>
    </row>
    <row r="207" ht="70" customHeight="1">
      <c r="A207" s="0" t="inlineStr">
        <is>
          <t xml:space="preserve">contract_representative_history</t>
        </is>
      </c>
      <c r="B207" s="0" t="inlineStr">
        <is>
          <t xml:space="preserve">contract_id</t>
        </is>
      </c>
      <c r="C207" s="0" t="inlineStr">
        <is>
          <t xml:space="preserve">BIGINT NOT NULL</t>
        </is>
      </c>
      <c r="D207" s="0" t="inlineStr">
        <is>
          <t xml:space="preserve">database/schema.sql:395</t>
        </is>
      </c>
      <c r="E207" s="0" t="inlineStr">
        <is>
          <t xml:space="preserve">create-contract, residents, departure, handover, transfer, end-lease, data-safety, migration</t>
        </is>
      </c>
    </row>
    <row r="208" ht="70" customHeight="1">
      <c r="A208" s="2" t="inlineStr">
        <is>
          <t xml:space="preserve">contract_representative_history</t>
        </is>
      </c>
      <c r="B208" s="2" t="inlineStr">
        <is>
          <t xml:space="preserve">room_tenant_id</t>
        </is>
      </c>
      <c r="C208" s="2" t="inlineStr">
        <is>
          <t xml:space="preserve">BIGINT NOT NULL</t>
        </is>
      </c>
      <c r="D208" s="2" t="inlineStr">
        <is>
          <t xml:space="preserve">database/schema.sql:395</t>
        </is>
      </c>
      <c r="E208" s="2" t="inlineStr">
        <is>
          <t xml:space="preserve">create-contract, residents, departure, handover, transfer, end-lease, data-safety, migration</t>
        </is>
      </c>
    </row>
    <row r="209" ht="70" customHeight="1">
      <c r="A209" s="0" t="inlineStr">
        <is>
          <t xml:space="preserve">contract_representative_history</t>
        </is>
      </c>
      <c r="B209" s="0" t="inlineStr">
        <is>
          <t xml:space="preserve">tenant_id</t>
        </is>
      </c>
      <c r="C209" s="0" t="inlineStr">
        <is>
          <t xml:space="preserve">BIGINT</t>
        </is>
      </c>
      <c r="D209" s="0" t="inlineStr">
        <is>
          <t xml:space="preserve">database/schema.sql:395</t>
        </is>
      </c>
      <c r="E209" s="0" t="inlineStr">
        <is>
          <t xml:space="preserve">create-contract, residents, departure, handover, transfer, end-lease, data-safety, migration</t>
        </is>
      </c>
    </row>
    <row r="210" ht="70" customHeight="1">
      <c r="A210" s="2" t="inlineStr">
        <is>
          <t xml:space="preserve">contract_representative_history</t>
        </is>
      </c>
      <c r="B210" s="2" t="inlineStr">
        <is>
          <t xml:space="preserve">name_snapshot</t>
        </is>
      </c>
      <c r="C210" s="2" t="inlineStr">
        <is>
          <t xml:space="preserve">VARCHAR(150) NOT NULL</t>
        </is>
      </c>
      <c r="D210" s="2" t="inlineStr">
        <is>
          <t xml:space="preserve">database/schema.sql:395</t>
        </is>
      </c>
      <c r="E210" s="2" t="inlineStr">
        <is>
          <t xml:space="preserve">create-contract, residents, departure, handover, transfer, end-lease, data-safety, migration</t>
        </is>
      </c>
    </row>
    <row r="211" ht="70" customHeight="1">
      <c r="A211" s="0" t="inlineStr">
        <is>
          <t xml:space="preserve">contract_representative_history</t>
        </is>
      </c>
      <c r="B211" s="0" t="inlineStr">
        <is>
          <t xml:space="preserve">event_type</t>
        </is>
      </c>
      <c r="C211" s="0" t="inlineStr">
        <is>
          <t xml:space="preserve">VARCHAR(40) NOT NULL</t>
        </is>
      </c>
      <c r="D211" s="0" t="inlineStr">
        <is>
          <t xml:space="preserve">database/schema.sql:395</t>
        </is>
      </c>
      <c r="E211" s="0" t="inlineStr">
        <is>
          <t xml:space="preserve">create-contract, residents, departure, handover, transfer, end-lease, data-safety, migration</t>
        </is>
      </c>
    </row>
    <row r="212" ht="70" customHeight="1">
      <c r="A212" s="2" t="inlineStr">
        <is>
          <t xml:space="preserve">contract_representative_history</t>
        </is>
      </c>
      <c r="B212" s="2" t="inlineStr">
        <is>
          <t xml:space="preserve">previous_history_id</t>
        </is>
      </c>
      <c r="C212" s="2" t="inlineStr">
        <is>
          <t xml:space="preserve">BIGINT</t>
        </is>
      </c>
      <c r="D212" s="2" t="inlineStr">
        <is>
          <t xml:space="preserve">database/schema.sql:395</t>
        </is>
      </c>
      <c r="E212" s="2" t="inlineStr">
        <is>
          <t xml:space="preserve">create-contract, residents, departure, handover, transfer, end-lease, data-safety, migration</t>
        </is>
      </c>
    </row>
    <row r="213" ht="70" customHeight="1">
      <c r="A213" s="0" t="inlineStr">
        <is>
          <t xml:space="preserve">contract_representative_history</t>
        </is>
      </c>
      <c r="B213" s="0" t="inlineStr">
        <is>
          <t xml:space="preserve">previous_room_tenant_id</t>
        </is>
      </c>
      <c r="C213" s="0" t="inlineStr">
        <is>
          <t xml:space="preserve">BIGINT</t>
        </is>
      </c>
      <c r="D213" s="0" t="inlineStr">
        <is>
          <t xml:space="preserve">database/schema.sql:395</t>
        </is>
      </c>
      <c r="E213" s="0" t="inlineStr">
        <is>
          <t xml:space="preserve">create-contract, residents, departure, handover, transfer, end-lease, data-safety, migration</t>
        </is>
      </c>
    </row>
    <row r="214" ht="70" customHeight="1">
      <c r="A214" s="2" t="inlineStr">
        <is>
          <t xml:space="preserve">contract_representative_history</t>
        </is>
      </c>
      <c r="B214" s="2" t="inlineStr">
        <is>
          <t xml:space="preserve">basis_revision_id</t>
        </is>
      </c>
      <c r="C214" s="2" t="inlineStr">
        <is>
          <t xml:space="preserve">BIGINT</t>
        </is>
      </c>
      <c r="D214" s="2" t="inlineStr">
        <is>
          <t xml:space="preserve">database/schema.sql:395</t>
        </is>
      </c>
      <c r="E214" s="2" t="inlineStr">
        <is>
          <t xml:space="preserve">create-contract, residents, departure, handover, transfer, end-lease, data-safety, migration</t>
        </is>
      </c>
    </row>
    <row r="215" ht="70" customHeight="1">
      <c r="A215" s="0" t="inlineStr">
        <is>
          <t xml:space="preserve">contract_representative_history</t>
        </is>
      </c>
      <c r="B215" s="0" t="inlineStr">
        <is>
          <t xml:space="preserve">started_at</t>
        </is>
      </c>
      <c r="C215" s="0" t="inlineStr">
        <is>
          <t xml:space="preserve">DATETIME(6)</t>
        </is>
      </c>
      <c r="D215" s="0" t="inlineStr">
        <is>
          <t xml:space="preserve">database/schema.sql:395</t>
        </is>
      </c>
      <c r="E215" s="0" t="inlineStr">
        <is>
          <t xml:space="preserve">create-contract, residents, departure, handover, transfer, end-lease, data-safety, migration</t>
        </is>
      </c>
    </row>
    <row r="216" ht="70" customHeight="1">
      <c r="A216" s="2" t="inlineStr">
        <is>
          <t xml:space="preserve">contract_representative_history</t>
        </is>
      </c>
      <c r="B216" s="2" t="inlineStr">
        <is>
          <t xml:space="preserve">ended_at</t>
        </is>
      </c>
      <c r="C216" s="2" t="inlineStr">
        <is>
          <t xml:space="preserve">DATETIME(6)</t>
        </is>
      </c>
      <c r="D216" s="2" t="inlineStr">
        <is>
          <t xml:space="preserve">database/schema.sql:395</t>
        </is>
      </c>
      <c r="E216" s="2" t="inlineStr">
        <is>
          <t xml:space="preserve">create-contract, residents, departure, handover, transfer, end-lease, data-safety, migration</t>
        </is>
      </c>
    </row>
    <row r="217" ht="70" customHeight="1">
      <c r="A217" s="0" t="inlineStr">
        <is>
          <t xml:space="preserve">contract_representative_history</t>
        </is>
      </c>
      <c r="B217" s="0" t="inlineStr">
        <is>
          <t xml:space="preserve">is_current</t>
        </is>
      </c>
      <c r="C217" s="0" t="inlineStr">
        <is>
          <t xml:space="preserve">BOOLEAN NOT NULL DEFAULT TRUE</t>
        </is>
      </c>
      <c r="D217" s="0" t="inlineStr">
        <is>
          <t xml:space="preserve">database/schema.sql:395</t>
        </is>
      </c>
      <c r="E217" s="0" t="inlineStr">
        <is>
          <t xml:space="preserve">create-contract, residents, departure, handover, transfer, end-lease, data-safety, migration</t>
        </is>
      </c>
    </row>
    <row r="218" ht="70" customHeight="1">
      <c r="A218" s="2" t="inlineStr">
        <is>
          <t xml:space="preserve">contract_representative_history</t>
        </is>
      </c>
      <c r="B218" s="2" t="inlineStr">
        <is>
          <t xml:space="preserve">recorded_by_id</t>
        </is>
      </c>
      <c r="C218" s="2" t="inlineStr">
        <is>
          <t xml:space="preserve">BIGINT</t>
        </is>
      </c>
      <c r="D218" s="2" t="inlineStr">
        <is>
          <t xml:space="preserve">database/schema.sql:395</t>
        </is>
      </c>
      <c r="E218" s="2" t="inlineStr">
        <is>
          <t xml:space="preserve">create-contract, residents, departure, handover, transfer, end-lease, data-safety, migration</t>
        </is>
      </c>
    </row>
    <row r="219" ht="70" customHeight="1">
      <c r="A219" s="0" t="inlineStr">
        <is>
          <t xml:space="preserve">contract_representative_history</t>
        </is>
      </c>
      <c r="B219" s="0" t="inlineStr">
        <is>
          <t xml:space="preserve">recorded_at</t>
        </is>
      </c>
      <c r="C219" s="0" t="inlineStr">
        <is>
          <t xml:space="preserve">DATETIME(6) NOT NULL DEFAULT CURRENT_TIMESTAMP(6)</t>
        </is>
      </c>
      <c r="D219" s="0" t="inlineStr">
        <is>
          <t xml:space="preserve">database/schema.sql:395</t>
        </is>
      </c>
      <c r="E219" s="0" t="inlineStr">
        <is>
          <t xml:space="preserve">create-contract, residents, departure, handover, transfer, end-lease, data-safety, migration</t>
        </is>
      </c>
    </row>
    <row r="220" ht="70" customHeight="1">
      <c r="A220" s="2" t="inlineStr">
        <is>
          <t xml:space="preserve">contract_representative_history</t>
        </is>
      </c>
      <c r="B220" s="2" t="inlineStr">
        <is>
          <t xml:space="preserve">reason</t>
        </is>
      </c>
      <c r="C220" s="2" t="inlineStr">
        <is>
          <t xml:space="preserve">VARCHAR(1000) NOT NULL</t>
        </is>
      </c>
      <c r="D220" s="2" t="inlineStr">
        <is>
          <t xml:space="preserve">database/schema.sql:395</t>
        </is>
      </c>
      <c r="E220" s="2" t="inlineStr">
        <is>
          <t xml:space="preserve">create-contract, residents, departure, handover, transfer, end-lease, data-safety, migration</t>
        </is>
      </c>
    </row>
    <row r="221" ht="70" customHeight="1">
      <c r="A221" s="0" t="inlineStr">
        <is>
          <t xml:space="preserve">contract_representative_history</t>
        </is>
      </c>
      <c r="B221" s="0" t="inlineStr">
        <is>
          <t xml:space="preserve">consent_method</t>
        </is>
      </c>
      <c r="C221" s="0" t="inlineStr">
        <is>
          <t xml:space="preserve">VARCHAR(40) NOT NULL</t>
        </is>
      </c>
      <c r="D221" s="0" t="inlineStr">
        <is>
          <t xml:space="preserve">database/schema.sql:395</t>
        </is>
      </c>
      <c r="E221" s="0" t="inlineStr">
        <is>
          <t xml:space="preserve">create-contract, residents, departure, handover, transfer, end-lease, data-safety, migration</t>
        </is>
      </c>
    </row>
    <row r="222" ht="70" customHeight="1">
      <c r="A222" s="2" t="inlineStr">
        <is>
          <t xml:space="preserve">contract_representative_history</t>
        </is>
      </c>
      <c r="B222" s="2" t="inlineStr">
        <is>
          <t xml:space="preserve">consented_by_id</t>
        </is>
      </c>
      <c r="C222" s="2" t="inlineStr">
        <is>
          <t xml:space="preserve">BIGINT</t>
        </is>
      </c>
      <c r="D222" s="2" t="inlineStr">
        <is>
          <t xml:space="preserve">database/schema.sql:395</t>
        </is>
      </c>
      <c r="E222" s="2" t="inlineStr">
        <is>
          <t xml:space="preserve">create-contract, residents, departure, handover, transfer, end-lease, data-safety, migration</t>
        </is>
      </c>
    </row>
    <row r="223" ht="70" customHeight="1">
      <c r="A223" s="0" t="inlineStr">
        <is>
          <t xml:space="preserve">contract_representative_history</t>
        </is>
      </c>
      <c r="B223" s="0" t="inlineStr">
        <is>
          <t xml:space="preserve">consent_recorded_by_id</t>
        </is>
      </c>
      <c r="C223" s="0" t="inlineStr">
        <is>
          <t xml:space="preserve">BIGINT</t>
        </is>
      </c>
      <c r="D223" s="0" t="inlineStr">
        <is>
          <t xml:space="preserve">database/schema.sql:395</t>
        </is>
      </c>
      <c r="E223" s="0" t="inlineStr">
        <is>
          <t xml:space="preserve">create-contract, residents, departure, handover, transfer, end-lease, data-safety, migration</t>
        </is>
      </c>
    </row>
    <row r="224" ht="70" customHeight="1">
      <c r="A224" s="2" t="inlineStr">
        <is>
          <t xml:space="preserve">contract_representative_history</t>
        </is>
      </c>
      <c r="B224" s="2" t="inlineStr">
        <is>
          <t xml:space="preserve">consent_recorded_at</t>
        </is>
      </c>
      <c r="C224" s="2" t="inlineStr">
        <is>
          <t xml:space="preserve">DATETIME(6)</t>
        </is>
      </c>
      <c r="D224" s="2" t="inlineStr">
        <is>
          <t xml:space="preserve">database/schema.sql:395</t>
        </is>
      </c>
      <c r="E224" s="2" t="inlineStr">
        <is>
          <t xml:space="preserve">create-contract, residents, departure, handover, transfer, end-lease, data-safety, migration</t>
        </is>
      </c>
    </row>
    <row r="225" ht="70" customHeight="1">
      <c r="A225" s="0" t="inlineStr">
        <is>
          <t xml:space="preserve">contract_representative_history</t>
        </is>
      </c>
      <c r="B225" s="0" t="inlineStr">
        <is>
          <t xml:space="preserve">consent_file_id</t>
        </is>
      </c>
      <c r="C225" s="0" t="inlineStr">
        <is>
          <t xml:space="preserve">BIGINT</t>
        </is>
      </c>
      <c r="D225" s="0" t="inlineStr">
        <is>
          <t xml:space="preserve">database/schema.sql:395</t>
        </is>
      </c>
      <c r="E225" s="0" t="inlineStr">
        <is>
          <t xml:space="preserve">create-contract, residents, departure, handover, transfer, end-lease, data-safety, migration</t>
        </is>
      </c>
    </row>
    <row r="226" ht="70" customHeight="1">
      <c r="A226" s="2" t="inlineStr">
        <is>
          <t xml:space="preserve">contract_representative_history</t>
        </is>
      </c>
      <c r="B226" s="2" t="inlineStr">
        <is>
          <t xml:space="preserve">ended_by_id</t>
        </is>
      </c>
      <c r="C226" s="2" t="inlineStr">
        <is>
          <t xml:space="preserve">BIGINT</t>
        </is>
      </c>
      <c r="D226" s="2" t="inlineStr">
        <is>
          <t xml:space="preserve">database/schema.sql:395</t>
        </is>
      </c>
      <c r="E226" s="2" t="inlineStr">
        <is>
          <t xml:space="preserve">create-contract, residents, departure, handover, transfer, end-lease, data-safety, migration</t>
        </is>
      </c>
    </row>
    <row r="227" ht="70" customHeight="1">
      <c r="A227" s="0" t="inlineStr">
        <is>
          <t xml:space="preserve">contract_representative_history</t>
        </is>
      </c>
      <c r="B227" s="0" t="inlineStr">
        <is>
          <t xml:space="preserve">end_reason</t>
        </is>
      </c>
      <c r="C227" s="0" t="inlineStr">
        <is>
          <t xml:space="preserve">VARCHAR(1000)</t>
        </is>
      </c>
      <c r="D227" s="0" t="inlineStr">
        <is>
          <t xml:space="preserve">database/schema.sql:395</t>
        </is>
      </c>
      <c r="E227" s="0" t="inlineStr">
        <is>
          <t xml:space="preserve">create-contract, residents, departure, handover, transfer, end-lease, data-safety, migration</t>
        </is>
      </c>
    </row>
    <row r="228" ht="70" customHeight="1">
      <c r="A228" s="2" t="inlineStr">
        <is>
          <t xml:space="preserve">contract_representative_history</t>
        </is>
      </c>
      <c r="B228" s="2" t="inlineStr">
        <is>
          <t xml:space="preserve">current_contract_id</t>
        </is>
      </c>
      <c r="C228" s="2" t="inlineStr">
        <is>
          <t xml:space="preserve">BIGINT GENERATED ALWAYS AS (CASE WHEN is_current = TRUE THEN contract_id ELSE NULL END) STORED</t>
        </is>
      </c>
      <c r="D228" s="2" t="inlineStr">
        <is>
          <t xml:space="preserve">database/schema.sql:395</t>
        </is>
      </c>
      <c r="E228" s="2" t="inlineStr">
        <is>
          <t xml:space="preserve">create-contract, residents, departure, handover, transfer, end-lease, data-safety, migration</t>
        </is>
      </c>
    </row>
    <row r="229" ht="70" customHeight="1">
      <c r="A229" s="0" t="inlineStr">
        <is>
          <t xml:space="preserve">contract_templates</t>
        </is>
      </c>
      <c r="B229" s="0" t="inlineStr">
        <is>
          <t xml:space="preserve">id</t>
        </is>
      </c>
      <c r="C229" s="0" t="inlineStr">
        <is>
          <t xml:space="preserve">BIGINT NOT NULL AUTO_INCREMENT PRIMARY KEY</t>
        </is>
      </c>
      <c r="D229" s="0" t="inlineStr">
        <is>
          <t xml:space="preserve">database/schema.sql:438</t>
        </is>
      </c>
      <c r="E229" s="0" t="inlineStr">
        <is>
          <t xml:space="preserve">templates</t>
        </is>
      </c>
    </row>
    <row r="230" ht="70" customHeight="1">
      <c r="A230" s="2" t="inlineStr">
        <is>
          <t xml:space="preserve">contract_templates</t>
        </is>
      </c>
      <c r="B230" s="2" t="inlineStr">
        <is>
          <t xml:space="preserve">created_by_id</t>
        </is>
      </c>
      <c r="C230" s="2" t="inlineStr">
        <is>
          <t xml:space="preserve">BIGINT NOT NULL</t>
        </is>
      </c>
      <c r="D230" s="2" t="inlineStr">
        <is>
          <t xml:space="preserve">database/schema.sql:438</t>
        </is>
      </c>
      <c r="E230" s="2" t="inlineStr">
        <is>
          <t xml:space="preserve">templates</t>
        </is>
      </c>
    </row>
    <row r="231" ht="70" customHeight="1">
      <c r="A231" s="0" t="inlineStr">
        <is>
          <t xml:space="preserve">contract_templates</t>
        </is>
      </c>
      <c r="B231" s="0" t="inlineStr">
        <is>
          <t xml:space="preserve">name</t>
        </is>
      </c>
      <c r="C231" s="0" t="inlineStr">
        <is>
          <t xml:space="preserve">VARCHAR(200) NOT NULL</t>
        </is>
      </c>
      <c r="D231" s="0" t="inlineStr">
        <is>
          <t xml:space="preserve">database/schema.sql:438</t>
        </is>
      </c>
      <c r="E231" s="0" t="inlineStr">
        <is>
          <t xml:space="preserve">templates</t>
        </is>
      </c>
    </row>
    <row r="232" ht="70" customHeight="1">
      <c r="A232" s="2" t="inlineStr">
        <is>
          <t xml:space="preserve">contract_templates</t>
        </is>
      </c>
      <c r="B232" s="2" t="inlineStr">
        <is>
          <t xml:space="preserve">version</t>
        </is>
      </c>
      <c r="C232" s="2" t="inlineStr">
        <is>
          <t xml:space="preserve">INT NOT NULL</t>
        </is>
      </c>
      <c r="D232" s="2" t="inlineStr">
        <is>
          <t xml:space="preserve">database/schema.sql:438</t>
        </is>
      </c>
      <c r="E232" s="2" t="inlineStr">
        <is>
          <t xml:space="preserve">templates</t>
        </is>
      </c>
    </row>
    <row r="233" ht="70" customHeight="1">
      <c r="A233" s="0" t="inlineStr">
        <is>
          <t xml:space="preserve">contract_templates</t>
        </is>
      </c>
      <c r="B233" s="0" t="inlineStr">
        <is>
          <t xml:space="preserve">content</t>
        </is>
      </c>
      <c r="C233" s="0" t="inlineStr">
        <is>
          <t xml:space="preserve">LONGTEXT NOT NULL</t>
        </is>
      </c>
      <c r="D233" s="0" t="inlineStr">
        <is>
          <t xml:space="preserve">database/schema.sql:438</t>
        </is>
      </c>
      <c r="E233" s="0" t="inlineStr">
        <is>
          <t xml:space="preserve">templates</t>
        </is>
      </c>
    </row>
    <row r="234" ht="70" customHeight="1">
      <c r="A234" s="2" t="inlineStr">
        <is>
          <t xml:space="preserve">contract_templates</t>
        </is>
      </c>
      <c r="B234" s="2" t="inlineStr">
        <is>
          <t xml:space="preserve">active</t>
        </is>
      </c>
      <c r="C234" s="2" t="inlineStr">
        <is>
          <t xml:space="preserve">BOOLEAN NOT NULL DEFAULT TRUE</t>
        </is>
      </c>
      <c r="D234" s="2" t="inlineStr">
        <is>
          <t xml:space="preserve">database/schema.sql:438</t>
        </is>
      </c>
      <c r="E234" s="2" t="inlineStr">
        <is>
          <t xml:space="preserve">templates</t>
        </is>
      </c>
    </row>
    <row r="235" ht="70" customHeight="1">
      <c r="A235" s="0" t="inlineStr">
        <is>
          <t xml:space="preserve">contract_templates</t>
        </is>
      </c>
      <c r="B235" s="0" t="inlineStr">
        <is>
          <t xml:space="preserve">created_at</t>
        </is>
      </c>
      <c r="C235" s="0" t="inlineStr">
        <is>
          <t xml:space="preserve">DATETIME(6) NOT NULL DEFAULT CURRENT_TIMESTAMP(6)</t>
        </is>
      </c>
      <c r="D235" s="0" t="inlineStr">
        <is>
          <t xml:space="preserve">database/schema.sql:438</t>
        </is>
      </c>
      <c r="E235" s="0" t="inlineStr">
        <is>
          <t xml:space="preserve">templates</t>
        </is>
      </c>
    </row>
    <row r="236" ht="70" customHeight="1">
      <c r="A236" s="2" t="inlineStr">
        <is>
          <t xml:space="preserve">contract_templates</t>
        </is>
      </c>
      <c r="B236" s="2" t="inlineStr">
        <is>
          <t xml:space="preserve">updated_at</t>
        </is>
      </c>
      <c r="C236" s="2" t="inlineStr">
        <is>
          <t xml:space="preserve">DATETIME(6) NOT NULL DEFAULT CURRENT_TIMESTAMP(6)</t>
        </is>
      </c>
      <c r="D236" s="2" t="inlineStr">
        <is>
          <t xml:space="preserve">database/schema.sql:438</t>
        </is>
      </c>
      <c r="E236" s="2" t="inlineStr">
        <is>
          <t xml:space="preserve">templates</t>
        </is>
      </c>
    </row>
    <row r="237" ht="70" customHeight="1">
      <c r="A237" s="0" t="inlineStr">
        <is>
          <t xml:space="preserve">contracts</t>
        </is>
      </c>
      <c r="B237" s="0" t="inlineStr">
        <is>
          <t xml:space="preserve">id</t>
        </is>
      </c>
      <c r="C237" s="0" t="inlineStr">
        <is>
          <t xml:space="preserve">BIGINT NOT NULL AUTO_INCREMENT PRIMARY KEY</t>
        </is>
      </c>
      <c r="D237" s="0" t="inlineStr">
        <is>
          <t xml:space="preserve">database/schema.sql:453</t>
        </is>
      </c>
      <c r="E237" s="0" t="inlineStr">
        <is>
          <t xml:space="preserve">house-rights-expiry, rooms, viewing-outcome, create-contract, reserve-cleanup, contract-revision, move-in, cancel-contract, residents, join-consent, departure, handover, change-request, renewal, transfer, end-lease, data-safety</t>
        </is>
      </c>
    </row>
    <row r="238" ht="70" customHeight="1">
      <c r="A238" s="2" t="inlineStr">
        <is>
          <t xml:space="preserve">contracts</t>
        </is>
      </c>
      <c r="B238" s="2" t="inlineStr">
        <is>
          <t xml:space="preserve">contract_number</t>
        </is>
      </c>
      <c r="C238" s="2" t="inlineStr">
        <is>
          <t xml:space="preserve">VARCHAR(100) NOT NULL</t>
        </is>
      </c>
      <c r="D238" s="2" t="inlineStr">
        <is>
          <t xml:space="preserve">database/schema.sql:453</t>
        </is>
      </c>
      <c r="E238" s="2" t="inlineStr">
        <is>
          <t xml:space="preserve">house-rights-expiry, rooms, viewing-outcome, create-contract, reserve-cleanup, contract-revision, move-in, cancel-contract, residents, join-consent, departure, handover, change-request, renewal, transfer, end-lease, data-safety</t>
        </is>
      </c>
    </row>
    <row r="239" ht="70" customHeight="1">
      <c r="A239" s="0" t="inlineStr">
        <is>
          <t xml:space="preserve">contracts</t>
        </is>
      </c>
      <c r="B239" s="0" t="inlineStr">
        <is>
          <t xml:space="preserve">room_id</t>
        </is>
      </c>
      <c r="C239" s="0" t="inlineStr">
        <is>
          <t xml:space="preserve">BIGINT NOT NULL</t>
        </is>
      </c>
      <c r="D239" s="0" t="inlineStr">
        <is>
          <t xml:space="preserve">database/schema.sql:453</t>
        </is>
      </c>
      <c r="E239" s="0" t="inlineStr">
        <is>
          <t xml:space="preserve">house-rights-expiry, rooms, viewing-outcome, create-contract, reserve-cleanup, contract-revision, move-in, cancel-contract, residents, join-consent, departure, handover, change-request, renewal, transfer, end-lease, data-safety</t>
        </is>
      </c>
    </row>
    <row r="240" ht="70" customHeight="1">
      <c r="A240" s="2" t="inlineStr">
        <is>
          <t xml:space="preserve">contracts</t>
        </is>
      </c>
      <c r="B240" s="2" t="inlineStr">
        <is>
          <t xml:space="preserve">house_id</t>
        </is>
      </c>
      <c r="C240" s="2" t="inlineStr">
        <is>
          <t xml:space="preserve">BIGINT NOT NULL</t>
        </is>
      </c>
      <c r="D240" s="2" t="inlineStr">
        <is>
          <t xml:space="preserve">database/schema.sql:453</t>
        </is>
      </c>
      <c r="E240" s="2" t="inlineStr">
        <is>
          <t xml:space="preserve">house-rights-expiry, rooms, viewing-outcome, create-contract, reserve-cleanup, contract-revision, move-in, cancel-contract, residents, join-consent, departure, handover, change-request, renewal, transfer, end-lease, data-safety</t>
        </is>
      </c>
    </row>
    <row r="241" ht="70" customHeight="1">
      <c r="A241" s="0" t="inlineStr">
        <is>
          <t xml:space="preserve">contracts</t>
        </is>
      </c>
      <c r="B241" s="0" t="inlineStr">
        <is>
          <t xml:space="preserve">landlord_id</t>
        </is>
      </c>
      <c r="C241" s="0" t="inlineStr">
        <is>
          <t xml:space="preserve">BIGINT NOT NULL</t>
        </is>
      </c>
      <c r="D241" s="0" t="inlineStr">
        <is>
          <t xml:space="preserve">database/schema.sql:453</t>
        </is>
      </c>
      <c r="E241" s="0" t="inlineStr">
        <is>
          <t xml:space="preserve">house-rights-expiry, rooms, viewing-outcome, create-contract, reserve-cleanup, contract-revision, move-in, cancel-contract, residents, join-consent, departure, handover, change-request, renewal, transfer, end-lease, data-safety</t>
        </is>
      </c>
    </row>
    <row r="242" ht="70" customHeight="1">
      <c r="A242" s="2" t="inlineStr">
        <is>
          <t xml:space="preserve">contracts</t>
        </is>
      </c>
      <c r="B242" s="2" t="inlineStr">
        <is>
          <t xml:space="preserve">representative_room_tenant_id</t>
        </is>
      </c>
      <c r="C242" s="2" t="inlineStr">
        <is>
          <t xml:space="preserve">BIGINT</t>
        </is>
      </c>
      <c r="D242" s="2" t="inlineStr">
        <is>
          <t xml:space="preserve">database/schema.sql:453</t>
        </is>
      </c>
      <c r="E242" s="2" t="inlineStr">
        <is>
          <t xml:space="preserve">house-rights-expiry, rooms, viewing-outcome, create-contract, reserve-cleanup, contract-revision, move-in, cancel-contract, residents, join-consent, departure, handover, change-request, renewal, transfer, end-lease, data-safety</t>
        </is>
      </c>
    </row>
    <row r="243" ht="70" customHeight="1">
      <c r="A243" s="0" t="inlineStr">
        <is>
          <t xml:space="preserve">contracts</t>
        </is>
      </c>
      <c r="B243" s="0" t="inlineStr">
        <is>
          <t xml:space="preserve">initial_representative_room_tenant_id</t>
        </is>
      </c>
      <c r="C243" s="0" t="inlineStr">
        <is>
          <t xml:space="preserve">BIGINT</t>
        </is>
      </c>
      <c r="D243" s="0" t="inlineStr">
        <is>
          <t xml:space="preserve">database/schema.sql:453</t>
        </is>
      </c>
      <c r="E243" s="0" t="inlineStr">
        <is>
          <t xml:space="preserve">house-rights-expiry, rooms, viewing-outcome, create-contract, reserve-cleanup, contract-revision, move-in, cancel-contract, residents, join-consent, departure, handover, change-request, renewal, transfer, end-lease, data-safety</t>
        </is>
      </c>
    </row>
    <row r="244" ht="70" customHeight="1">
      <c r="A244" s="2" t="inlineStr">
        <is>
          <t xml:space="preserve">contracts</t>
        </is>
      </c>
      <c r="B244" s="2" t="inlineStr">
        <is>
          <t xml:space="preserve">current_revision_id</t>
        </is>
      </c>
      <c r="C244" s="2" t="inlineStr">
        <is>
          <t xml:space="preserve">BIGINT</t>
        </is>
      </c>
      <c r="D244" s="2" t="inlineStr">
        <is>
          <t xml:space="preserve">database/schema.sql:453</t>
        </is>
      </c>
      <c r="E244" s="2" t="inlineStr">
        <is>
          <t xml:space="preserve">house-rights-expiry, rooms, viewing-outcome, create-contract, reserve-cleanup, contract-revision, move-in, cancel-contract, residents, join-consent, departure, handover, change-request, renewal, transfer, end-lease, data-safety</t>
        </is>
      </c>
    </row>
    <row r="245" ht="70" customHeight="1">
      <c r="A245" s="0" t="inlineStr">
        <is>
          <t xml:space="preserve">contracts</t>
        </is>
      </c>
      <c r="B245" s="0" t="inlineStr">
        <is>
          <t xml:space="preserve">viewing_id</t>
        </is>
      </c>
      <c r="C245" s="0" t="inlineStr">
        <is>
          <t xml:space="preserve">BIGINT</t>
        </is>
      </c>
      <c r="D245" s="0" t="inlineStr">
        <is>
          <t xml:space="preserve">database/schema.sql:453</t>
        </is>
      </c>
      <c r="E245" s="0" t="inlineStr">
        <is>
          <t xml:space="preserve">house-rights-expiry, rooms, viewing-outcome, create-contract, reserve-cleanup, contract-revision, move-in, cancel-contract, residents, join-consent, departure, handover, change-request, renewal, transfer, end-lease, data-safety</t>
        </is>
      </c>
    </row>
    <row r="246" ht="70" customHeight="1">
      <c r="A246" s="2" t="inlineStr">
        <is>
          <t xml:space="preserve">contracts</t>
        </is>
      </c>
      <c r="B246" s="2" t="inlineStr">
        <is>
          <t xml:space="preserve">viewing_tenant_id</t>
        </is>
      </c>
      <c r="C246" s="2" t="inlineStr">
        <is>
          <t xml:space="preserve">BIGINT</t>
        </is>
      </c>
      <c r="D246" s="2" t="inlineStr">
        <is>
          <t xml:space="preserve">database/schema.sql:453</t>
        </is>
      </c>
      <c r="E246" s="2" t="inlineStr">
        <is>
          <t xml:space="preserve">house-rights-expiry, rooms, viewing-outcome, create-contract, reserve-cleanup, contract-revision, move-in, cancel-contract, residents, join-consent, departure, handover, change-request, renewal, transfer, end-lease, data-safety</t>
        </is>
      </c>
    </row>
    <row r="247" ht="70" customHeight="1">
      <c r="A247" s="0" t="inlineStr">
        <is>
          <t xml:space="preserve">contracts</t>
        </is>
      </c>
      <c r="B247" s="0" t="inlineStr">
        <is>
          <t xml:space="preserve">previous_contract_id</t>
        </is>
      </c>
      <c r="C247" s="0" t="inlineStr">
        <is>
          <t xml:space="preserve">BIGINT</t>
        </is>
      </c>
      <c r="D247" s="0" t="inlineStr">
        <is>
          <t xml:space="preserve">database/schema.sql:453</t>
        </is>
      </c>
      <c r="E247" s="0" t="inlineStr">
        <is>
          <t xml:space="preserve">house-rights-expiry, rooms, viewing-outcome, create-contract, reserve-cleanup, contract-revision, move-in, cancel-contract, residents, join-consent, departure, handover, change-request, renewal, transfer, end-lease, data-safety</t>
        </is>
      </c>
    </row>
    <row r="248" ht="70" customHeight="1">
      <c r="A248" s="2" t="inlineStr">
        <is>
          <t xml:space="preserve">contracts</t>
        </is>
      </c>
      <c r="B248" s="2" t="inlineStr">
        <is>
          <t xml:space="preserve">paper_document_file_id</t>
        </is>
      </c>
      <c r="C248" s="2" t="inlineStr">
        <is>
          <t xml:space="preserve">BIGINT</t>
        </is>
      </c>
      <c r="D248" s="2" t="inlineStr">
        <is>
          <t xml:space="preserve">database/schema.sql:453</t>
        </is>
      </c>
      <c r="E248" s="2" t="inlineStr">
        <is>
          <t xml:space="preserve">house-rights-expiry, rooms, viewing-outcome, create-contract, reserve-cleanup, contract-revision, move-in, cancel-contract, residents, join-consent, departure, handover, change-request, renewal, transfer, end-lease, data-safety</t>
        </is>
      </c>
    </row>
    <row r="249" ht="70" customHeight="1">
      <c r="A249" s="0" t="inlineStr">
        <is>
          <t xml:space="preserve">contracts</t>
        </is>
      </c>
      <c r="B249" s="0" t="inlineStr">
        <is>
          <t xml:space="preserve">source</t>
        </is>
      </c>
      <c r="C249" s="0" t="inlineStr">
        <is>
          <t xml:space="preserve">VARCHAR(40) NOT NULL</t>
        </is>
      </c>
      <c r="D249" s="0" t="inlineStr">
        <is>
          <t xml:space="preserve">database/schema.sql:453</t>
        </is>
      </c>
      <c r="E249" s="0" t="inlineStr">
        <is>
          <t xml:space="preserve">house-rights-expiry, rooms, viewing-outcome, create-contract, reserve-cleanup, contract-revision, move-in, cancel-contract, residents, join-consent, departure, handover, change-request, renewal, transfer, end-lease, data-safety</t>
        </is>
      </c>
    </row>
    <row r="250" ht="70" customHeight="1">
      <c r="A250" s="2" t="inlineStr">
        <is>
          <t xml:space="preserve">contracts</t>
        </is>
      </c>
      <c r="B250" s="2" t="inlineStr">
        <is>
          <t xml:space="preserve">status</t>
        </is>
      </c>
      <c r="C250" s="2" t="inlineStr">
        <is>
          <t xml:space="preserve">VARCHAR(40) NOT NULL DEFAULT 'DRAFT'</t>
        </is>
      </c>
      <c r="D250" s="2" t="inlineStr">
        <is>
          <t xml:space="preserve">database/schema.sql:453</t>
        </is>
      </c>
      <c r="E250" s="2" t="inlineStr">
        <is>
          <t xml:space="preserve">house-rights-expiry, rooms, viewing-outcome, create-contract, reserve-cleanup, contract-revision, move-in, cancel-contract, residents, join-consent, departure, handover, change-request, renewal, transfer, end-lease, data-safety</t>
        </is>
      </c>
    </row>
    <row r="251" ht="70" customHeight="1">
      <c r="A251" s="0" t="inlineStr">
        <is>
          <t xml:space="preserve">contracts</t>
        </is>
      </c>
      <c r="B251" s="0" t="inlineStr">
        <is>
          <t xml:space="preserve">start_date</t>
        </is>
      </c>
      <c r="C251" s="0" t="inlineStr">
        <is>
          <t xml:space="preserve">DATE NOT NULL</t>
        </is>
      </c>
      <c r="D251" s="0" t="inlineStr">
        <is>
          <t xml:space="preserve">database/schema.sql:453</t>
        </is>
      </c>
      <c r="E251" s="0" t="inlineStr">
        <is>
          <t xml:space="preserve">house-rights-expiry, rooms, viewing-outcome, create-contract, reserve-cleanup, contract-revision, move-in, cancel-contract, residents, join-consent, departure, handover, change-request, renewal, transfer, end-lease, data-safety</t>
        </is>
      </c>
    </row>
    <row r="252" ht="70" customHeight="1">
      <c r="A252" s="2" t="inlineStr">
        <is>
          <t xml:space="preserve">contracts</t>
        </is>
      </c>
      <c r="B252" s="2" t="inlineStr">
        <is>
          <t xml:space="preserve">end_date</t>
        </is>
      </c>
      <c r="C252" s="2" t="inlineStr">
        <is>
          <t xml:space="preserve">DATE NOT NULL</t>
        </is>
      </c>
      <c r="D252" s="2" t="inlineStr">
        <is>
          <t xml:space="preserve">database/schema.sql:453</t>
        </is>
      </c>
      <c r="E252" s="2" t="inlineStr">
        <is>
          <t xml:space="preserve">house-rights-expiry, rooms, viewing-outcome, create-contract, reserve-cleanup, contract-revision, move-in, cancel-contract, residents, join-consent, departure, handover, change-request, renewal, transfer, end-lease, data-safety</t>
        </is>
      </c>
    </row>
    <row r="253" ht="70" customHeight="1">
      <c r="A253" s="0" t="inlineStr">
        <is>
          <t xml:space="preserve">contracts</t>
        </is>
      </c>
      <c r="B253" s="0" t="inlineStr">
        <is>
          <t xml:space="preserve">rent_amount</t>
        </is>
      </c>
      <c r="C253" s="0" t="inlineStr">
        <is>
          <t xml:space="preserve">DECIMAL(15,2) NOT NULL DEFAULT 0</t>
        </is>
      </c>
      <c r="D253" s="0" t="inlineStr">
        <is>
          <t xml:space="preserve">database/schema.sql:453</t>
        </is>
      </c>
      <c r="E253" s="0" t="inlineStr">
        <is>
          <t xml:space="preserve">house-rights-expiry, rooms, viewing-outcome, create-contract, reserve-cleanup, contract-revision, move-in, cancel-contract, residents, join-consent, departure, handover, change-request, renewal, transfer, end-lease, data-safety</t>
        </is>
      </c>
    </row>
    <row r="254" ht="70" customHeight="1">
      <c r="A254" s="2" t="inlineStr">
        <is>
          <t xml:space="preserve">contracts</t>
        </is>
      </c>
      <c r="B254" s="2" t="inlineStr">
        <is>
          <t xml:space="preserve">deposit_amount</t>
        </is>
      </c>
      <c r="C254" s="2" t="inlineStr">
        <is>
          <t xml:space="preserve">DECIMAL(15,2) NOT NULL DEFAULT 0</t>
        </is>
      </c>
      <c r="D254" s="2" t="inlineStr">
        <is>
          <t xml:space="preserve">database/schema.sql:453</t>
        </is>
      </c>
      <c r="E254" s="2" t="inlineStr">
        <is>
          <t xml:space="preserve">house-rights-expiry, rooms, viewing-outcome, create-contract, reserve-cleanup, contract-revision, move-in, cancel-contract, residents, join-consent, departure, handover, change-request, renewal, transfer, end-lease, data-safety</t>
        </is>
      </c>
    </row>
    <row r="255" ht="70" customHeight="1">
      <c r="A255" s="0" t="inlineStr">
        <is>
          <t xml:space="preserve">contracts</t>
        </is>
      </c>
      <c r="B255" s="0" t="inlineStr">
        <is>
          <t xml:space="preserve">activated_at</t>
        </is>
      </c>
      <c r="C255" s="0" t="inlineStr">
        <is>
          <t xml:space="preserve">DATETIME(6)</t>
        </is>
      </c>
      <c r="D255" s="0" t="inlineStr">
        <is>
          <t xml:space="preserve">database/schema.sql:453</t>
        </is>
      </c>
      <c r="E255" s="0" t="inlineStr">
        <is>
          <t xml:space="preserve">house-rights-expiry, rooms, viewing-outcome, create-contract, reserve-cleanup, contract-revision, move-in, cancel-contract, residents, join-consent, departure, handover, change-request, renewal, transfer, end-lease, data-safety</t>
        </is>
      </c>
    </row>
    <row r="256" ht="70" customHeight="1">
      <c r="A256" s="2" t="inlineStr">
        <is>
          <t xml:space="preserve">contracts</t>
        </is>
      </c>
      <c r="B256" s="2" t="inlineStr">
        <is>
          <t xml:space="preserve">closed_at</t>
        </is>
      </c>
      <c r="C256" s="2" t="inlineStr">
        <is>
          <t xml:space="preserve">DATETIME(6)</t>
        </is>
      </c>
      <c r="D256" s="2" t="inlineStr">
        <is>
          <t xml:space="preserve">database/schema.sql:453</t>
        </is>
      </c>
      <c r="E256" s="2" t="inlineStr">
        <is>
          <t xml:space="preserve">house-rights-expiry, rooms, viewing-outcome, create-contract, reserve-cleanup, contract-revision, move-in, cancel-contract, residents, join-consent, departure, handover, change-request, renewal, transfer, end-lease, data-safety</t>
        </is>
      </c>
    </row>
    <row r="257" ht="70" customHeight="1">
      <c r="A257" s="0" t="inlineStr">
        <is>
          <t xml:space="preserve">contracts</t>
        </is>
      </c>
      <c r="B257" s="0" t="inlineStr">
        <is>
          <t xml:space="preserve">closure_reason</t>
        </is>
      </c>
      <c r="C257" s="0" t="inlineStr">
        <is>
          <t xml:space="preserve">VARCHAR(1000)</t>
        </is>
      </c>
      <c r="D257" s="0" t="inlineStr">
        <is>
          <t xml:space="preserve">database/schema.sql:453</t>
        </is>
      </c>
      <c r="E257" s="0" t="inlineStr">
        <is>
          <t xml:space="preserve">house-rights-expiry, rooms, viewing-outcome, create-contract, reserve-cleanup, contract-revision, move-in, cancel-contract, residents, join-consent, departure, handover, change-request, renewal, transfer, end-lease, data-safety</t>
        </is>
      </c>
    </row>
    <row r="258" ht="70" customHeight="1">
      <c r="A258" s="2" t="inlineStr">
        <is>
          <t xml:space="preserve">contracts</t>
        </is>
      </c>
      <c r="B258" s="2" t="inlineStr">
        <is>
          <t xml:space="preserve">created_at</t>
        </is>
      </c>
      <c r="C258" s="2" t="inlineStr">
        <is>
          <t xml:space="preserve">DATETIME(6) NOT NULL DEFAULT CURRENT_TIMESTAMP(6)</t>
        </is>
      </c>
      <c r="D258" s="2" t="inlineStr">
        <is>
          <t xml:space="preserve">database/schema.sql:453</t>
        </is>
      </c>
      <c r="E258" s="2" t="inlineStr">
        <is>
          <t xml:space="preserve">house-rights-expiry, rooms, viewing-outcome, create-contract, reserve-cleanup, contract-revision, move-in, cancel-contract, residents, join-consent, departure, handover, change-request, renewal, transfer, end-lease, data-safety</t>
        </is>
      </c>
    </row>
    <row r="259" ht="70" customHeight="1">
      <c r="A259" s="0" t="inlineStr">
        <is>
          <t xml:space="preserve">contracts</t>
        </is>
      </c>
      <c r="B259" s="0" t="inlineStr">
        <is>
          <t xml:space="preserve">updated_at</t>
        </is>
      </c>
      <c r="C259" s="0" t="inlineStr">
        <is>
          <t xml:space="preserve">DATETIME(6) NOT NULL DEFAULT CURRENT_TIMESTAMP(6)</t>
        </is>
      </c>
      <c r="D259" s="0" t="inlineStr">
        <is>
          <t xml:space="preserve">database/schema.sql:453</t>
        </is>
      </c>
      <c r="E259" s="0" t="inlineStr">
        <is>
          <t xml:space="preserve">house-rights-expiry, rooms, viewing-outcome, create-contract, reserve-cleanup, contract-revision, move-in, cancel-contract, residents, join-consent, departure, handover, change-request, renewal, transfer, end-lease, data-safety</t>
        </is>
      </c>
    </row>
    <row r="260" ht="70" customHeight="1">
      <c r="A260" s="2" t="inlineStr">
        <is>
          <t xml:space="preserve">contracts</t>
        </is>
      </c>
      <c r="B260" s="2" t="inlineStr">
        <is>
          <t xml:space="preserve">live_room_id</t>
        </is>
      </c>
      <c r="C260" s="2" t="inlineStr">
        <is>
          <t xml:space="preserve">BIGINT GENERATED ALWAYS AS (CASE WHEN status IN ('DRAFT','PENDING_CONFIRMATION','CONFIRMED','ACTIVE') THEN room_id ELSE NULL END) STORED</t>
        </is>
      </c>
      <c r="D260" s="2" t="inlineStr">
        <is>
          <t xml:space="preserve">database/schema.sql:453</t>
        </is>
      </c>
      <c r="E260" s="2" t="inlineStr">
        <is>
          <t xml:space="preserve">house-rights-expiry, rooms, viewing-outcome, create-contract, reserve-cleanup, contract-revision, move-in, cancel-contract, residents, join-consent, departure, handover, change-request, renewal, transfer, end-lease, data-safety</t>
        </is>
      </c>
    </row>
    <row r="261" ht="70" customHeight="1">
      <c r="A261" s="0" t="inlineStr">
        <is>
          <t xml:space="preserve">contracts</t>
        </is>
      </c>
      <c r="B261" s="0" t="inlineStr">
        <is>
          <t xml:space="preserve">live_viewing_id</t>
        </is>
      </c>
      <c r="C261" s="0" t="inlineStr">
        <is>
          <t xml:space="preserve">BIGINT GENERATED ALWAYS AS (CASE WHEN status IN ('DRAFT','PENDING_CONFIRMATION','CONFIRMED','ACTIVE') THEN viewing_id ELSE NULL END) STORED</t>
        </is>
      </c>
      <c r="D261" s="0" t="inlineStr">
        <is>
          <t xml:space="preserve">database/schema.sql:453</t>
        </is>
      </c>
      <c r="E261" s="0" t="inlineStr">
        <is>
          <t xml:space="preserve">house-rights-expiry, rooms, viewing-outcome, create-contract, reserve-cleanup, contract-revision, move-in, cancel-contract, residents, join-consent, departure, handover, change-request, renewal, transfer, end-lease, data-safety</t>
        </is>
      </c>
    </row>
    <row r="262" ht="70" customHeight="1">
      <c r="A262" s="2" t="inlineStr">
        <is>
          <t xml:space="preserve">room_tenants</t>
        </is>
      </c>
      <c r="B262" s="2" t="inlineStr">
        <is>
          <t xml:space="preserve">id</t>
        </is>
      </c>
      <c r="C262" s="2" t="inlineStr">
        <is>
          <t xml:space="preserve">BIGINT NOT NULL AUTO_INCREMENT PRIMARY KEY</t>
        </is>
      </c>
      <c r="D262" s="2" t="inlineStr">
        <is>
          <t xml:space="preserve">database/schema.sql:502</t>
        </is>
      </c>
      <c r="E262" s="2" t="inlineStr">
        <is>
          <t xml:space="preserve">sessions, rooms, room-detail, roommate-profile, create-contract, move-in, cancel-contract, residents, join-hold, departure, handover, transfer, end-lease, review, data-safety</t>
        </is>
      </c>
    </row>
    <row r="263" ht="70" customHeight="1">
      <c r="A263" s="0" t="inlineStr">
        <is>
          <t xml:space="preserve">room_tenants</t>
        </is>
      </c>
      <c r="B263" s="0" t="inlineStr">
        <is>
          <t xml:space="preserve">contract_id</t>
        </is>
      </c>
      <c r="C263" s="0" t="inlineStr">
        <is>
          <t xml:space="preserve">BIGINT NOT NULL</t>
        </is>
      </c>
      <c r="D263" s="0" t="inlineStr">
        <is>
          <t xml:space="preserve">database/schema.sql:502</t>
        </is>
      </c>
      <c r="E263" s="0" t="inlineStr">
        <is>
          <t xml:space="preserve">sessions, rooms, room-detail, roommate-profile, create-contract, move-in, cancel-contract, residents, join-hold, departure, handover, transfer, end-lease, review, data-safety</t>
        </is>
      </c>
    </row>
    <row r="264" ht="70" customHeight="1">
      <c r="A264" s="2" t="inlineStr">
        <is>
          <t xml:space="preserve">room_tenants</t>
        </is>
      </c>
      <c r="B264" s="2" t="inlineStr">
        <is>
          <t xml:space="preserve">room_id</t>
        </is>
      </c>
      <c r="C264" s="2" t="inlineStr">
        <is>
          <t xml:space="preserve">BIGINT NOT NULL</t>
        </is>
      </c>
      <c r="D264" s="2" t="inlineStr">
        <is>
          <t xml:space="preserve">database/schema.sql:502</t>
        </is>
      </c>
      <c r="E264" s="2" t="inlineStr">
        <is>
          <t xml:space="preserve">sessions, rooms, room-detail, roommate-profile, create-contract, move-in, cancel-contract, residents, join-hold, departure, handover, transfer, end-lease, review, data-safety</t>
        </is>
      </c>
    </row>
    <row r="265" ht="70" customHeight="1">
      <c r="A265" s="0" t="inlineStr">
        <is>
          <t xml:space="preserve">room_tenants</t>
        </is>
      </c>
      <c r="B265" s="0" t="inlineStr">
        <is>
          <t xml:space="preserve">tenant_id</t>
        </is>
      </c>
      <c r="C265" s="0" t="inlineStr">
        <is>
          <t xml:space="preserve">BIGINT</t>
        </is>
      </c>
      <c r="D265" s="0" t="inlineStr">
        <is>
          <t xml:space="preserve">database/schema.sql:502</t>
        </is>
      </c>
      <c r="E265" s="0" t="inlineStr">
        <is>
          <t xml:space="preserve">sessions, rooms, room-detail, roommate-profile, create-contract, move-in, cancel-contract, residents, join-hold, departure, handover, transfer, end-lease, review, data-safety</t>
        </is>
      </c>
    </row>
    <row r="266" ht="70" customHeight="1">
      <c r="A266" s="2" t="inlineStr">
        <is>
          <t xml:space="preserve">room_tenants</t>
        </is>
      </c>
      <c r="B266" s="2" t="inlineStr">
        <is>
          <t xml:space="preserve">full_name</t>
        </is>
      </c>
      <c r="C266" s="2" t="inlineStr">
        <is>
          <t xml:space="preserve">VARCHAR(150) NOT NULL</t>
        </is>
      </c>
      <c r="D266" s="2" t="inlineStr">
        <is>
          <t xml:space="preserve">database/schema.sql:502</t>
        </is>
      </c>
      <c r="E266" s="2" t="inlineStr">
        <is>
          <t xml:space="preserve">sessions, rooms, room-detail, roommate-profile, create-contract, move-in, cancel-contract, residents, join-hold, departure, handover, transfer, end-lease, review, data-safety</t>
        </is>
      </c>
    </row>
    <row r="267" ht="70" customHeight="1">
      <c r="A267" s="0" t="inlineStr">
        <is>
          <t xml:space="preserve">room_tenants</t>
        </is>
      </c>
      <c r="B267" s="0" t="inlineStr">
        <is>
          <t xml:space="preserve">phone_number</t>
        </is>
      </c>
      <c r="C267" s="0" t="inlineStr">
        <is>
          <t xml:space="preserve">VARCHAR(20)</t>
        </is>
      </c>
      <c r="D267" s="0" t="inlineStr">
        <is>
          <t xml:space="preserve">database/schema.sql:502</t>
        </is>
      </c>
      <c r="E267" s="0" t="inlineStr">
        <is>
          <t xml:space="preserve">sessions, rooms, room-detail, roommate-profile, create-contract, move-in, cancel-contract, residents, join-hold, departure, handover, transfer, end-lease, review, data-safety</t>
        </is>
      </c>
    </row>
    <row r="268" ht="70" customHeight="1">
      <c r="A268" s="2" t="inlineStr">
        <is>
          <t xml:space="preserve">room_tenants</t>
        </is>
      </c>
      <c r="B268" s="2" t="inlineStr">
        <is>
          <t xml:space="preserve">identity_number</t>
        </is>
      </c>
      <c r="C268" s="2" t="inlineStr">
        <is>
          <t xml:space="preserve">VARCHAR(30)</t>
        </is>
      </c>
      <c r="D268" s="2" t="inlineStr">
        <is>
          <t xml:space="preserve">database/schema.sql:502</t>
        </is>
      </c>
      <c r="E268" s="2" t="inlineStr">
        <is>
          <t xml:space="preserve">sessions, rooms, room-detail, roommate-profile, create-contract, move-in, cancel-contract, residents, join-hold, departure, handover, transfer, end-lease, review, data-safety</t>
        </is>
      </c>
    </row>
    <row r="269" ht="70" customHeight="1">
      <c r="A269" s="0" t="inlineStr">
        <is>
          <t xml:space="preserve">room_tenants</t>
        </is>
      </c>
      <c r="B269" s="0" t="inlineStr">
        <is>
          <t xml:space="preserve">date_of_birth</t>
        </is>
      </c>
      <c r="C269" s="0" t="inlineStr">
        <is>
          <t xml:space="preserve">DATE</t>
        </is>
      </c>
      <c r="D269" s="0" t="inlineStr">
        <is>
          <t xml:space="preserve">database/schema.sql:502</t>
        </is>
      </c>
      <c r="E269" s="0" t="inlineStr">
        <is>
          <t xml:space="preserve">sessions, rooms, room-detail, roommate-profile, create-contract, move-in, cancel-contract, residents, join-hold, departure, handover, transfer, end-lease, review, data-safety</t>
        </is>
      </c>
    </row>
    <row r="270" ht="70" customHeight="1">
      <c r="A270" s="2" t="inlineStr">
        <is>
          <t xml:space="preserve">room_tenants</t>
        </is>
      </c>
      <c r="B270" s="2" t="inlineStr">
        <is>
          <t xml:space="preserve">gender</t>
        </is>
      </c>
      <c r="C270" s="2" t="inlineStr">
        <is>
          <t xml:space="preserve">VARCHAR(30)</t>
        </is>
      </c>
      <c r="D270" s="2" t="inlineStr">
        <is>
          <t xml:space="preserve">database/schema.sql:502</t>
        </is>
      </c>
      <c r="E270" s="2" t="inlineStr">
        <is>
          <t xml:space="preserve">sessions, rooms, room-detail, roommate-profile, create-contract, move-in, cancel-contract, residents, join-hold, departure, handover, transfer, end-lease, review, data-safety</t>
        </is>
      </c>
    </row>
    <row r="271" ht="70" customHeight="1">
      <c r="A271" s="0" t="inlineStr">
        <is>
          <t xml:space="preserve">room_tenants</t>
        </is>
      </c>
      <c r="B271" s="0" t="inlineStr">
        <is>
          <t xml:space="preserve">permanent_address</t>
        </is>
      </c>
      <c r="C271" s="0" t="inlineStr">
        <is>
          <t xml:space="preserve">VARCHAR(500)</t>
        </is>
      </c>
      <c r="D271" s="0" t="inlineStr">
        <is>
          <t xml:space="preserve">database/schema.sql:502</t>
        </is>
      </c>
      <c r="E271" s="0" t="inlineStr">
        <is>
          <t xml:space="preserve">sessions, rooms, room-detail, roommate-profile, create-contract, move-in, cancel-contract, residents, join-hold, departure, handover, transfer, end-lease, review, data-safety</t>
        </is>
      </c>
    </row>
    <row r="272" ht="70" customHeight="1">
      <c r="A272" s="2" t="inlineStr">
        <is>
          <t xml:space="preserve">room_tenants</t>
        </is>
      </c>
      <c r="B272" s="2" t="inlineStr">
        <is>
          <t xml:space="preserve">status</t>
        </is>
      </c>
      <c r="C272" s="2" t="inlineStr">
        <is>
          <t xml:space="preserve">VARCHAR(40) NOT NULL DEFAULT 'PLANNED'</t>
        </is>
      </c>
      <c r="D272" s="2" t="inlineStr">
        <is>
          <t xml:space="preserve">database/schema.sql:502</t>
        </is>
      </c>
      <c r="E272" s="2" t="inlineStr">
        <is>
          <t xml:space="preserve">sessions, rooms, room-detail, roommate-profile, create-contract, move-in, cancel-contract, residents, join-hold, departure, handover, transfer, end-lease, review, data-safety</t>
        </is>
      </c>
    </row>
    <row r="273" ht="70" customHeight="1">
      <c r="A273" s="0" t="inlineStr">
        <is>
          <t xml:space="preserve">room_tenants</t>
        </is>
      </c>
      <c r="B273" s="0" t="inlineStr">
        <is>
          <t xml:space="preserve">intake_source</t>
        </is>
      </c>
      <c r="C273" s="0" t="inlineStr">
        <is>
          <t xml:space="preserve">VARCHAR(40) NOT NULL</t>
        </is>
      </c>
      <c r="D273" s="0" t="inlineStr">
        <is>
          <t xml:space="preserve">database/schema.sql:502</t>
        </is>
      </c>
      <c r="E273" s="0" t="inlineStr">
        <is>
          <t xml:space="preserve">sessions, rooms, room-detail, roommate-profile, create-contract, move-in, cancel-contract, residents, join-hold, departure, handover, transfer, end-lease, review, data-safety</t>
        </is>
      </c>
    </row>
    <row r="274" ht="70" customHeight="1">
      <c r="A274" s="2" t="inlineStr">
        <is>
          <t xml:space="preserve">room_tenants</t>
        </is>
      </c>
      <c r="B274" s="2" t="inlineStr">
        <is>
          <t xml:space="preserve">join_request_id</t>
        </is>
      </c>
      <c r="C274" s="2" t="inlineStr">
        <is>
          <t xml:space="preserve">BIGINT</t>
        </is>
      </c>
      <c r="D274" s="2" t="inlineStr">
        <is>
          <t xml:space="preserve">database/schema.sql:502</t>
        </is>
      </c>
      <c r="E274" s="2" t="inlineStr">
        <is>
          <t xml:space="preserve">sessions, rooms, room-detail, roommate-profile, create-contract, move-in, cancel-contract, residents, join-hold, departure, handover, transfer, end-lease, review, data-safety</t>
        </is>
      </c>
    </row>
    <row r="275" ht="70" customHeight="1">
      <c r="A275" s="0" t="inlineStr">
        <is>
          <t xml:space="preserve">room_tenants</t>
        </is>
      </c>
      <c r="B275" s="0" t="inlineStr">
        <is>
          <t xml:space="preserve">planned_move_in_date</t>
        </is>
      </c>
      <c r="C275" s="0" t="inlineStr">
        <is>
          <t xml:space="preserve">DATE</t>
        </is>
      </c>
      <c r="D275" s="0" t="inlineStr">
        <is>
          <t xml:space="preserve">database/schema.sql:502</t>
        </is>
      </c>
      <c r="E275" s="0" t="inlineStr">
        <is>
          <t xml:space="preserve">sessions, rooms, room-detail, roommate-profile, create-contract, move-in, cancel-contract, residents, join-hold, departure, handover, transfer, end-lease, review, data-safety</t>
        </is>
      </c>
    </row>
    <row r="276" ht="70" customHeight="1">
      <c r="A276" s="2" t="inlineStr">
        <is>
          <t xml:space="preserve">room_tenants</t>
        </is>
      </c>
      <c r="B276" s="2" t="inlineStr">
        <is>
          <t xml:space="preserve">move_in_date</t>
        </is>
      </c>
      <c r="C276" s="2" t="inlineStr">
        <is>
          <t xml:space="preserve">DATE</t>
        </is>
      </c>
      <c r="D276" s="2" t="inlineStr">
        <is>
          <t xml:space="preserve">database/schema.sql:502</t>
        </is>
      </c>
      <c r="E276" s="2" t="inlineStr">
        <is>
          <t xml:space="preserve">sessions, rooms, room-detail, roommate-profile, create-contract, move-in, cancel-contract, residents, join-hold, departure, handover, transfer, end-lease, review, data-safety</t>
        </is>
      </c>
    </row>
    <row r="277" ht="70" customHeight="1">
      <c r="A277" s="0" t="inlineStr">
        <is>
          <t xml:space="preserve">room_tenants</t>
        </is>
      </c>
      <c r="B277" s="0" t="inlineStr">
        <is>
          <t xml:space="preserve">move_out_date</t>
        </is>
      </c>
      <c r="C277" s="0" t="inlineStr">
        <is>
          <t xml:space="preserve">DATE</t>
        </is>
      </c>
      <c r="D277" s="0" t="inlineStr">
        <is>
          <t xml:space="preserve">database/schema.sql:502</t>
        </is>
      </c>
      <c r="E277" s="0" t="inlineStr">
        <is>
          <t xml:space="preserve">sessions, rooms, room-detail, roommate-profile, create-contract, move-in, cancel-contract, residents, join-hold, departure, handover, transfer, end-lease, review, data-safety</t>
        </is>
      </c>
    </row>
    <row r="278" ht="70" customHeight="1">
      <c r="A278" s="2" t="inlineStr">
        <is>
          <t xml:space="preserve">room_tenants</t>
        </is>
      </c>
      <c r="B278" s="2" t="inlineStr">
        <is>
          <t xml:space="preserve">move_in_confirmed_by_id</t>
        </is>
      </c>
      <c r="C278" s="2" t="inlineStr">
        <is>
          <t xml:space="preserve">BIGINT</t>
        </is>
      </c>
      <c r="D278" s="2" t="inlineStr">
        <is>
          <t xml:space="preserve">database/schema.sql:502</t>
        </is>
      </c>
      <c r="E278" s="2" t="inlineStr">
        <is>
          <t xml:space="preserve">sessions, rooms, room-detail, roommate-profile, create-contract, move-in, cancel-contract, residents, join-hold, departure, handover, transfer, end-lease, review, data-safety</t>
        </is>
      </c>
    </row>
    <row r="279" ht="70" customHeight="1">
      <c r="A279" s="0" t="inlineStr">
        <is>
          <t xml:space="preserve">room_tenants</t>
        </is>
      </c>
      <c r="B279" s="0" t="inlineStr">
        <is>
          <t xml:space="preserve">move_out_confirmed_by_id</t>
        </is>
      </c>
      <c r="C279" s="0" t="inlineStr">
        <is>
          <t xml:space="preserve">BIGINT</t>
        </is>
      </c>
      <c r="D279" s="0" t="inlineStr">
        <is>
          <t xml:space="preserve">database/schema.sql:502</t>
        </is>
      </c>
      <c r="E279" s="0" t="inlineStr">
        <is>
          <t xml:space="preserve">sessions, rooms, room-detail, roommate-profile, create-contract, move-in, cancel-contract, residents, join-hold, departure, handover, transfer, end-lease, review, data-safety</t>
        </is>
      </c>
    </row>
    <row r="280" ht="70" customHeight="1">
      <c r="A280" s="2" t="inlineStr">
        <is>
          <t xml:space="preserve">room_tenants</t>
        </is>
      </c>
      <c r="B280" s="2" t="inlineStr">
        <is>
          <t xml:space="preserve">move_in_confirmed_at</t>
        </is>
      </c>
      <c r="C280" s="2" t="inlineStr">
        <is>
          <t xml:space="preserve">DATETIME(6)</t>
        </is>
      </c>
      <c r="D280" s="2" t="inlineStr">
        <is>
          <t xml:space="preserve">database/schema.sql:502</t>
        </is>
      </c>
      <c r="E280" s="2" t="inlineStr">
        <is>
          <t xml:space="preserve">sessions, rooms, room-detail, roommate-profile, create-contract, move-in, cancel-contract, residents, join-hold, departure, handover, transfer, end-lease, review, data-safety</t>
        </is>
      </c>
    </row>
    <row r="281" ht="70" customHeight="1">
      <c r="A281" s="0" t="inlineStr">
        <is>
          <t xml:space="preserve">room_tenants</t>
        </is>
      </c>
      <c r="B281" s="0" t="inlineStr">
        <is>
          <t xml:space="preserve">move_out_confirmed_at</t>
        </is>
      </c>
      <c r="C281" s="0" t="inlineStr">
        <is>
          <t xml:space="preserve">DATETIME(6)</t>
        </is>
      </c>
      <c r="D281" s="0" t="inlineStr">
        <is>
          <t xml:space="preserve">database/schema.sql:502</t>
        </is>
      </c>
      <c r="E281" s="0" t="inlineStr">
        <is>
          <t xml:space="preserve">sessions, rooms, room-detail, roommate-profile, create-contract, move-in, cancel-contract, residents, join-hold, departure, handover, transfer, end-lease, review, data-safety</t>
        </is>
      </c>
    </row>
    <row r="282" ht="70" customHeight="1">
      <c r="A282" s="2" t="inlineStr">
        <is>
          <t xml:space="preserve">room_tenants</t>
        </is>
      </c>
      <c r="B282" s="2" t="inlineStr">
        <is>
          <t xml:space="preserve">account_linked_at</t>
        </is>
      </c>
      <c r="C282" s="2" t="inlineStr">
        <is>
          <t xml:space="preserve">DATETIME(6)</t>
        </is>
      </c>
      <c r="D282" s="2" t="inlineStr">
        <is>
          <t xml:space="preserve">database/schema.sql:502</t>
        </is>
      </c>
      <c r="E282" s="2" t="inlineStr">
        <is>
          <t xml:space="preserve">sessions, rooms, room-detail, roommate-profile, create-contract, move-in, cancel-contract, residents, join-hold, departure, handover, transfer, end-lease, review, data-safety</t>
        </is>
      </c>
    </row>
    <row r="283" ht="70" customHeight="1">
      <c r="A283" s="0" t="inlineStr">
        <is>
          <t xml:space="preserve">room_tenants</t>
        </is>
      </c>
      <c r="B283" s="0" t="inlineStr">
        <is>
          <t xml:space="preserve">account_linked_by_id</t>
        </is>
      </c>
      <c r="C283" s="0" t="inlineStr">
        <is>
          <t xml:space="preserve">BIGINT</t>
        </is>
      </c>
      <c r="D283" s="0" t="inlineStr">
        <is>
          <t xml:space="preserve">database/schema.sql:502</t>
        </is>
      </c>
      <c r="E283" s="0" t="inlineStr">
        <is>
          <t xml:space="preserve">sessions, rooms, room-detail, roommate-profile, create-contract, move-in, cancel-contract, residents, join-hold, departure, handover, transfer, end-lease, review, data-safety</t>
        </is>
      </c>
    </row>
    <row r="284" ht="70" customHeight="1">
      <c r="A284" s="2" t="inlineStr">
        <is>
          <t xml:space="preserve">room_tenants</t>
        </is>
      </c>
      <c r="B284" s="2" t="inlineStr">
        <is>
          <t xml:space="preserve">cancellation_reason</t>
        </is>
      </c>
      <c r="C284" s="2" t="inlineStr">
        <is>
          <t xml:space="preserve">VARCHAR(1000)</t>
        </is>
      </c>
      <c r="D284" s="2" t="inlineStr">
        <is>
          <t xml:space="preserve">database/schema.sql:502</t>
        </is>
      </c>
      <c r="E284" s="2" t="inlineStr">
        <is>
          <t xml:space="preserve">sessions, rooms, room-detail, roommate-profile, create-contract, move-in, cancel-contract, residents, join-hold, departure, handover, transfer, end-lease, review, data-safety</t>
        </is>
      </c>
    </row>
    <row r="285" ht="70" customHeight="1">
      <c r="A285" s="0" t="inlineStr">
        <is>
          <t xml:space="preserve">room_tenants</t>
        </is>
      </c>
      <c r="B285" s="0" t="inlineStr">
        <is>
          <t xml:space="preserve">created_at</t>
        </is>
      </c>
      <c r="C285" s="0" t="inlineStr">
        <is>
          <t xml:space="preserve">DATETIME(6) NOT NULL DEFAULT CURRENT_TIMESTAMP(6)</t>
        </is>
      </c>
      <c r="D285" s="0" t="inlineStr">
        <is>
          <t xml:space="preserve">database/schema.sql:502</t>
        </is>
      </c>
      <c r="E285" s="0" t="inlineStr">
        <is>
          <t xml:space="preserve">sessions, rooms, room-detail, roommate-profile, create-contract, move-in, cancel-contract, residents, join-hold, departure, handover, transfer, end-lease, review, data-safety</t>
        </is>
      </c>
    </row>
    <row r="286" ht="70" customHeight="1">
      <c r="A286" s="2" t="inlineStr">
        <is>
          <t xml:space="preserve">room_tenants</t>
        </is>
      </c>
      <c r="B286" s="2" t="inlineStr">
        <is>
          <t xml:space="preserve">updated_at</t>
        </is>
      </c>
      <c r="C286" s="2" t="inlineStr">
        <is>
          <t xml:space="preserve">DATETIME(6) NOT NULL DEFAULT CURRENT_TIMESTAMP(6)</t>
        </is>
      </c>
      <c r="D286" s="2" t="inlineStr">
        <is>
          <t xml:space="preserve">database/schema.sql:502</t>
        </is>
      </c>
      <c r="E286" s="2" t="inlineStr">
        <is>
          <t xml:space="preserve">sessions, rooms, room-detail, roommate-profile, create-contract, move-in, cancel-contract, residents, join-hold, departure, handover, transfer, end-lease, review, data-safety</t>
        </is>
      </c>
    </row>
    <row r="287" ht="70" customHeight="1">
      <c r="A287" s="0" t="inlineStr">
        <is>
          <t xml:space="preserve">room_tenants</t>
        </is>
      </c>
      <c r="B287" s="0" t="inlineStr">
        <is>
          <t xml:space="preserve">active_tenant_id</t>
        </is>
      </c>
      <c r="C287" s="0" t="inlineStr">
        <is>
          <t xml:space="preserve">BIGINT GENERATED ALWAYS AS (CASE WHEN status = 'ACTIVE' THEN tenant_id ELSE NULL END) STORED</t>
        </is>
      </c>
      <c r="D287" s="0" t="inlineStr">
        <is>
          <t xml:space="preserve">database/schema.sql:502</t>
        </is>
      </c>
      <c r="E287" s="0" t="inlineStr">
        <is>
          <t xml:space="preserve">sessions, rooms, room-detail, roommate-profile, create-contract, move-in, cancel-contract, residents, join-hold, departure, handover, transfer, end-lease, review, data-safety</t>
        </is>
      </c>
    </row>
    <row r="288" ht="70" customHeight="1">
      <c r="A288" s="2" t="inlineStr">
        <is>
          <t xml:space="preserve">room_tenants</t>
        </is>
      </c>
      <c r="B288" s="2" t="inlineStr">
        <is>
          <t xml:space="preserve">open_tenant_id</t>
        </is>
      </c>
      <c r="C288" s="2" t="inlineStr">
        <is>
          <t xml:space="preserve">BIGINT GENERATED ALWAYS AS (CASE WHEN status IN ('PLANNED','ACTIVE') THEN tenant_id ELSE NULL END) STORED</t>
        </is>
      </c>
      <c r="D288" s="2" t="inlineStr">
        <is>
          <t xml:space="preserve">database/schema.sql:502</t>
        </is>
      </c>
      <c r="E288" s="2" t="inlineStr">
        <is>
          <t xml:space="preserve">sessions, rooms, room-detail, roommate-profile, create-contract, move-in, cancel-contract, residents, join-hold, departure, handover, transfer, end-lease, review, data-safety</t>
        </is>
      </c>
    </row>
    <row r="289" ht="70" customHeight="1">
      <c r="A289" s="0" t="inlineStr">
        <is>
          <t xml:space="preserve">contract_revisions</t>
        </is>
      </c>
      <c r="B289" s="0" t="inlineStr">
        <is>
          <t xml:space="preserve">id</t>
        </is>
      </c>
      <c r="C289" s="0" t="inlineStr">
        <is>
          <t xml:space="preserve">BIGINT NOT NULL AUTO_INCREMENT PRIMARY KEY</t>
        </is>
      </c>
      <c r="D289" s="0" t="inlineStr">
        <is>
          <t xml:space="preserve">database/schema.sql:550</t>
        </is>
      </c>
      <c r="E289" s="0" t="inlineStr">
        <is>
          <t xml:space="preserve">create-contract, contract-revision, cancel-contract, change-request, renewal, templates</t>
        </is>
      </c>
    </row>
    <row r="290" ht="70" customHeight="1">
      <c r="A290" s="2" t="inlineStr">
        <is>
          <t xml:space="preserve">contract_revisions</t>
        </is>
      </c>
      <c r="B290" s="2" t="inlineStr">
        <is>
          <t xml:space="preserve">contract_id</t>
        </is>
      </c>
      <c r="C290" s="2" t="inlineStr">
        <is>
          <t xml:space="preserve">BIGINT NOT NULL</t>
        </is>
      </c>
      <c r="D290" s="2" t="inlineStr">
        <is>
          <t xml:space="preserve">database/schema.sql:550</t>
        </is>
      </c>
      <c r="E290" s="2" t="inlineStr">
        <is>
          <t xml:space="preserve">create-contract, contract-revision, cancel-contract, change-request, renewal, templates</t>
        </is>
      </c>
    </row>
    <row r="291" ht="70" customHeight="1">
      <c r="A291" s="0" t="inlineStr">
        <is>
          <t xml:space="preserve">contract_revisions</t>
        </is>
      </c>
      <c r="B291" s="0" t="inlineStr">
        <is>
          <t xml:space="preserve">revision_number</t>
        </is>
      </c>
      <c r="C291" s="0" t="inlineStr">
        <is>
          <t xml:space="preserve">INT NOT NULL</t>
        </is>
      </c>
      <c r="D291" s="0" t="inlineStr">
        <is>
          <t xml:space="preserve">database/schema.sql:550</t>
        </is>
      </c>
      <c r="E291" s="0" t="inlineStr">
        <is>
          <t xml:space="preserve">create-contract, contract-revision, cancel-contract, change-request, renewal, templates</t>
        </is>
      </c>
    </row>
    <row r="292" ht="70" customHeight="1">
      <c r="A292" s="2" t="inlineStr">
        <is>
          <t xml:space="preserve">contract_revisions</t>
        </is>
      </c>
      <c r="B292" s="2" t="inlineStr">
        <is>
          <t xml:space="preserve">template_id</t>
        </is>
      </c>
      <c r="C292" s="2" t="inlineStr">
        <is>
          <t xml:space="preserve">BIGINT</t>
        </is>
      </c>
      <c r="D292" s="2" t="inlineStr">
        <is>
          <t xml:space="preserve">database/schema.sql:550</t>
        </is>
      </c>
      <c r="E292" s="2" t="inlineStr">
        <is>
          <t xml:space="preserve">create-contract, contract-revision, cancel-contract, change-request, renewal, templates</t>
        </is>
      </c>
    </row>
    <row r="293" ht="70" customHeight="1">
      <c r="A293" s="0" t="inlineStr">
        <is>
          <t xml:space="preserve">contract_revisions</t>
        </is>
      </c>
      <c r="B293" s="0" t="inlineStr">
        <is>
          <t xml:space="preserve">created_by_id</t>
        </is>
      </c>
      <c r="C293" s="0" t="inlineStr">
        <is>
          <t xml:space="preserve">BIGINT NOT NULL</t>
        </is>
      </c>
      <c r="D293" s="0" t="inlineStr">
        <is>
          <t xml:space="preserve">database/schema.sql:550</t>
        </is>
      </c>
      <c r="E293" s="0" t="inlineStr">
        <is>
          <t xml:space="preserve">create-contract, contract-revision, cancel-contract, change-request, renewal, templates</t>
        </is>
      </c>
    </row>
    <row r="294" ht="70" customHeight="1">
      <c r="A294" s="2" t="inlineStr">
        <is>
          <t xml:space="preserve">contract_revisions</t>
        </is>
      </c>
      <c r="B294" s="2" t="inlineStr">
        <is>
          <t xml:space="preserve">kind</t>
        </is>
      </c>
      <c r="C294" s="2" t="inlineStr">
        <is>
          <t xml:space="preserve">VARCHAR(40) NOT NULL</t>
        </is>
      </c>
      <c r="D294" s="2" t="inlineStr">
        <is>
          <t xml:space="preserve">database/schema.sql:550</t>
        </is>
      </c>
      <c r="E294" s="2" t="inlineStr">
        <is>
          <t xml:space="preserve">create-contract, contract-revision, cancel-contract, change-request, renewal, templates</t>
        </is>
      </c>
    </row>
    <row r="295" ht="70" customHeight="1">
      <c r="A295" s="0" t="inlineStr">
        <is>
          <t xml:space="preserve">contract_revisions</t>
        </is>
      </c>
      <c r="B295" s="0" t="inlineStr">
        <is>
          <t xml:space="preserve">status</t>
        </is>
      </c>
      <c r="C295" s="0" t="inlineStr">
        <is>
          <t xml:space="preserve">VARCHAR(40) NOT NULL DEFAULT 'DRAFT'</t>
        </is>
      </c>
      <c r="D295" s="0" t="inlineStr">
        <is>
          <t xml:space="preserve">database/schema.sql:550</t>
        </is>
      </c>
      <c r="E295" s="0" t="inlineStr">
        <is>
          <t xml:space="preserve">create-contract, contract-revision, cancel-contract, change-request, renewal, templates</t>
        </is>
      </c>
    </row>
    <row r="296" ht="70" customHeight="1">
      <c r="A296" s="2" t="inlineStr">
        <is>
          <t xml:space="preserve">contract_revisions</t>
        </is>
      </c>
      <c r="B296" s="2" t="inlineStr">
        <is>
          <t xml:space="preserve">start_date</t>
        </is>
      </c>
      <c r="C296" s="2" t="inlineStr">
        <is>
          <t xml:space="preserve">DATE NOT NULL</t>
        </is>
      </c>
      <c r="D296" s="2" t="inlineStr">
        <is>
          <t xml:space="preserve">database/schema.sql:550</t>
        </is>
      </c>
      <c r="E296" s="2" t="inlineStr">
        <is>
          <t xml:space="preserve">create-contract, contract-revision, cancel-contract, change-request, renewal, templates</t>
        </is>
      </c>
    </row>
    <row r="297" ht="70" customHeight="1">
      <c r="A297" s="0" t="inlineStr">
        <is>
          <t xml:space="preserve">contract_revisions</t>
        </is>
      </c>
      <c r="B297" s="0" t="inlineStr">
        <is>
          <t xml:space="preserve">end_date</t>
        </is>
      </c>
      <c r="C297" s="0" t="inlineStr">
        <is>
          <t xml:space="preserve">DATE NOT NULL</t>
        </is>
      </c>
      <c r="D297" s="0" t="inlineStr">
        <is>
          <t xml:space="preserve">database/schema.sql:550</t>
        </is>
      </c>
      <c r="E297" s="0" t="inlineStr">
        <is>
          <t xml:space="preserve">create-contract, contract-revision, cancel-contract, change-request, renewal, templates</t>
        </is>
      </c>
    </row>
    <row r="298" ht="70" customHeight="1">
      <c r="A298" s="2" t="inlineStr">
        <is>
          <t xml:space="preserve">contract_revisions</t>
        </is>
      </c>
      <c r="B298" s="2" t="inlineStr">
        <is>
          <t xml:space="preserve">effective_from</t>
        </is>
      </c>
      <c r="C298" s="2" t="inlineStr">
        <is>
          <t xml:space="preserve">DATE NOT NULL</t>
        </is>
      </c>
      <c r="D298" s="2" t="inlineStr">
        <is>
          <t xml:space="preserve">database/schema.sql:550</t>
        </is>
      </c>
      <c r="E298" s="2" t="inlineStr">
        <is>
          <t xml:space="preserve">create-contract, contract-revision, cancel-contract, change-request, renewal, templates</t>
        </is>
      </c>
    </row>
    <row r="299" ht="70" customHeight="1">
      <c r="A299" s="0" t="inlineStr">
        <is>
          <t xml:space="preserve">contract_revisions</t>
        </is>
      </c>
      <c r="B299" s="0" t="inlineStr">
        <is>
          <t xml:space="preserve">rent_amount</t>
        </is>
      </c>
      <c r="C299" s="0" t="inlineStr">
        <is>
          <t xml:space="preserve">DECIMAL(15,2) NOT NULL DEFAULT 0</t>
        </is>
      </c>
      <c r="D299" s="0" t="inlineStr">
        <is>
          <t xml:space="preserve">database/schema.sql:550</t>
        </is>
      </c>
      <c r="E299" s="0" t="inlineStr">
        <is>
          <t xml:space="preserve">create-contract, contract-revision, cancel-contract, change-request, renewal, templates</t>
        </is>
      </c>
    </row>
    <row r="300" ht="70" customHeight="1">
      <c r="A300" s="2" t="inlineStr">
        <is>
          <t xml:space="preserve">contract_revisions</t>
        </is>
      </c>
      <c r="B300" s="2" t="inlineStr">
        <is>
          <t xml:space="preserve">deposit_amount</t>
        </is>
      </c>
      <c r="C300" s="2" t="inlineStr">
        <is>
          <t xml:space="preserve">DECIMAL(15,2) NOT NULL DEFAULT 0</t>
        </is>
      </c>
      <c r="D300" s="2" t="inlineStr">
        <is>
          <t xml:space="preserve">database/schema.sql:550</t>
        </is>
      </c>
      <c r="E300" s="2" t="inlineStr">
        <is>
          <t xml:space="preserve">create-contract, contract-revision, cancel-contract, change-request, renewal, templates</t>
        </is>
      </c>
    </row>
    <row r="301" ht="70" customHeight="1">
      <c r="A301" s="0" t="inlineStr">
        <is>
          <t xml:space="preserve">contract_revisions</t>
        </is>
      </c>
      <c r="B301" s="0" t="inlineStr">
        <is>
          <t xml:space="preserve">content</t>
        </is>
      </c>
      <c r="C301" s="0" t="inlineStr">
        <is>
          <t xml:space="preserve">LONGTEXT NOT NULL</t>
        </is>
      </c>
      <c r="D301" s="0" t="inlineStr">
        <is>
          <t xml:space="preserve">database/schema.sql:550</t>
        </is>
      </c>
      <c r="E301" s="0" t="inlineStr">
        <is>
          <t xml:space="preserve">create-contract, contract-revision, cancel-contract, change-request, renewal, templates</t>
        </is>
      </c>
    </row>
    <row r="302" ht="70" customHeight="1">
      <c r="A302" s="2" t="inlineStr">
        <is>
          <t xml:space="preserve">contract_revisions</t>
        </is>
      </c>
      <c r="B302" s="2" t="inlineStr">
        <is>
          <t xml:space="preserve">members_snapshot</t>
        </is>
      </c>
      <c r="C302" s="2" t="inlineStr">
        <is>
          <t xml:space="preserve">JSON NOT NULL</t>
        </is>
      </c>
      <c r="D302" s="2" t="inlineStr">
        <is>
          <t xml:space="preserve">database/schema.sql:550</t>
        </is>
      </c>
      <c r="E302" s="2" t="inlineStr">
        <is>
          <t xml:space="preserve">create-contract, contract-revision, cancel-contract, change-request, renewal, templates</t>
        </is>
      </c>
    </row>
    <row r="303" ht="70" customHeight="1">
      <c r="A303" s="0" t="inlineStr">
        <is>
          <t xml:space="preserve">contract_revisions</t>
        </is>
      </c>
      <c r="B303" s="0" t="inlineStr">
        <is>
          <t xml:space="preserve">service_terms_snapshot</t>
        </is>
      </c>
      <c r="C303" s="0" t="inlineStr">
        <is>
          <t xml:space="preserve">JSON</t>
        </is>
      </c>
      <c r="D303" s="0" t="inlineStr">
        <is>
          <t xml:space="preserve">database/schema.sql:550</t>
        </is>
      </c>
      <c r="E303" s="0" t="inlineStr">
        <is>
          <t xml:space="preserve">create-contract, contract-revision, cancel-contract, change-request, renewal, templates</t>
        </is>
      </c>
    </row>
    <row r="304" ht="70" customHeight="1">
      <c r="A304" s="2" t="inlineStr">
        <is>
          <t xml:space="preserve">contract_revisions</t>
        </is>
      </c>
      <c r="B304" s="2" t="inlineStr">
        <is>
          <t xml:space="preserve">document_file_id</t>
        </is>
      </c>
      <c r="C304" s="2" t="inlineStr">
        <is>
          <t xml:space="preserve">BIGINT</t>
        </is>
      </c>
      <c r="D304" s="2" t="inlineStr">
        <is>
          <t xml:space="preserve">database/schema.sql:550</t>
        </is>
      </c>
      <c r="E304" s="2" t="inlineStr">
        <is>
          <t xml:space="preserve">create-contract, contract-revision, cancel-contract, change-request, renewal, templates</t>
        </is>
      </c>
    </row>
    <row r="305" ht="70" customHeight="1">
      <c r="A305" s="0" t="inlineStr">
        <is>
          <t xml:space="preserve">contract_revisions</t>
        </is>
      </c>
      <c r="B305" s="0" t="inlineStr">
        <is>
          <t xml:space="preserve">representative_room_tenant_id</t>
        </is>
      </c>
      <c r="C305" s="0" t="inlineStr">
        <is>
          <t xml:space="preserve">BIGINT NOT NULL</t>
        </is>
      </c>
      <c r="D305" s="0" t="inlineStr">
        <is>
          <t xml:space="preserve">database/schema.sql:550</t>
        </is>
      </c>
      <c r="E305" s="0" t="inlineStr">
        <is>
          <t xml:space="preserve">create-contract, contract-revision, cancel-contract, change-request, renewal, templates</t>
        </is>
      </c>
    </row>
    <row r="306" ht="70" customHeight="1">
      <c r="A306" s="2" t="inlineStr">
        <is>
          <t xml:space="preserve">contract_revisions</t>
        </is>
      </c>
      <c r="B306" s="2" t="inlineStr">
        <is>
          <t xml:space="preserve">landlord_confirmed_by_id</t>
        </is>
      </c>
      <c r="C306" s="2" t="inlineStr">
        <is>
          <t xml:space="preserve">BIGINT</t>
        </is>
      </c>
      <c r="D306" s="2" t="inlineStr">
        <is>
          <t xml:space="preserve">database/schema.sql:550</t>
        </is>
      </c>
      <c r="E306" s="2" t="inlineStr">
        <is>
          <t xml:space="preserve">create-contract, contract-revision, cancel-contract, change-request, renewal, templates</t>
        </is>
      </c>
    </row>
    <row r="307" ht="70" customHeight="1">
      <c r="A307" s="0" t="inlineStr">
        <is>
          <t xml:space="preserve">contract_revisions</t>
        </is>
      </c>
      <c r="B307" s="0" t="inlineStr">
        <is>
          <t xml:space="preserve">tenant_confirmed_by_id</t>
        </is>
      </c>
      <c r="C307" s="0" t="inlineStr">
        <is>
          <t xml:space="preserve">BIGINT</t>
        </is>
      </c>
      <c r="D307" s="0" t="inlineStr">
        <is>
          <t xml:space="preserve">database/schema.sql:550</t>
        </is>
      </c>
      <c r="E307" s="0" t="inlineStr">
        <is>
          <t xml:space="preserve">create-contract, contract-revision, cancel-contract, change-request, renewal, templates</t>
        </is>
      </c>
    </row>
    <row r="308" ht="70" customHeight="1">
      <c r="A308" s="2" t="inlineStr">
        <is>
          <t xml:space="preserve">contract_revisions</t>
        </is>
      </c>
      <c r="B308" s="2" t="inlineStr">
        <is>
          <t xml:space="preserve">landlord_confirmed_at</t>
        </is>
      </c>
      <c r="C308" s="2" t="inlineStr">
        <is>
          <t xml:space="preserve">DATETIME(6)</t>
        </is>
      </c>
      <c r="D308" s="2" t="inlineStr">
        <is>
          <t xml:space="preserve">database/schema.sql:550</t>
        </is>
      </c>
      <c r="E308" s="2" t="inlineStr">
        <is>
          <t xml:space="preserve">create-contract, contract-revision, cancel-contract, change-request, renewal, templates</t>
        </is>
      </c>
    </row>
    <row r="309" ht="70" customHeight="1">
      <c r="A309" s="0" t="inlineStr">
        <is>
          <t xml:space="preserve">contract_revisions</t>
        </is>
      </c>
      <c r="B309" s="0" t="inlineStr">
        <is>
          <t xml:space="preserve">tenant_confirmed_at</t>
        </is>
      </c>
      <c r="C309" s="0" t="inlineStr">
        <is>
          <t xml:space="preserve">DATETIME(6)</t>
        </is>
      </c>
      <c r="D309" s="0" t="inlineStr">
        <is>
          <t xml:space="preserve">database/schema.sql:550</t>
        </is>
      </c>
      <c r="E309" s="0" t="inlineStr">
        <is>
          <t xml:space="preserve">create-contract, contract-revision, cancel-contract, change-request, renewal, templates</t>
        </is>
      </c>
    </row>
    <row r="310" ht="70" customHeight="1">
      <c r="A310" s="2" t="inlineStr">
        <is>
          <t xml:space="preserve">contract_revisions</t>
        </is>
      </c>
      <c r="B310" s="2" t="inlineStr">
        <is>
          <t xml:space="preserve">sent_at</t>
        </is>
      </c>
      <c r="C310" s="2" t="inlineStr">
        <is>
          <t xml:space="preserve">DATETIME(6)</t>
        </is>
      </c>
      <c r="D310" s="2" t="inlineStr">
        <is>
          <t xml:space="preserve">database/schema.sql:550</t>
        </is>
      </c>
      <c r="E310" s="2" t="inlineStr">
        <is>
          <t xml:space="preserve">create-contract, contract-revision, cancel-contract, change-request, renewal, templates</t>
        </is>
      </c>
    </row>
    <row r="311" ht="70" customHeight="1">
      <c r="A311" s="0" t="inlineStr">
        <is>
          <t xml:space="preserve">contract_revisions</t>
        </is>
      </c>
      <c r="B311" s="0" t="inlineStr">
        <is>
          <t xml:space="preserve">applied_at</t>
        </is>
      </c>
      <c r="C311" s="0" t="inlineStr">
        <is>
          <t xml:space="preserve">DATETIME(6)</t>
        </is>
      </c>
      <c r="D311" s="0" t="inlineStr">
        <is>
          <t xml:space="preserve">database/schema.sql:550</t>
        </is>
      </c>
      <c r="E311" s="0" t="inlineStr">
        <is>
          <t xml:space="preserve">create-contract, contract-revision, cancel-contract, change-request, renewal, templates</t>
        </is>
      </c>
    </row>
    <row r="312" ht="70" customHeight="1">
      <c r="A312" s="2" t="inlineStr">
        <is>
          <t xml:space="preserve">contract_revisions</t>
        </is>
      </c>
      <c r="B312" s="2" t="inlineStr">
        <is>
          <t xml:space="preserve">tenant_feedback</t>
        </is>
      </c>
      <c r="C312" s="2" t="inlineStr">
        <is>
          <t xml:space="preserve">VARCHAR(2000)</t>
        </is>
      </c>
      <c r="D312" s="2" t="inlineStr">
        <is>
          <t xml:space="preserve">database/schema.sql:550</t>
        </is>
      </c>
      <c r="E312" s="2" t="inlineStr">
        <is>
          <t xml:space="preserve">create-contract, contract-revision, cancel-contract, change-request, renewal, templates</t>
        </is>
      </c>
    </row>
    <row r="313" ht="70" customHeight="1">
      <c r="A313" s="0" t="inlineStr">
        <is>
          <t xml:space="preserve">contract_revisions</t>
        </is>
      </c>
      <c r="B313" s="0" t="inlineStr">
        <is>
          <t xml:space="preserve">created_at</t>
        </is>
      </c>
      <c r="C313" s="0" t="inlineStr">
        <is>
          <t xml:space="preserve">DATETIME(6) NOT NULL DEFAULT CURRENT_TIMESTAMP(6)</t>
        </is>
      </c>
      <c r="D313" s="0" t="inlineStr">
        <is>
          <t xml:space="preserve">database/schema.sql:550</t>
        </is>
      </c>
      <c r="E313" s="0" t="inlineStr">
        <is>
          <t xml:space="preserve">create-contract, contract-revision, cancel-contract, change-request, renewal, templates</t>
        </is>
      </c>
    </row>
    <row r="314" ht="70" customHeight="1">
      <c r="A314" s="2" t="inlineStr">
        <is>
          <t xml:space="preserve">contract_revisions</t>
        </is>
      </c>
      <c r="B314" s="2" t="inlineStr">
        <is>
          <t xml:space="preserve">updated_at</t>
        </is>
      </c>
      <c r="C314" s="2" t="inlineStr">
        <is>
          <t xml:space="preserve">DATETIME(6) NOT NULL DEFAULT CURRENT_TIMESTAMP(6)</t>
        </is>
      </c>
      <c r="D314" s="2" t="inlineStr">
        <is>
          <t xml:space="preserve">database/schema.sql:550</t>
        </is>
      </c>
      <c r="E314" s="2" t="inlineStr">
        <is>
          <t xml:space="preserve">create-contract, contract-revision, cancel-contract, change-request, renewal, templates</t>
        </is>
      </c>
    </row>
    <row r="315" ht="70" customHeight="1">
      <c r="A315" s="0" t="inlineStr">
        <is>
          <t xml:space="preserve">contract_change_requests</t>
        </is>
      </c>
      <c r="B315" s="0" t="inlineStr">
        <is>
          <t xml:space="preserve">id</t>
        </is>
      </c>
      <c r="C315" s="0" t="inlineStr">
        <is>
          <t xml:space="preserve">BIGINT NOT NULL AUTO_INCREMENT PRIMARY KEY</t>
        </is>
      </c>
      <c r="D315" s="0" t="inlineStr">
        <is>
          <t xml:space="preserve">database/schema.sql:592</t>
        </is>
      </c>
      <c r="E315" s="0" t="inlineStr">
        <is>
          <t xml:space="preserve">change-request, renewal, transfer, end-lease</t>
        </is>
      </c>
    </row>
    <row r="316" ht="70" customHeight="1">
      <c r="A316" s="2" t="inlineStr">
        <is>
          <t xml:space="preserve">contract_change_requests</t>
        </is>
      </c>
      <c r="B316" s="2" t="inlineStr">
        <is>
          <t xml:space="preserve">contract_id</t>
        </is>
      </c>
      <c r="C316" s="2" t="inlineStr">
        <is>
          <t xml:space="preserve">BIGINT NOT NULL</t>
        </is>
      </c>
      <c r="D316" s="2" t="inlineStr">
        <is>
          <t xml:space="preserve">database/schema.sql:592</t>
        </is>
      </c>
      <c r="E316" s="2" t="inlineStr">
        <is>
          <t xml:space="preserve">change-request, renewal, transfer, end-lease</t>
        </is>
      </c>
    </row>
    <row r="317" ht="70" customHeight="1">
      <c r="A317" s="0" t="inlineStr">
        <is>
          <t xml:space="preserve">contract_change_requests</t>
        </is>
      </c>
      <c r="B317" s="0" t="inlineStr">
        <is>
          <t xml:space="preserve">requested_by_id</t>
        </is>
      </c>
      <c r="C317" s="0" t="inlineStr">
        <is>
          <t xml:space="preserve">BIGINT NOT NULL</t>
        </is>
      </c>
      <c r="D317" s="0" t="inlineStr">
        <is>
          <t xml:space="preserve">database/schema.sql:592</t>
        </is>
      </c>
      <c r="E317" s="0" t="inlineStr">
        <is>
          <t xml:space="preserve">change-request, renewal, transfer, end-lease</t>
        </is>
      </c>
    </row>
    <row r="318" ht="70" customHeight="1">
      <c r="A318" s="2" t="inlineStr">
        <is>
          <t xml:space="preserve">contract_change_requests</t>
        </is>
      </c>
      <c r="B318" s="2" t="inlineStr">
        <is>
          <t xml:space="preserve">representative_room_tenant_id</t>
        </is>
      </c>
      <c r="C318" s="2" t="inlineStr">
        <is>
          <t xml:space="preserve">BIGINT NOT NULL</t>
        </is>
      </c>
      <c r="D318" s="2" t="inlineStr">
        <is>
          <t xml:space="preserve">database/schema.sql:592</t>
        </is>
      </c>
      <c r="E318" s="2" t="inlineStr">
        <is>
          <t xml:space="preserve">change-request, renewal, transfer, end-lease</t>
        </is>
      </c>
    </row>
    <row r="319" ht="70" customHeight="1">
      <c r="A319" s="0" t="inlineStr">
        <is>
          <t xml:space="preserve">contract_change_requests</t>
        </is>
      </c>
      <c r="B319" s="0" t="inlineStr">
        <is>
          <t xml:space="preserve">base_revision_id</t>
        </is>
      </c>
      <c r="C319" s="0" t="inlineStr">
        <is>
          <t xml:space="preserve">BIGINT NOT NULL</t>
        </is>
      </c>
      <c r="D319" s="0" t="inlineStr">
        <is>
          <t xml:space="preserve">database/schema.sql:592</t>
        </is>
      </c>
      <c r="E319" s="0" t="inlineStr">
        <is>
          <t xml:space="preserve">change-request, renewal, transfer, end-lease</t>
        </is>
      </c>
    </row>
    <row r="320" ht="70" customHeight="1">
      <c r="A320" s="2" t="inlineStr">
        <is>
          <t xml:space="preserve">contract_change_requests</t>
        </is>
      </c>
      <c r="B320" s="2" t="inlineStr">
        <is>
          <t xml:space="preserve">proposed_revision_id</t>
        </is>
      </c>
      <c r="C320" s="2" t="inlineStr">
        <is>
          <t xml:space="preserve">BIGINT</t>
        </is>
      </c>
      <c r="D320" s="2" t="inlineStr">
        <is>
          <t xml:space="preserve">database/schema.sql:592</t>
        </is>
      </c>
      <c r="E320" s="2" t="inlineStr">
        <is>
          <t xml:space="preserve">change-request, renewal, transfer, end-lease</t>
        </is>
      </c>
    </row>
    <row r="321" ht="70" customHeight="1">
      <c r="A321" s="0" t="inlineStr">
        <is>
          <t xml:space="preserve">contract_change_requests</t>
        </is>
      </c>
      <c r="B321" s="0" t="inlineStr">
        <is>
          <t xml:space="preserve">target_room_id</t>
        </is>
      </c>
      <c r="C321" s="0" t="inlineStr">
        <is>
          <t xml:space="preserve">BIGINT</t>
        </is>
      </c>
      <c r="D321" s="0" t="inlineStr">
        <is>
          <t xml:space="preserve">database/schema.sql:592</t>
        </is>
      </c>
      <c r="E321" s="0" t="inlineStr">
        <is>
          <t xml:space="preserve">change-request, renewal, transfer, end-lease</t>
        </is>
      </c>
    </row>
    <row r="322" ht="70" customHeight="1">
      <c r="A322" s="2" t="inlineStr">
        <is>
          <t xml:space="preserve">contract_change_requests</t>
        </is>
      </c>
      <c r="B322" s="2" t="inlineStr">
        <is>
          <t xml:space="preserve">result_contract_id</t>
        </is>
      </c>
      <c r="C322" s="2" t="inlineStr">
        <is>
          <t xml:space="preserve">BIGINT</t>
        </is>
      </c>
      <c r="D322" s="2" t="inlineStr">
        <is>
          <t xml:space="preserve">database/schema.sql:592</t>
        </is>
      </c>
      <c r="E322" s="2" t="inlineStr">
        <is>
          <t xml:space="preserve">change-request, renewal, transfer, end-lease</t>
        </is>
      </c>
    </row>
    <row r="323" ht="70" customHeight="1">
      <c r="A323" s="0" t="inlineStr">
        <is>
          <t xml:space="preserve">contract_change_requests</t>
        </is>
      </c>
      <c r="B323" s="0" t="inlineStr">
        <is>
          <t xml:space="preserve">type</t>
        </is>
      </c>
      <c r="C323" s="0" t="inlineStr">
        <is>
          <t xml:space="preserve">VARCHAR(40) NOT NULL</t>
        </is>
      </c>
      <c r="D323" s="0" t="inlineStr">
        <is>
          <t xml:space="preserve">database/schema.sql:592</t>
        </is>
      </c>
      <c r="E323" s="0" t="inlineStr">
        <is>
          <t xml:space="preserve">change-request, renewal, transfer, end-lease</t>
        </is>
      </c>
    </row>
    <row r="324" ht="70" customHeight="1">
      <c r="A324" s="2" t="inlineStr">
        <is>
          <t xml:space="preserve">contract_change_requests</t>
        </is>
      </c>
      <c r="B324" s="2" t="inlineStr">
        <is>
          <t xml:space="preserve">status</t>
        </is>
      </c>
      <c r="C324" s="2" t="inlineStr">
        <is>
          <t xml:space="preserve">VARCHAR(40) NOT NULL DEFAULT 'PENDING'</t>
        </is>
      </c>
      <c r="D324" s="2" t="inlineStr">
        <is>
          <t xml:space="preserve">database/schema.sql:592</t>
        </is>
      </c>
      <c r="E324" s="2" t="inlineStr">
        <is>
          <t xml:space="preserve">change-request, renewal, transfer, end-lease</t>
        </is>
      </c>
    </row>
    <row r="325" ht="70" customHeight="1">
      <c r="A325" s="0" t="inlineStr">
        <is>
          <t xml:space="preserve">contract_change_requests</t>
        </is>
      </c>
      <c r="B325" s="0" t="inlineStr">
        <is>
          <t xml:space="preserve">requested_effective_date</t>
        </is>
      </c>
      <c r="C325" s="0" t="inlineStr">
        <is>
          <t xml:space="preserve">DATE NOT NULL</t>
        </is>
      </c>
      <c r="D325" s="0" t="inlineStr">
        <is>
          <t xml:space="preserve">database/schema.sql:592</t>
        </is>
      </c>
      <c r="E325" s="0" t="inlineStr">
        <is>
          <t xml:space="preserve">change-request, renewal, transfer, end-lease</t>
        </is>
      </c>
    </row>
    <row r="326" ht="70" customHeight="1">
      <c r="A326" s="2" t="inlineStr">
        <is>
          <t xml:space="preserve">contract_change_requests</t>
        </is>
      </c>
      <c r="B326" s="2" t="inlineStr">
        <is>
          <t xml:space="preserve">proposal_snapshot</t>
        </is>
      </c>
      <c r="C326" s="2" t="inlineStr">
        <is>
          <t xml:space="preserve">JSON NOT NULL</t>
        </is>
      </c>
      <c r="D326" s="2" t="inlineStr">
        <is>
          <t xml:space="preserve">database/schema.sql:592</t>
        </is>
      </c>
      <c r="E326" s="2" t="inlineStr">
        <is>
          <t xml:space="preserve">change-request, renewal, transfer, end-lease</t>
        </is>
      </c>
    </row>
    <row r="327" ht="70" customHeight="1">
      <c r="A327" s="0" t="inlineStr">
        <is>
          <t xml:space="preserve">contract_change_requests</t>
        </is>
      </c>
      <c r="B327" s="0" t="inlineStr">
        <is>
          <t xml:space="preserve">message</t>
        </is>
      </c>
      <c r="C327" s="0" t="inlineStr">
        <is>
          <t xml:space="preserve">VARCHAR(2000)</t>
        </is>
      </c>
      <c r="D327" s="0" t="inlineStr">
        <is>
          <t xml:space="preserve">database/schema.sql:592</t>
        </is>
      </c>
      <c r="E327" s="0" t="inlineStr">
        <is>
          <t xml:space="preserve">change-request, renewal, transfer, end-lease</t>
        </is>
      </c>
    </row>
    <row r="328" ht="70" customHeight="1">
      <c r="A328" s="2" t="inlineStr">
        <is>
          <t xml:space="preserve">contract_change_requests</t>
        </is>
      </c>
      <c r="B328" s="2" t="inlineStr">
        <is>
          <t xml:space="preserve">reviewed_by_id</t>
        </is>
      </c>
      <c r="C328" s="2" t="inlineStr">
        <is>
          <t xml:space="preserve">BIGINT</t>
        </is>
      </c>
      <c r="D328" s="2" t="inlineStr">
        <is>
          <t xml:space="preserve">database/schema.sql:592</t>
        </is>
      </c>
      <c r="E328" s="2" t="inlineStr">
        <is>
          <t xml:space="preserve">change-request, renewal, transfer, end-lease</t>
        </is>
      </c>
    </row>
    <row r="329" ht="70" customHeight="1">
      <c r="A329" s="0" t="inlineStr">
        <is>
          <t xml:space="preserve">contract_change_requests</t>
        </is>
      </c>
      <c r="B329" s="0" t="inlineStr">
        <is>
          <t xml:space="preserve">rejection_reason</t>
        </is>
      </c>
      <c r="C329" s="0" t="inlineStr">
        <is>
          <t xml:space="preserve">VARCHAR(1000)</t>
        </is>
      </c>
      <c r="D329" s="0" t="inlineStr">
        <is>
          <t xml:space="preserve">database/schema.sql:592</t>
        </is>
      </c>
      <c r="E329" s="0" t="inlineStr">
        <is>
          <t xml:space="preserve">change-request, renewal, transfer, end-lease</t>
        </is>
      </c>
    </row>
    <row r="330" ht="70" customHeight="1">
      <c r="A330" s="2" t="inlineStr">
        <is>
          <t xml:space="preserve">contract_change_requests</t>
        </is>
      </c>
      <c r="B330" s="2" t="inlineStr">
        <is>
          <t xml:space="preserve">tenant_confirmed_by_id</t>
        </is>
      </c>
      <c r="C330" s="2" t="inlineStr">
        <is>
          <t xml:space="preserve">BIGINT</t>
        </is>
      </c>
      <c r="D330" s="2" t="inlineStr">
        <is>
          <t xml:space="preserve">database/schema.sql:592</t>
        </is>
      </c>
      <c r="E330" s="2" t="inlineStr">
        <is>
          <t xml:space="preserve">change-request, renewal, transfer, end-lease</t>
        </is>
      </c>
    </row>
    <row r="331" ht="70" customHeight="1">
      <c r="A331" s="0" t="inlineStr">
        <is>
          <t xml:space="preserve">contract_change_requests</t>
        </is>
      </c>
      <c r="B331" s="0" t="inlineStr">
        <is>
          <t xml:space="preserve">applied_by_id</t>
        </is>
      </c>
      <c r="C331" s="0" t="inlineStr">
        <is>
          <t xml:space="preserve">BIGINT</t>
        </is>
      </c>
      <c r="D331" s="0" t="inlineStr">
        <is>
          <t xml:space="preserve">database/schema.sql:592</t>
        </is>
      </c>
      <c r="E331" s="0" t="inlineStr">
        <is>
          <t xml:space="preserve">change-request, renewal, transfer, end-lease</t>
        </is>
      </c>
    </row>
    <row r="332" ht="70" customHeight="1">
      <c r="A332" s="2" t="inlineStr">
        <is>
          <t xml:space="preserve">contract_change_requests</t>
        </is>
      </c>
      <c r="B332" s="2" t="inlineStr">
        <is>
          <t xml:space="preserve">reviewed_at</t>
        </is>
      </c>
      <c r="C332" s="2" t="inlineStr">
        <is>
          <t xml:space="preserve">DATETIME(6)</t>
        </is>
      </c>
      <c r="D332" s="2" t="inlineStr">
        <is>
          <t xml:space="preserve">database/schema.sql:592</t>
        </is>
      </c>
      <c r="E332" s="2" t="inlineStr">
        <is>
          <t xml:space="preserve">change-request, renewal, transfer, end-lease</t>
        </is>
      </c>
    </row>
    <row r="333" ht="70" customHeight="1">
      <c r="A333" s="0" t="inlineStr">
        <is>
          <t xml:space="preserve">contract_change_requests</t>
        </is>
      </c>
      <c r="B333" s="0" t="inlineStr">
        <is>
          <t xml:space="preserve">tenant_confirmed_at</t>
        </is>
      </c>
      <c r="C333" s="0" t="inlineStr">
        <is>
          <t xml:space="preserve">DATETIME(6)</t>
        </is>
      </c>
      <c r="D333" s="0" t="inlineStr">
        <is>
          <t xml:space="preserve">database/schema.sql:592</t>
        </is>
      </c>
      <c r="E333" s="0" t="inlineStr">
        <is>
          <t xml:space="preserve">change-request, renewal, transfer, end-lease</t>
        </is>
      </c>
    </row>
    <row r="334" ht="70" customHeight="1">
      <c r="A334" s="2" t="inlineStr">
        <is>
          <t xml:space="preserve">contract_change_requests</t>
        </is>
      </c>
      <c r="B334" s="2" t="inlineStr">
        <is>
          <t xml:space="preserve">applied_at</t>
        </is>
      </c>
      <c r="C334" s="2" t="inlineStr">
        <is>
          <t xml:space="preserve">DATETIME(6)</t>
        </is>
      </c>
      <c r="D334" s="2" t="inlineStr">
        <is>
          <t xml:space="preserve">database/schema.sql:592</t>
        </is>
      </c>
      <c r="E334" s="2" t="inlineStr">
        <is>
          <t xml:space="preserve">change-request, renewal, transfer, end-lease</t>
        </is>
      </c>
    </row>
    <row r="335" ht="70" customHeight="1">
      <c r="A335" s="0" t="inlineStr">
        <is>
          <t xml:space="preserve">contract_change_requests</t>
        </is>
      </c>
      <c r="B335" s="0" t="inlineStr">
        <is>
          <t xml:space="preserve">expires_at</t>
        </is>
      </c>
      <c r="C335" s="0" t="inlineStr">
        <is>
          <t xml:space="preserve">DATETIME(6)</t>
        </is>
      </c>
      <c r="D335" s="0" t="inlineStr">
        <is>
          <t xml:space="preserve">database/schema.sql:592</t>
        </is>
      </c>
      <c r="E335" s="0" t="inlineStr">
        <is>
          <t xml:space="preserve">change-request, renewal, transfer, end-lease</t>
        </is>
      </c>
    </row>
    <row r="336" ht="70" customHeight="1">
      <c r="A336" s="2" t="inlineStr">
        <is>
          <t xml:space="preserve">contract_change_requests</t>
        </is>
      </c>
      <c r="B336" s="2" t="inlineStr">
        <is>
          <t xml:space="preserve">cancelled_at</t>
        </is>
      </c>
      <c r="C336" s="2" t="inlineStr">
        <is>
          <t xml:space="preserve">DATETIME(6)</t>
        </is>
      </c>
      <c r="D336" s="2" t="inlineStr">
        <is>
          <t xml:space="preserve">database/schema.sql:592</t>
        </is>
      </c>
      <c r="E336" s="2" t="inlineStr">
        <is>
          <t xml:space="preserve">change-request, renewal, transfer, end-lease</t>
        </is>
      </c>
    </row>
    <row r="337" ht="70" customHeight="1">
      <c r="A337" s="0" t="inlineStr">
        <is>
          <t xml:space="preserve">contract_change_requests</t>
        </is>
      </c>
      <c r="B337" s="0" t="inlineStr">
        <is>
          <t xml:space="preserve">cancelled_by_id</t>
        </is>
      </c>
      <c r="C337" s="0" t="inlineStr">
        <is>
          <t xml:space="preserve">BIGINT</t>
        </is>
      </c>
      <c r="D337" s="0" t="inlineStr">
        <is>
          <t xml:space="preserve">database/schema.sql:592</t>
        </is>
      </c>
      <c r="E337" s="0" t="inlineStr">
        <is>
          <t xml:space="preserve">change-request, renewal, transfer, end-lease</t>
        </is>
      </c>
    </row>
    <row r="338" ht="70" customHeight="1">
      <c r="A338" s="2" t="inlineStr">
        <is>
          <t xml:space="preserve">contract_change_requests</t>
        </is>
      </c>
      <c r="B338" s="2" t="inlineStr">
        <is>
          <t xml:space="preserve">cancellation_reason</t>
        </is>
      </c>
      <c r="C338" s="2" t="inlineStr">
        <is>
          <t xml:space="preserve">VARCHAR(1000)</t>
        </is>
      </c>
      <c r="D338" s="2" t="inlineStr">
        <is>
          <t xml:space="preserve">database/schema.sql:592</t>
        </is>
      </c>
      <c r="E338" s="2" t="inlineStr">
        <is>
          <t xml:space="preserve">change-request, renewal, transfer, end-lease</t>
        </is>
      </c>
    </row>
    <row r="339" ht="70" customHeight="1">
      <c r="A339" s="0" t="inlineStr">
        <is>
          <t xml:space="preserve">contract_change_requests</t>
        </is>
      </c>
      <c r="B339" s="0" t="inlineStr">
        <is>
          <t xml:space="preserve">created_at</t>
        </is>
      </c>
      <c r="C339" s="0" t="inlineStr">
        <is>
          <t xml:space="preserve">DATETIME(6) NOT NULL DEFAULT CURRENT_TIMESTAMP(6)</t>
        </is>
      </c>
      <c r="D339" s="0" t="inlineStr">
        <is>
          <t xml:space="preserve">database/schema.sql:592</t>
        </is>
      </c>
      <c r="E339" s="0" t="inlineStr">
        <is>
          <t xml:space="preserve">change-request, renewal, transfer, end-lease</t>
        </is>
      </c>
    </row>
    <row r="340" ht="70" customHeight="1">
      <c r="A340" s="2" t="inlineStr">
        <is>
          <t xml:space="preserve">contract_change_requests</t>
        </is>
      </c>
      <c r="B340" s="2" t="inlineStr">
        <is>
          <t xml:space="preserve">updated_at</t>
        </is>
      </c>
      <c r="C340" s="2" t="inlineStr">
        <is>
          <t xml:space="preserve">DATETIME(6) NOT NULL DEFAULT CURRENT_TIMESTAMP(6)</t>
        </is>
      </c>
      <c r="D340" s="2" t="inlineStr">
        <is>
          <t xml:space="preserve">database/schema.sql:592</t>
        </is>
      </c>
      <c r="E340" s="2" t="inlineStr">
        <is>
          <t xml:space="preserve">change-request, renewal, transfer, end-lease</t>
        </is>
      </c>
    </row>
    <row r="341" ht="70" customHeight="1">
      <c r="A341" s="0" t="inlineStr">
        <is>
          <t xml:space="preserve">contract_change_requests</t>
        </is>
      </c>
      <c r="B341" s="0" t="inlineStr">
        <is>
          <t xml:space="preserve">open_contract_id</t>
        </is>
      </c>
      <c r="C341" s="0" t="inlineStr">
        <is>
          <t xml:space="preserve">BIGINT GENERATED ALWAYS AS (CASE WHEN status IN ('PENDING','APPROVED_WAITING_CONFIRMATION','READY_TO_APPLY') THEN contract_id ELSE NULL END) STORED</t>
        </is>
      </c>
      <c r="D341" s="0" t="inlineStr">
        <is>
          <t xml:space="preserve">database/schema.sql:592</t>
        </is>
      </c>
      <c r="E341" s="0" t="inlineStr">
        <is>
          <t xml:space="preserve">change-request, renewal, transfer, end-lease</t>
        </is>
      </c>
    </row>
    <row r="342" ht="70" customHeight="1">
      <c r="A342" s="2" t="inlineStr">
        <is>
          <t xml:space="preserve">occupant_join_requests</t>
        </is>
      </c>
      <c r="B342" s="2" t="inlineStr">
        <is>
          <t xml:space="preserve">id</t>
        </is>
      </c>
      <c r="C342" s="2" t="inlineStr">
        <is>
          <t xml:space="preserve">BIGINT NOT NULL AUTO_INCREMENT PRIMARY KEY</t>
        </is>
      </c>
      <c r="D342" s="2" t="inlineStr">
        <is>
          <t xml:space="preserve">database/schema.sql:637</t>
        </is>
      </c>
      <c r="E342" s="2" t="inlineStr">
        <is>
          <t xml:space="preserve">rooms, join-consent, join-hold, departure</t>
        </is>
      </c>
    </row>
    <row r="343" ht="70" customHeight="1">
      <c r="A343" s="0" t="inlineStr">
        <is>
          <t xml:space="preserve">occupant_join_requests</t>
        </is>
      </c>
      <c r="B343" s="0" t="inlineStr">
        <is>
          <t xml:space="preserve">contract_id</t>
        </is>
      </c>
      <c r="C343" s="0" t="inlineStr">
        <is>
          <t xml:space="preserve">BIGINT NOT NULL</t>
        </is>
      </c>
      <c r="D343" s="0" t="inlineStr">
        <is>
          <t xml:space="preserve">database/schema.sql:637</t>
        </is>
      </c>
      <c r="E343" s="0" t="inlineStr">
        <is>
          <t xml:space="preserve">rooms, join-consent, join-hold, departure</t>
        </is>
      </c>
    </row>
    <row r="344" ht="70" customHeight="1">
      <c r="A344" s="2" t="inlineStr">
        <is>
          <t xml:space="preserve">occupant_join_requests</t>
        </is>
      </c>
      <c r="B344" s="2" t="inlineStr">
        <is>
          <t xml:space="preserve">source_roommate_request_id</t>
        </is>
      </c>
      <c r="C344" s="2" t="inlineStr">
        <is>
          <t xml:space="preserve">BIGINT</t>
        </is>
      </c>
      <c r="D344" s="2" t="inlineStr">
        <is>
          <t xml:space="preserve">database/schema.sql:637</t>
        </is>
      </c>
      <c r="E344" s="2" t="inlineStr">
        <is>
          <t xml:space="preserve">rooms, join-consent, join-hold, departure</t>
        </is>
      </c>
    </row>
    <row r="345" ht="70" customHeight="1">
      <c r="A345" s="0" t="inlineStr">
        <is>
          <t xml:space="preserve">occupant_join_requests</t>
        </is>
      </c>
      <c r="B345" s="0" t="inlineStr">
        <is>
          <t xml:space="preserve">applicant_id</t>
        </is>
      </c>
      <c r="C345" s="0" t="inlineStr">
        <is>
          <t xml:space="preserve">BIGINT NOT NULL</t>
        </is>
      </c>
      <c r="D345" s="0" t="inlineStr">
        <is>
          <t xml:space="preserve">database/schema.sql:637</t>
        </is>
      </c>
      <c r="E345" s="0" t="inlineStr">
        <is>
          <t xml:space="preserve">rooms, join-consent, join-hold, departure</t>
        </is>
      </c>
    </row>
    <row r="346" ht="70" customHeight="1">
      <c r="A346" s="2" t="inlineStr">
        <is>
          <t xml:space="preserve">occupant_join_requests</t>
        </is>
      </c>
      <c r="B346" s="2" t="inlineStr">
        <is>
          <t xml:space="preserve">requested_by_id</t>
        </is>
      </c>
      <c r="C346" s="2" t="inlineStr">
        <is>
          <t xml:space="preserve">BIGINT NOT NULL</t>
        </is>
      </c>
      <c r="D346" s="2" t="inlineStr">
        <is>
          <t xml:space="preserve">database/schema.sql:637</t>
        </is>
      </c>
      <c r="E346" s="2" t="inlineStr">
        <is>
          <t xml:space="preserve">rooms, join-consent, join-hold, departure</t>
        </is>
      </c>
    </row>
    <row r="347" ht="70" customHeight="1">
      <c r="A347" s="0" t="inlineStr">
        <is>
          <t xml:space="preserve">occupant_join_requests</t>
        </is>
      </c>
      <c r="B347" s="0" t="inlineStr">
        <is>
          <t xml:space="preserve">representative_room_tenant_id</t>
        </is>
      </c>
      <c r="C347" s="0" t="inlineStr">
        <is>
          <t xml:space="preserve">BIGINT NOT NULL</t>
        </is>
      </c>
      <c r="D347" s="0" t="inlineStr">
        <is>
          <t xml:space="preserve">database/schema.sql:637</t>
        </is>
      </c>
      <c r="E347" s="0" t="inlineStr">
        <is>
          <t xml:space="preserve">rooms, join-consent, join-hold, departure</t>
        </is>
      </c>
    </row>
    <row r="348" ht="70" customHeight="1">
      <c r="A348" s="2" t="inlineStr">
        <is>
          <t xml:space="preserve">occupant_join_requests</t>
        </is>
      </c>
      <c r="B348" s="2" t="inlineStr">
        <is>
          <t xml:space="preserve">planned_move_in_date</t>
        </is>
      </c>
      <c r="C348" s="2" t="inlineStr">
        <is>
          <t xml:space="preserve">DATE NOT NULL</t>
        </is>
      </c>
      <c r="D348" s="2" t="inlineStr">
        <is>
          <t xml:space="preserve">database/schema.sql:637</t>
        </is>
      </c>
      <c r="E348" s="2" t="inlineStr">
        <is>
          <t xml:space="preserve">rooms, join-consent, join-hold, departure</t>
        </is>
      </c>
    </row>
    <row r="349" ht="70" customHeight="1">
      <c r="A349" s="0" t="inlineStr">
        <is>
          <t xml:space="preserve">occupant_join_requests</t>
        </is>
      </c>
      <c r="B349" s="0" t="inlineStr">
        <is>
          <t xml:space="preserve">status</t>
        </is>
      </c>
      <c r="C349" s="0" t="inlineStr">
        <is>
          <t xml:space="preserve">VARCHAR(40) NOT NULL DEFAULT 'PENDING_CONSENT'</t>
        </is>
      </c>
      <c r="D349" s="0" t="inlineStr">
        <is>
          <t xml:space="preserve">database/schema.sql:637</t>
        </is>
      </c>
      <c r="E349" s="0" t="inlineStr">
        <is>
          <t xml:space="preserve">rooms, join-consent, join-hold, departure</t>
        </is>
      </c>
    </row>
    <row r="350" ht="70" customHeight="1">
      <c r="A350" s="2" t="inlineStr">
        <is>
          <t xml:space="preserve">occupant_join_requests</t>
        </is>
      </c>
      <c r="B350" s="2" t="inlineStr">
        <is>
          <t xml:space="preserve">representative_consented_by_id</t>
        </is>
      </c>
      <c r="C350" s="2" t="inlineStr">
        <is>
          <t xml:space="preserve">BIGINT</t>
        </is>
      </c>
      <c r="D350" s="2" t="inlineStr">
        <is>
          <t xml:space="preserve">database/schema.sql:637</t>
        </is>
      </c>
      <c r="E350" s="2" t="inlineStr">
        <is>
          <t xml:space="preserve">rooms, join-consent, join-hold, departure</t>
        </is>
      </c>
    </row>
    <row r="351" ht="70" customHeight="1">
      <c r="A351" s="0" t="inlineStr">
        <is>
          <t xml:space="preserve">occupant_join_requests</t>
        </is>
      </c>
      <c r="B351" s="0" t="inlineStr">
        <is>
          <t xml:space="preserve">representative_consented_at</t>
        </is>
      </c>
      <c r="C351" s="0" t="inlineStr">
        <is>
          <t xml:space="preserve">DATETIME(6)</t>
        </is>
      </c>
      <c r="D351" s="0" t="inlineStr">
        <is>
          <t xml:space="preserve">database/schema.sql:637</t>
        </is>
      </c>
      <c r="E351" s="0" t="inlineStr">
        <is>
          <t xml:space="preserve">rooms, join-consent, join-hold, departure</t>
        </is>
      </c>
    </row>
    <row r="352" ht="70" customHeight="1">
      <c r="A352" s="2" t="inlineStr">
        <is>
          <t xml:space="preserve">occupant_join_requests</t>
        </is>
      </c>
      <c r="B352" s="2" t="inlineStr">
        <is>
          <t xml:space="preserve">applicant_consented_by_id</t>
        </is>
      </c>
      <c r="C352" s="2" t="inlineStr">
        <is>
          <t xml:space="preserve">BIGINT</t>
        </is>
      </c>
      <c r="D352" s="2" t="inlineStr">
        <is>
          <t xml:space="preserve">database/schema.sql:637</t>
        </is>
      </c>
      <c r="E352" s="2" t="inlineStr">
        <is>
          <t xml:space="preserve">rooms, join-consent, join-hold, departure</t>
        </is>
      </c>
    </row>
    <row r="353" ht="70" customHeight="1">
      <c r="A353" s="0" t="inlineStr">
        <is>
          <t xml:space="preserve">occupant_join_requests</t>
        </is>
      </c>
      <c r="B353" s="0" t="inlineStr">
        <is>
          <t xml:space="preserve">applicant_consented_at</t>
        </is>
      </c>
      <c r="C353" s="0" t="inlineStr">
        <is>
          <t xml:space="preserve">DATETIME(6)</t>
        </is>
      </c>
      <c r="D353" s="0" t="inlineStr">
        <is>
          <t xml:space="preserve">database/schema.sql:637</t>
        </is>
      </c>
      <c r="E353" s="0" t="inlineStr">
        <is>
          <t xml:space="preserve">rooms, join-consent, join-hold, departure</t>
        </is>
      </c>
    </row>
    <row r="354" ht="70" customHeight="1">
      <c r="A354" s="2" t="inlineStr">
        <is>
          <t xml:space="preserve">occupant_join_requests</t>
        </is>
      </c>
      <c r="B354" s="2" t="inlineStr">
        <is>
          <t xml:space="preserve">reviewed_at</t>
        </is>
      </c>
      <c r="C354" s="2" t="inlineStr">
        <is>
          <t xml:space="preserve">DATETIME(6)</t>
        </is>
      </c>
      <c r="D354" s="2" t="inlineStr">
        <is>
          <t xml:space="preserve">database/schema.sql:637</t>
        </is>
      </c>
      <c r="E354" s="2" t="inlineStr">
        <is>
          <t xml:space="preserve">rooms, join-consent, join-hold, departure</t>
        </is>
      </c>
    </row>
    <row r="355" ht="70" customHeight="1">
      <c r="A355" s="0" t="inlineStr">
        <is>
          <t xml:space="preserve">occupant_join_requests</t>
        </is>
      </c>
      <c r="B355" s="0" t="inlineStr">
        <is>
          <t xml:space="preserve">hold_expires_at</t>
        </is>
      </c>
      <c r="C355" s="0" t="inlineStr">
        <is>
          <t xml:space="preserve">DATETIME(6)</t>
        </is>
      </c>
      <c r="D355" s="0" t="inlineStr">
        <is>
          <t xml:space="preserve">database/schema.sql:637</t>
        </is>
      </c>
      <c r="E355" s="0" t="inlineStr">
        <is>
          <t xml:space="preserve">rooms, join-consent, join-hold, departure</t>
        </is>
      </c>
    </row>
    <row r="356" ht="70" customHeight="1">
      <c r="A356" s="2" t="inlineStr">
        <is>
          <t xml:space="preserve">occupant_join_requests</t>
        </is>
      </c>
      <c r="B356" s="2" t="inlineStr">
        <is>
          <t xml:space="preserve">completed_at</t>
        </is>
      </c>
      <c r="C356" s="2" t="inlineStr">
        <is>
          <t xml:space="preserve">DATETIME(6)</t>
        </is>
      </c>
      <c r="D356" s="2" t="inlineStr">
        <is>
          <t xml:space="preserve">database/schema.sql:637</t>
        </is>
      </c>
      <c r="E356" s="2" t="inlineStr">
        <is>
          <t xml:space="preserve">rooms, join-consent, join-hold, departure</t>
        </is>
      </c>
    </row>
    <row r="357" ht="70" customHeight="1">
      <c r="A357" s="0" t="inlineStr">
        <is>
          <t xml:space="preserve">occupant_join_requests</t>
        </is>
      </c>
      <c r="B357" s="0" t="inlineStr">
        <is>
          <t xml:space="preserve">cancelled_at</t>
        </is>
      </c>
      <c r="C357" s="0" t="inlineStr">
        <is>
          <t xml:space="preserve">DATETIME(6)</t>
        </is>
      </c>
      <c r="D357" s="0" t="inlineStr">
        <is>
          <t xml:space="preserve">database/schema.sql:637</t>
        </is>
      </c>
      <c r="E357" s="0" t="inlineStr">
        <is>
          <t xml:space="preserve">rooms, join-consent, join-hold, departure</t>
        </is>
      </c>
    </row>
    <row r="358" ht="70" customHeight="1">
      <c r="A358" s="2" t="inlineStr">
        <is>
          <t xml:space="preserve">occupant_join_requests</t>
        </is>
      </c>
      <c r="B358" s="2" t="inlineStr">
        <is>
          <t xml:space="preserve">cancelled_by_id</t>
        </is>
      </c>
      <c r="C358" s="2" t="inlineStr">
        <is>
          <t xml:space="preserve">BIGINT</t>
        </is>
      </c>
      <c r="D358" s="2" t="inlineStr">
        <is>
          <t xml:space="preserve">database/schema.sql:637</t>
        </is>
      </c>
      <c r="E358" s="2" t="inlineStr">
        <is>
          <t xml:space="preserve">rooms, join-consent, join-hold, departure</t>
        </is>
      </c>
    </row>
    <row r="359" ht="70" customHeight="1">
      <c r="A359" s="0" t="inlineStr">
        <is>
          <t xml:space="preserve">occupant_join_requests</t>
        </is>
      </c>
      <c r="B359" s="0" t="inlineStr">
        <is>
          <t xml:space="preserve">cancellation_reason</t>
        </is>
      </c>
      <c r="C359" s="0" t="inlineStr">
        <is>
          <t xml:space="preserve">VARCHAR(1000)</t>
        </is>
      </c>
      <c r="D359" s="0" t="inlineStr">
        <is>
          <t xml:space="preserve">database/schema.sql:637</t>
        </is>
      </c>
      <c r="E359" s="0" t="inlineStr">
        <is>
          <t xml:space="preserve">rooms, join-consent, join-hold, departure</t>
        </is>
      </c>
    </row>
    <row r="360" ht="70" customHeight="1">
      <c r="A360" s="2" t="inlineStr">
        <is>
          <t xml:space="preserve">occupant_join_requests</t>
        </is>
      </c>
      <c r="B360" s="2" t="inlineStr">
        <is>
          <t xml:space="preserve">reviewed_by_id</t>
        </is>
      </c>
      <c r="C360" s="2" t="inlineStr">
        <is>
          <t xml:space="preserve">BIGINT</t>
        </is>
      </c>
      <c r="D360" s="2" t="inlineStr">
        <is>
          <t xml:space="preserve">database/schema.sql:637</t>
        </is>
      </c>
      <c r="E360" s="2" t="inlineStr">
        <is>
          <t xml:space="preserve">rooms, join-consent, join-hold, departure</t>
        </is>
      </c>
    </row>
    <row r="361" ht="70" customHeight="1">
      <c r="A361" s="0" t="inlineStr">
        <is>
          <t xml:space="preserve">occupant_join_requests</t>
        </is>
      </c>
      <c r="B361" s="0" t="inlineStr">
        <is>
          <t xml:space="preserve">rejection_reason</t>
        </is>
      </c>
      <c r="C361" s="0" t="inlineStr">
        <is>
          <t xml:space="preserve">VARCHAR(1000)</t>
        </is>
      </c>
      <c r="D361" s="0" t="inlineStr">
        <is>
          <t xml:space="preserve">database/schema.sql:637</t>
        </is>
      </c>
      <c r="E361" s="0" t="inlineStr">
        <is>
          <t xml:space="preserve">rooms, join-consent, join-hold, departure</t>
        </is>
      </c>
    </row>
    <row r="362" ht="70" customHeight="1">
      <c r="A362" s="2" t="inlineStr">
        <is>
          <t xml:space="preserve">occupant_join_requests</t>
        </is>
      </c>
      <c r="B362" s="2" t="inlineStr">
        <is>
          <t xml:space="preserve">completed_room_tenant_id</t>
        </is>
      </c>
      <c r="C362" s="2" t="inlineStr">
        <is>
          <t xml:space="preserve">BIGINT</t>
        </is>
      </c>
      <c r="D362" s="2" t="inlineStr">
        <is>
          <t xml:space="preserve">database/schema.sql:637</t>
        </is>
      </c>
      <c r="E362" s="2" t="inlineStr">
        <is>
          <t xml:space="preserve">rooms, join-consent, join-hold, departure</t>
        </is>
      </c>
    </row>
    <row r="363" ht="70" customHeight="1">
      <c r="A363" s="0" t="inlineStr">
        <is>
          <t xml:space="preserve">occupant_join_requests</t>
        </is>
      </c>
      <c r="B363" s="0" t="inlineStr">
        <is>
          <t xml:space="preserve">message</t>
        </is>
      </c>
      <c r="C363" s="0" t="inlineStr">
        <is>
          <t xml:space="preserve">VARCHAR(2000)</t>
        </is>
      </c>
      <c r="D363" s="0" t="inlineStr">
        <is>
          <t xml:space="preserve">database/schema.sql:637</t>
        </is>
      </c>
      <c r="E363" s="0" t="inlineStr">
        <is>
          <t xml:space="preserve">rooms, join-consent, join-hold, departure</t>
        </is>
      </c>
    </row>
    <row r="364" ht="70" customHeight="1">
      <c r="A364" s="2" t="inlineStr">
        <is>
          <t xml:space="preserve">occupant_join_requests</t>
        </is>
      </c>
      <c r="B364" s="2" t="inlineStr">
        <is>
          <t xml:space="preserve">created_at</t>
        </is>
      </c>
      <c r="C364" s="2" t="inlineStr">
        <is>
          <t xml:space="preserve">DATETIME(6) NOT NULL DEFAULT CURRENT_TIMESTAMP(6)</t>
        </is>
      </c>
      <c r="D364" s="2" t="inlineStr">
        <is>
          <t xml:space="preserve">database/schema.sql:637</t>
        </is>
      </c>
      <c r="E364" s="2" t="inlineStr">
        <is>
          <t xml:space="preserve">rooms, join-consent, join-hold, departure</t>
        </is>
      </c>
    </row>
    <row r="365" ht="70" customHeight="1">
      <c r="A365" s="0" t="inlineStr">
        <is>
          <t xml:space="preserve">occupant_join_requests</t>
        </is>
      </c>
      <c r="B365" s="0" t="inlineStr">
        <is>
          <t xml:space="preserve">updated_at</t>
        </is>
      </c>
      <c r="C365" s="0" t="inlineStr">
        <is>
          <t xml:space="preserve">DATETIME(6) NOT NULL DEFAULT CURRENT_TIMESTAMP(6)</t>
        </is>
      </c>
      <c r="D365" s="0" t="inlineStr">
        <is>
          <t xml:space="preserve">database/schema.sql:637</t>
        </is>
      </c>
      <c r="E365" s="0" t="inlineStr">
        <is>
          <t xml:space="preserve">rooms, join-consent, join-hold, departure</t>
        </is>
      </c>
    </row>
    <row r="366" ht="70" customHeight="1">
      <c r="A366" s="2" t="inlineStr">
        <is>
          <t xml:space="preserve">occupant_join_requests</t>
        </is>
      </c>
      <c r="B366" s="2" t="inlineStr">
        <is>
          <t xml:space="preserve">open_applicant_id</t>
        </is>
      </c>
      <c r="C366" s="2" t="inlineStr">
        <is>
          <t xml:space="preserve">BIGINT GENERATED ALWAYS AS (CASE WHEN status IN ('PENDING_CONSENT','PENDING_LANDLORD','APPROVED') THEN applicant_id ELSE NULL END) STORED</t>
        </is>
      </c>
      <c r="D366" s="2" t="inlineStr">
        <is>
          <t xml:space="preserve">database/schema.sql:637</t>
        </is>
      </c>
      <c r="E366" s="2" t="inlineStr">
        <is>
          <t xml:space="preserve">rooms, join-consent, join-hold, departure</t>
        </is>
      </c>
    </row>
    <row r="367" ht="70" customHeight="1">
      <c r="A367" s="0" t="inlineStr">
        <is>
          <t xml:space="preserve">roommate_profiles</t>
        </is>
      </c>
      <c r="B367" s="0" t="inlineStr">
        <is>
          <t xml:space="preserve">id</t>
        </is>
      </c>
      <c r="C367" s="0" t="inlineStr">
        <is>
          <t xml:space="preserve">BIGINT NOT NULL AUTO_INCREMENT PRIMARY KEY</t>
        </is>
      </c>
      <c r="D367" s="0" t="inlineStr">
        <is>
          <t xml:space="preserve">database/schema.sql:681</t>
        </is>
      </c>
      <c r="E367" s="0" t="inlineStr">
        <is>
          <t xml:space="preserve">roommate-profile, matching-criteria</t>
        </is>
      </c>
    </row>
    <row r="368" ht="70" customHeight="1">
      <c r="A368" s="2" t="inlineStr">
        <is>
          <t xml:space="preserve">roommate_profiles</t>
        </is>
      </c>
      <c r="B368" s="2" t="inlineStr">
        <is>
          <t xml:space="preserve">tenant_id</t>
        </is>
      </c>
      <c r="C368" s="2" t="inlineStr">
        <is>
          <t xml:space="preserve">BIGINT NOT NULL</t>
        </is>
      </c>
      <c r="D368" s="2" t="inlineStr">
        <is>
          <t xml:space="preserve">database/schema.sql:681</t>
        </is>
      </c>
      <c r="E368" s="2" t="inlineStr">
        <is>
          <t xml:space="preserve">roommate-profile, matching-criteria</t>
        </is>
      </c>
    </row>
    <row r="369" ht="70" customHeight="1">
      <c r="A369" s="0" t="inlineStr">
        <is>
          <t xml:space="preserve">roommate_profiles</t>
        </is>
      </c>
      <c r="B369" s="0" t="inlineStr">
        <is>
          <t xml:space="preserve">housing_status</t>
        </is>
      </c>
      <c r="C369" s="0" t="inlineStr">
        <is>
          <t xml:space="preserve">VARCHAR(40) NOT NULL</t>
        </is>
      </c>
      <c r="D369" s="0" t="inlineStr">
        <is>
          <t xml:space="preserve">database/schema.sql:681</t>
        </is>
      </c>
      <c r="E369" s="0" t="inlineStr">
        <is>
          <t xml:space="preserve">roommate-profile, matching-criteria</t>
        </is>
      </c>
    </row>
    <row r="370" ht="70" customHeight="1">
      <c r="A370" s="2" t="inlineStr">
        <is>
          <t xml:space="preserve">roommate_profiles</t>
        </is>
      </c>
      <c r="B370" s="2" t="inlineStr">
        <is>
          <t xml:space="preserve">current_room_tenant_id</t>
        </is>
      </c>
      <c r="C370" s="2" t="inlineStr">
        <is>
          <t xml:space="preserve">BIGINT</t>
        </is>
      </c>
      <c r="D370" s="2" t="inlineStr">
        <is>
          <t xml:space="preserve">database/schema.sql:681</t>
        </is>
      </c>
      <c r="E370" s="2" t="inlineStr">
        <is>
          <t xml:space="preserve">roommate-profile, matching-criteria</t>
        </is>
      </c>
    </row>
    <row r="371" ht="70" customHeight="1">
      <c r="A371" s="0" t="inlineStr">
        <is>
          <t xml:space="preserve">roommate_profiles</t>
        </is>
      </c>
      <c r="B371" s="0" t="inlineStr">
        <is>
          <t xml:space="preserve">external_context</t>
        </is>
      </c>
      <c r="C371" s="0" t="inlineStr">
        <is>
          <t xml:space="preserve">VARCHAR(1000)</t>
        </is>
      </c>
      <c r="D371" s="0" t="inlineStr">
        <is>
          <t xml:space="preserve">database/schema.sql:681</t>
        </is>
      </c>
      <c r="E371" s="0" t="inlineStr">
        <is>
          <t xml:space="preserve">roommate-profile, matching-criteria</t>
        </is>
      </c>
    </row>
    <row r="372" ht="70" customHeight="1">
      <c r="A372" s="2" t="inlineStr">
        <is>
          <t xml:space="preserve">roommate_profiles</t>
        </is>
      </c>
      <c r="B372" s="2" t="inlineStr">
        <is>
          <t xml:space="preserve">available_from</t>
        </is>
      </c>
      <c r="C372" s="2" t="inlineStr">
        <is>
          <t xml:space="preserve">DATE NOT NULL</t>
        </is>
      </c>
      <c r="D372" s="2" t="inlineStr">
        <is>
          <t xml:space="preserve">database/schema.sql:681</t>
        </is>
      </c>
      <c r="E372" s="2" t="inlineStr">
        <is>
          <t xml:space="preserve">roommate-profile, matching-criteria</t>
        </is>
      </c>
    </row>
    <row r="373" ht="70" customHeight="1">
      <c r="A373" s="0" t="inlineStr">
        <is>
          <t xml:space="preserve">roommate_profiles</t>
        </is>
      </c>
      <c r="B373" s="0" t="inlineStr">
        <is>
          <t xml:space="preserve">budget_min</t>
        </is>
      </c>
      <c r="C373" s="0" t="inlineStr">
        <is>
          <t xml:space="preserve">DECIMAL(15,2)</t>
        </is>
      </c>
      <c r="D373" s="0" t="inlineStr">
        <is>
          <t xml:space="preserve">database/schema.sql:681</t>
        </is>
      </c>
      <c r="E373" s="0" t="inlineStr">
        <is>
          <t xml:space="preserve">roommate-profile, matching-criteria</t>
        </is>
      </c>
    </row>
    <row r="374" ht="70" customHeight="1">
      <c r="A374" s="2" t="inlineStr">
        <is>
          <t xml:space="preserve">roommate_profiles</t>
        </is>
      </c>
      <c r="B374" s="2" t="inlineStr">
        <is>
          <t xml:space="preserve">budget_max</t>
        </is>
      </c>
      <c r="C374" s="2" t="inlineStr">
        <is>
          <t xml:space="preserve">DECIMAL(15,2)</t>
        </is>
      </c>
      <c r="D374" s="2" t="inlineStr">
        <is>
          <t xml:space="preserve">database/schema.sql:681</t>
        </is>
      </c>
      <c r="E374" s="2" t="inlineStr">
        <is>
          <t xml:space="preserve">roommate-profile, matching-criteria</t>
        </is>
      </c>
    </row>
    <row r="375" ht="70" customHeight="1">
      <c r="A375" s="0" t="inlineStr">
        <is>
          <t xml:space="preserve">roommate_profiles</t>
        </is>
      </c>
      <c r="B375" s="0" t="inlineStr">
        <is>
          <t xml:space="preserve">preferred_location</t>
        </is>
      </c>
      <c r="C375" s="0" t="inlineStr">
        <is>
          <t xml:space="preserve">VARCHAR(500)</t>
        </is>
      </c>
      <c r="D375" s="0" t="inlineStr">
        <is>
          <t xml:space="preserve">database/schema.sql:681</t>
        </is>
      </c>
      <c r="E375" s="0" t="inlineStr">
        <is>
          <t xml:space="preserve">roommate-profile, matching-criteria</t>
        </is>
      </c>
    </row>
    <row r="376" ht="70" customHeight="1">
      <c r="A376" s="2" t="inlineStr">
        <is>
          <t xml:space="preserve">roommate_profiles</t>
        </is>
      </c>
      <c r="B376" s="2" t="inlineStr">
        <is>
          <t xml:space="preserve">preferred_gender</t>
        </is>
      </c>
      <c r="C376" s="2" t="inlineStr">
        <is>
          <t xml:space="preserve">VARCHAR(30)</t>
        </is>
      </c>
      <c r="D376" s="2" t="inlineStr">
        <is>
          <t xml:space="preserve">database/schema.sql:681</t>
        </is>
      </c>
      <c r="E376" s="2" t="inlineStr">
        <is>
          <t xml:space="preserve">roommate-profile, matching-criteria</t>
        </is>
      </c>
    </row>
    <row r="377" ht="70" customHeight="1">
      <c r="A377" s="0" t="inlineStr">
        <is>
          <t xml:space="preserve">roommate_profiles</t>
        </is>
      </c>
      <c r="B377" s="0" t="inlineStr">
        <is>
          <t xml:space="preserve">requirements_snapshot</t>
        </is>
      </c>
      <c r="C377" s="0" t="inlineStr">
        <is>
          <t xml:space="preserve">JSON</t>
        </is>
      </c>
      <c r="D377" s="0" t="inlineStr">
        <is>
          <t xml:space="preserve">database/schema.sql:681</t>
        </is>
      </c>
      <c r="E377" s="0" t="inlineStr">
        <is>
          <t xml:space="preserve">roommate-profile, matching-criteria</t>
        </is>
      </c>
    </row>
    <row r="378" ht="70" customHeight="1">
      <c r="A378" s="2" t="inlineStr">
        <is>
          <t xml:space="preserve">roommate_profiles</t>
        </is>
      </c>
      <c r="B378" s="2" t="inlineStr">
        <is>
          <t xml:space="preserve">profile_version</t>
        </is>
      </c>
      <c r="C378" s="2" t="inlineStr">
        <is>
          <t xml:space="preserve">BIGINT NOT NULL DEFAULT 1</t>
        </is>
      </c>
      <c r="D378" s="2" t="inlineStr">
        <is>
          <t xml:space="preserve">database/schema.sql:681</t>
        </is>
      </c>
      <c r="E378" s="2" t="inlineStr">
        <is>
          <t xml:space="preserve">roommate-profile, matching-criteria</t>
        </is>
      </c>
    </row>
    <row r="379" ht="70" customHeight="1">
      <c r="A379" s="0" t="inlineStr">
        <is>
          <t xml:space="preserve">roommate_profiles</t>
        </is>
      </c>
      <c r="B379" s="0" t="inlineStr">
        <is>
          <t xml:space="preserve">active</t>
        </is>
      </c>
      <c r="C379" s="0" t="inlineStr">
        <is>
          <t xml:space="preserve">BOOLEAN NOT NULL DEFAULT FALSE</t>
        </is>
      </c>
      <c r="D379" s="0" t="inlineStr">
        <is>
          <t xml:space="preserve">database/schema.sql:681</t>
        </is>
      </c>
      <c r="E379" s="0" t="inlineStr">
        <is>
          <t xml:space="preserve">roommate-profile, matching-criteria</t>
        </is>
      </c>
    </row>
    <row r="380" ht="70" customHeight="1">
      <c r="A380" s="2" t="inlineStr">
        <is>
          <t xml:space="preserve">roommate_profiles</t>
        </is>
      </c>
      <c r="B380" s="2" t="inlineStr">
        <is>
          <t xml:space="preserve">created_at</t>
        </is>
      </c>
      <c r="C380" s="2" t="inlineStr">
        <is>
          <t xml:space="preserve">DATETIME(6) NOT NULL DEFAULT CURRENT_TIMESTAMP(6)</t>
        </is>
      </c>
      <c r="D380" s="2" t="inlineStr">
        <is>
          <t xml:space="preserve">database/schema.sql:681</t>
        </is>
      </c>
      <c r="E380" s="2" t="inlineStr">
        <is>
          <t xml:space="preserve">roommate-profile, matching-criteria</t>
        </is>
      </c>
    </row>
    <row r="381" ht="70" customHeight="1">
      <c r="A381" s="0" t="inlineStr">
        <is>
          <t xml:space="preserve">roommate_profiles</t>
        </is>
      </c>
      <c r="B381" s="0" t="inlineStr">
        <is>
          <t xml:space="preserve">updated_at</t>
        </is>
      </c>
      <c r="C381" s="0" t="inlineStr">
        <is>
          <t xml:space="preserve">DATETIME(6) NOT NULL DEFAULT CURRENT_TIMESTAMP(6)</t>
        </is>
      </c>
      <c r="D381" s="0" t="inlineStr">
        <is>
          <t xml:space="preserve">database/schema.sql:681</t>
        </is>
      </c>
      <c r="E381" s="0" t="inlineStr">
        <is>
          <t xml:space="preserve">roommate-profile, matching-criteria</t>
        </is>
      </c>
    </row>
    <row r="382" ht="70" customHeight="1">
      <c r="A382" s="2" t="inlineStr">
        <is>
          <t xml:space="preserve">lifestyle_criteria</t>
        </is>
      </c>
      <c r="B382" s="2" t="inlineStr">
        <is>
          <t xml:space="preserve">id</t>
        </is>
      </c>
      <c r="C382" s="2" t="inlineStr">
        <is>
          <t xml:space="preserve">BIGINT NOT NULL AUTO_INCREMENT PRIMARY KEY</t>
        </is>
      </c>
      <c r="D382" s="2" t="inlineStr">
        <is>
          <t xml:space="preserve">database/schema.sql:709</t>
        </is>
      </c>
      <c r="E382" s="2" t="inlineStr">
        <is>
          <t xml:space="preserve">matching-criteria</t>
        </is>
      </c>
    </row>
    <row r="383" ht="70" customHeight="1">
      <c r="A383" s="0" t="inlineStr">
        <is>
          <t xml:space="preserve">lifestyle_criteria</t>
        </is>
      </c>
      <c r="B383" s="0" t="inlineStr">
        <is>
          <t xml:space="preserve">code</t>
        </is>
      </c>
      <c r="C383" s="0" t="inlineStr">
        <is>
          <t xml:space="preserve">VARCHAR(80) NOT NULL</t>
        </is>
      </c>
      <c r="D383" s="0" t="inlineStr">
        <is>
          <t xml:space="preserve">database/schema.sql:709</t>
        </is>
      </c>
      <c r="E383" s="0" t="inlineStr">
        <is>
          <t xml:space="preserve">matching-criteria</t>
        </is>
      </c>
    </row>
    <row r="384" ht="70" customHeight="1">
      <c r="A384" s="2" t="inlineStr">
        <is>
          <t xml:space="preserve">lifestyle_criteria</t>
        </is>
      </c>
      <c r="B384" s="2" t="inlineStr">
        <is>
          <t xml:space="preserve">name</t>
        </is>
      </c>
      <c r="C384" s="2" t="inlineStr">
        <is>
          <t xml:space="preserve">VARCHAR(100) NOT NULL</t>
        </is>
      </c>
      <c r="D384" s="2" t="inlineStr">
        <is>
          <t xml:space="preserve">database/schema.sql:709</t>
        </is>
      </c>
      <c r="E384" s="2" t="inlineStr">
        <is>
          <t xml:space="preserve">matching-criteria</t>
        </is>
      </c>
    </row>
    <row r="385" ht="70" customHeight="1">
      <c r="A385" s="0" t="inlineStr">
        <is>
          <t xml:space="preserve">lifestyle_criteria</t>
        </is>
      </c>
      <c r="B385" s="0" t="inlineStr">
        <is>
          <t xml:space="preserve">category</t>
        </is>
      </c>
      <c r="C385" s="0" t="inlineStr">
        <is>
          <t xml:space="preserve">VARCHAR(100) NOT NULL</t>
        </is>
      </c>
      <c r="D385" s="0" t="inlineStr">
        <is>
          <t xml:space="preserve">database/schema.sql:709</t>
        </is>
      </c>
      <c r="E385" s="0" t="inlineStr">
        <is>
          <t xml:space="preserve">matching-criteria</t>
        </is>
      </c>
    </row>
    <row r="386" ht="70" customHeight="1">
      <c r="A386" s="2" t="inlineStr">
        <is>
          <t xml:space="preserve">lifestyle_criteria</t>
        </is>
      </c>
      <c r="B386" s="2" t="inlineStr">
        <is>
          <t xml:space="preserve">value_type</t>
        </is>
      </c>
      <c r="C386" s="2" t="inlineStr">
        <is>
          <t xml:space="preserve">VARCHAR(40) NOT NULL</t>
        </is>
      </c>
      <c r="D386" s="2" t="inlineStr">
        <is>
          <t xml:space="preserve">database/schema.sql:709</t>
        </is>
      </c>
      <c r="E386" s="2" t="inlineStr">
        <is>
          <t xml:space="preserve">matching-criteria</t>
        </is>
      </c>
    </row>
    <row r="387" ht="70" customHeight="1">
      <c r="A387" s="0" t="inlineStr">
        <is>
          <t xml:space="preserve">lifestyle_criteria</t>
        </is>
      </c>
      <c r="B387" s="0" t="inlineStr">
        <is>
          <t xml:space="preserve">allowed_values</t>
        </is>
      </c>
      <c r="C387" s="0" t="inlineStr">
        <is>
          <t xml:space="preserve">JSON</t>
        </is>
      </c>
      <c r="D387" s="0" t="inlineStr">
        <is>
          <t xml:space="preserve">database/schema.sql:709</t>
        </is>
      </c>
      <c r="E387" s="0" t="inlineStr">
        <is>
          <t xml:space="preserve">matching-criteria</t>
        </is>
      </c>
    </row>
    <row r="388" ht="70" customHeight="1">
      <c r="A388" s="2" t="inlineStr">
        <is>
          <t xml:space="preserve">lifestyle_criteria</t>
        </is>
      </c>
      <c r="B388" s="2" t="inlineStr">
        <is>
          <t xml:space="preserve">active</t>
        </is>
      </c>
      <c r="C388" s="2" t="inlineStr">
        <is>
          <t xml:space="preserve">BOOLEAN NOT NULL DEFAULT TRUE</t>
        </is>
      </c>
      <c r="D388" s="2" t="inlineStr">
        <is>
          <t xml:space="preserve">database/schema.sql:709</t>
        </is>
      </c>
      <c r="E388" s="2" t="inlineStr">
        <is>
          <t xml:space="preserve">matching-criteria</t>
        </is>
      </c>
    </row>
    <row r="389" ht="70" customHeight="1">
      <c r="A389" s="0" t="inlineStr">
        <is>
          <t xml:space="preserve">lifestyle_criteria</t>
        </is>
      </c>
      <c r="B389" s="0" t="inlineStr">
        <is>
          <t xml:space="preserve">created_at</t>
        </is>
      </c>
      <c r="C389" s="0" t="inlineStr">
        <is>
          <t xml:space="preserve">DATETIME(6) NOT NULL DEFAULT CURRENT_TIMESTAMP(6)</t>
        </is>
      </c>
      <c r="D389" s="0" t="inlineStr">
        <is>
          <t xml:space="preserve">database/schema.sql:709</t>
        </is>
      </c>
      <c r="E389" s="0" t="inlineStr">
        <is>
          <t xml:space="preserve">matching-criteria</t>
        </is>
      </c>
    </row>
    <row r="390" ht="70" customHeight="1">
      <c r="A390" s="2" t="inlineStr">
        <is>
          <t xml:space="preserve">lifestyle_criteria</t>
        </is>
      </c>
      <c r="B390" s="2" t="inlineStr">
        <is>
          <t xml:space="preserve">updated_at</t>
        </is>
      </c>
      <c r="C390" s="2" t="inlineStr">
        <is>
          <t xml:space="preserve">DATETIME(6) NOT NULL DEFAULT CURRENT_TIMESTAMP(6)</t>
        </is>
      </c>
      <c r="D390" s="2" t="inlineStr">
        <is>
          <t xml:space="preserve">database/schema.sql:709</t>
        </is>
      </c>
      <c r="E390" s="2" t="inlineStr">
        <is>
          <t xml:space="preserve">matching-criteria</t>
        </is>
      </c>
    </row>
    <row r="391" ht="70" customHeight="1">
      <c r="A391" s="0" t="inlineStr">
        <is>
          <t xml:space="preserve">profile_lifestyles</t>
        </is>
      </c>
      <c r="B391" s="0" t="inlineStr">
        <is>
          <t xml:space="preserve">id</t>
        </is>
      </c>
      <c r="C391" s="0" t="inlineStr">
        <is>
          <t xml:space="preserve">BIGINT NOT NULL AUTO_INCREMENT PRIMARY KEY</t>
        </is>
      </c>
      <c r="D391" s="0" t="inlineStr">
        <is>
          <t xml:space="preserve">database/schema.sql:725</t>
        </is>
      </c>
      <c r="E391" s="0" t="inlineStr">
        <is>
          <t xml:space="preserve">matching-criteria</t>
        </is>
      </c>
    </row>
    <row r="392" ht="70" customHeight="1">
      <c r="A392" s="2" t="inlineStr">
        <is>
          <t xml:space="preserve">profile_lifestyles</t>
        </is>
      </c>
      <c r="B392" s="2" t="inlineStr">
        <is>
          <t xml:space="preserve">profile_id</t>
        </is>
      </c>
      <c r="C392" s="2" t="inlineStr">
        <is>
          <t xml:space="preserve">BIGINT NOT NULL</t>
        </is>
      </c>
      <c r="D392" s="2" t="inlineStr">
        <is>
          <t xml:space="preserve">database/schema.sql:725</t>
        </is>
      </c>
      <c r="E392" s="2" t="inlineStr">
        <is>
          <t xml:space="preserve">matching-criteria</t>
        </is>
      </c>
    </row>
    <row r="393" ht="70" customHeight="1">
      <c r="A393" s="0" t="inlineStr">
        <is>
          <t xml:space="preserve">profile_lifestyles</t>
        </is>
      </c>
      <c r="B393" s="0" t="inlineStr">
        <is>
          <t xml:space="preserve">criterion_id</t>
        </is>
      </c>
      <c r="C393" s="0" t="inlineStr">
        <is>
          <t xml:space="preserve">BIGINT NOT NULL</t>
        </is>
      </c>
      <c r="D393" s="0" t="inlineStr">
        <is>
          <t xml:space="preserve">database/schema.sql:725</t>
        </is>
      </c>
      <c r="E393" s="0" t="inlineStr">
        <is>
          <t xml:space="preserve">matching-criteria</t>
        </is>
      </c>
    </row>
    <row r="394" ht="70" customHeight="1">
      <c r="A394" s="2" t="inlineStr">
        <is>
          <t xml:space="preserve">profile_lifestyles</t>
        </is>
      </c>
      <c r="B394" s="2" t="inlineStr">
        <is>
          <t xml:space="preserve">self_value</t>
        </is>
      </c>
      <c r="C394" s="2" t="inlineStr">
        <is>
          <t xml:space="preserve">JSON</t>
        </is>
      </c>
      <c r="D394" s="2" t="inlineStr">
        <is>
          <t xml:space="preserve">database/schema.sql:725</t>
        </is>
      </c>
      <c r="E394" s="2" t="inlineStr">
        <is>
          <t xml:space="preserve">matching-criteria</t>
        </is>
      </c>
    </row>
    <row r="395" ht="70" customHeight="1">
      <c r="A395" s="0" t="inlineStr">
        <is>
          <t xml:space="preserve">profile_lifestyles</t>
        </is>
      </c>
      <c r="B395" s="0" t="inlineStr">
        <is>
          <t xml:space="preserve">preferred_value</t>
        </is>
      </c>
      <c r="C395" s="0" t="inlineStr">
        <is>
          <t xml:space="preserve">JSON</t>
        </is>
      </c>
      <c r="D395" s="0" t="inlineStr">
        <is>
          <t xml:space="preserve">database/schema.sql:725</t>
        </is>
      </c>
      <c r="E395" s="0" t="inlineStr">
        <is>
          <t xml:space="preserve">matching-criteria</t>
        </is>
      </c>
    </row>
    <row r="396" ht="70" customHeight="1">
      <c r="A396" s="2" t="inlineStr">
        <is>
          <t xml:space="preserve">profile_lifestyles</t>
        </is>
      </c>
      <c r="B396" s="2" t="inlineStr">
        <is>
          <t xml:space="preserve">is_mandatory</t>
        </is>
      </c>
      <c r="C396" s="2" t="inlineStr">
        <is>
          <t xml:space="preserve">BOOLEAN NOT NULL DEFAULT FALSE</t>
        </is>
      </c>
      <c r="D396" s="2" t="inlineStr">
        <is>
          <t xml:space="preserve">database/schema.sql:725</t>
        </is>
      </c>
      <c r="E396" s="2" t="inlineStr">
        <is>
          <t xml:space="preserve">matching-criteria</t>
        </is>
      </c>
    </row>
    <row r="397" ht="70" customHeight="1">
      <c r="A397" s="0" t="inlineStr">
        <is>
          <t xml:space="preserve">profile_lifestyles</t>
        </is>
      </c>
      <c r="B397" s="0" t="inlineStr">
        <is>
          <t xml:space="preserve">importance</t>
        </is>
      </c>
      <c r="C397" s="0" t="inlineStr">
        <is>
          <t xml:space="preserve">INT NOT NULL DEFAULT 1</t>
        </is>
      </c>
      <c r="D397" s="0" t="inlineStr">
        <is>
          <t xml:space="preserve">database/schema.sql:725</t>
        </is>
      </c>
      <c r="E397" s="0" t="inlineStr">
        <is>
          <t xml:space="preserve">matching-criteria</t>
        </is>
      </c>
    </row>
    <row r="398" ht="70" customHeight="1">
      <c r="A398" s="2" t="inlineStr">
        <is>
          <t xml:space="preserve">profile_lifestyles</t>
        </is>
      </c>
      <c r="B398" s="2" t="inlineStr">
        <is>
          <t xml:space="preserve">created_at</t>
        </is>
      </c>
      <c r="C398" s="2" t="inlineStr">
        <is>
          <t xml:space="preserve">DATETIME(6) NOT NULL DEFAULT CURRENT_TIMESTAMP(6)</t>
        </is>
      </c>
      <c r="D398" s="2" t="inlineStr">
        <is>
          <t xml:space="preserve">database/schema.sql:725</t>
        </is>
      </c>
      <c r="E398" s="2" t="inlineStr">
        <is>
          <t xml:space="preserve">matching-criteria</t>
        </is>
      </c>
    </row>
    <row r="399" ht="70" customHeight="1">
      <c r="A399" s="0" t="inlineStr">
        <is>
          <t xml:space="preserve">profile_lifestyles</t>
        </is>
      </c>
      <c r="B399" s="0" t="inlineStr">
        <is>
          <t xml:space="preserve">updated_at</t>
        </is>
      </c>
      <c r="C399" s="0" t="inlineStr">
        <is>
          <t xml:space="preserve">DATETIME(6) NOT NULL DEFAULT CURRENT_TIMESTAMP(6)</t>
        </is>
      </c>
      <c r="D399" s="0" t="inlineStr">
        <is>
          <t xml:space="preserve">database/schema.sql:725</t>
        </is>
      </c>
      <c r="E399" s="0" t="inlineStr">
        <is>
          <t xml:space="preserve">matching-criteria</t>
        </is>
      </c>
    </row>
    <row r="400" ht="70" customHeight="1">
      <c r="A400" s="2" t="inlineStr">
        <is>
          <t xml:space="preserve">roommate_requests</t>
        </is>
      </c>
      <c r="B400" s="2" t="inlineStr">
        <is>
          <t xml:space="preserve">id</t>
        </is>
      </c>
      <c r="C400" s="2" t="inlineStr">
        <is>
          <t xml:space="preserve">BIGINT NOT NULL AUTO_INCREMENT PRIMARY KEY</t>
        </is>
      </c>
      <c r="D400" s="2" t="inlineStr">
        <is>
          <t xml:space="preserve">database/schema.sql:743</t>
        </is>
      </c>
      <c r="E400" s="2" t="inlineStr">
        <is>
          <t xml:space="preserve">roommate-invite, roommate-chat, share-post, join-consent</t>
        </is>
      </c>
    </row>
    <row r="401" ht="70" customHeight="1">
      <c r="A401" s="0" t="inlineStr">
        <is>
          <t xml:space="preserve">roommate_requests</t>
        </is>
      </c>
      <c r="B401" s="0" t="inlineStr">
        <is>
          <t xml:space="preserve">sender_id</t>
        </is>
      </c>
      <c r="C401" s="0" t="inlineStr">
        <is>
          <t xml:space="preserve">BIGINT NOT NULL</t>
        </is>
      </c>
      <c r="D401" s="0" t="inlineStr">
        <is>
          <t xml:space="preserve">database/schema.sql:743</t>
        </is>
      </c>
      <c r="E401" s="0" t="inlineStr">
        <is>
          <t xml:space="preserve">roommate-invite, roommate-chat, share-post, join-consent</t>
        </is>
      </c>
    </row>
    <row r="402" ht="70" customHeight="1">
      <c r="A402" s="2" t="inlineStr">
        <is>
          <t xml:space="preserve">roommate_requests</t>
        </is>
      </c>
      <c r="B402" s="2" t="inlineStr">
        <is>
          <t xml:space="preserve">receiver_id</t>
        </is>
      </c>
      <c r="C402" s="2" t="inlineStr">
        <is>
          <t xml:space="preserve">BIGINT NOT NULL</t>
        </is>
      </c>
      <c r="D402" s="2" t="inlineStr">
        <is>
          <t xml:space="preserve">database/schema.sql:743</t>
        </is>
      </c>
      <c r="E402" s="2" t="inlineStr">
        <is>
          <t xml:space="preserve">roommate-invite, roommate-chat, share-post, join-consent</t>
        </is>
      </c>
    </row>
    <row r="403" ht="70" customHeight="1">
      <c r="A403" s="0" t="inlineStr">
        <is>
          <t xml:space="preserve">roommate_requests</t>
        </is>
      </c>
      <c r="B403" s="0" t="inlineStr">
        <is>
          <t xml:space="preserve">scenario</t>
        </is>
      </c>
      <c r="C403" s="0" t="inlineStr">
        <is>
          <t xml:space="preserve">VARCHAR(40) NOT NULL</t>
        </is>
      </c>
      <c r="D403" s="0" t="inlineStr">
        <is>
          <t xml:space="preserve">database/schema.sql:743</t>
        </is>
      </c>
      <c r="E403" s="0" t="inlineStr">
        <is>
          <t xml:space="preserve">roommate-invite, roommate-chat, share-post, join-consent</t>
        </is>
      </c>
    </row>
    <row r="404" ht="70" customHeight="1">
      <c r="A404" s="2" t="inlineStr">
        <is>
          <t xml:space="preserve">roommate_requests</t>
        </is>
      </c>
      <c r="B404" s="2" t="inlineStr">
        <is>
          <t xml:space="preserve">target_contract_id</t>
        </is>
      </c>
      <c r="C404" s="2" t="inlineStr">
        <is>
          <t xml:space="preserve">BIGINT</t>
        </is>
      </c>
      <c r="D404" s="2" t="inlineStr">
        <is>
          <t xml:space="preserve">database/schema.sql:743</t>
        </is>
      </c>
      <c r="E404" s="2" t="inlineStr">
        <is>
          <t xml:space="preserve">roommate-invite, roommate-chat, share-post, join-consent</t>
        </is>
      </c>
    </row>
    <row r="405" ht="70" customHeight="1">
      <c r="A405" s="0" t="inlineStr">
        <is>
          <t xml:space="preserve">roommate_requests</t>
        </is>
      </c>
      <c r="B405" s="0" t="inlineStr">
        <is>
          <t xml:space="preserve">status</t>
        </is>
      </c>
      <c r="C405" s="0" t="inlineStr">
        <is>
          <t xml:space="preserve">VARCHAR(40) NOT NULL DEFAULT 'PENDING'</t>
        </is>
      </c>
      <c r="D405" s="0" t="inlineStr">
        <is>
          <t xml:space="preserve">database/schema.sql:743</t>
        </is>
      </c>
      <c r="E405" s="0" t="inlineStr">
        <is>
          <t xml:space="preserve">roommate-invite, roommate-chat, share-post, join-consent</t>
        </is>
      </c>
    </row>
    <row r="406" ht="70" customHeight="1">
      <c r="A406" s="2" t="inlineStr">
        <is>
          <t xml:space="preserve">roommate_requests</t>
        </is>
      </c>
      <c r="B406" s="2" t="inlineStr">
        <is>
          <t xml:space="preserve">message</t>
        </is>
      </c>
      <c r="C406" s="2" t="inlineStr">
        <is>
          <t xml:space="preserve">VARCHAR(2000)</t>
        </is>
      </c>
      <c r="D406" s="2" t="inlineStr">
        <is>
          <t xml:space="preserve">database/schema.sql:743</t>
        </is>
      </c>
      <c r="E406" s="2" t="inlineStr">
        <is>
          <t xml:space="preserve">roommate-invite, roommate-chat, share-post, join-consent</t>
        </is>
      </c>
    </row>
    <row r="407" ht="70" customHeight="1">
      <c r="A407" s="0" t="inlineStr">
        <is>
          <t xml:space="preserve">roommate_requests</t>
        </is>
      </c>
      <c r="B407" s="0" t="inlineStr">
        <is>
          <t xml:space="preserve">responded_at</t>
        </is>
      </c>
      <c r="C407" s="0" t="inlineStr">
        <is>
          <t xml:space="preserve">DATETIME(6)</t>
        </is>
      </c>
      <c r="D407" s="0" t="inlineStr">
        <is>
          <t xml:space="preserve">database/schema.sql:743</t>
        </is>
      </c>
      <c r="E407" s="0" t="inlineStr">
        <is>
          <t xml:space="preserve">roommate-invite, roommate-chat, share-post, join-consent</t>
        </is>
      </c>
    </row>
    <row r="408" ht="70" customHeight="1">
      <c r="A408" s="2" t="inlineStr">
        <is>
          <t xml:space="preserve">roommate_requests</t>
        </is>
      </c>
      <c r="B408" s="2" t="inlineStr">
        <is>
          <t xml:space="preserve">ended_at</t>
        </is>
      </c>
      <c r="C408" s="2" t="inlineStr">
        <is>
          <t xml:space="preserve">DATETIME(6)</t>
        </is>
      </c>
      <c r="D408" s="2" t="inlineStr">
        <is>
          <t xml:space="preserve">database/schema.sql:743</t>
        </is>
      </c>
      <c r="E408" s="2" t="inlineStr">
        <is>
          <t xml:space="preserve">roommate-invite, roommate-chat, share-post, join-consent</t>
        </is>
      </c>
    </row>
    <row r="409" ht="70" customHeight="1">
      <c r="A409" s="0" t="inlineStr">
        <is>
          <t xml:space="preserve">roommate_requests</t>
        </is>
      </c>
      <c r="B409" s="0" t="inlineStr">
        <is>
          <t xml:space="preserve">end_reason</t>
        </is>
      </c>
      <c r="C409" s="0" t="inlineStr">
        <is>
          <t xml:space="preserve">VARCHAR(1000)</t>
        </is>
      </c>
      <c r="D409" s="0" t="inlineStr">
        <is>
          <t xml:space="preserve">database/schema.sql:743</t>
        </is>
      </c>
      <c r="E409" s="0" t="inlineStr">
        <is>
          <t xml:space="preserve">roommate-invite, roommate-chat, share-post, join-consent</t>
        </is>
      </c>
    </row>
    <row r="410" ht="70" customHeight="1">
      <c r="A410" s="2" t="inlineStr">
        <is>
          <t xml:space="preserve">roommate_requests</t>
        </is>
      </c>
      <c r="B410" s="2" t="inlineStr">
        <is>
          <t xml:space="preserve">created_at</t>
        </is>
      </c>
      <c r="C410" s="2" t="inlineStr">
        <is>
          <t xml:space="preserve">DATETIME(6) NOT NULL DEFAULT CURRENT_TIMESTAMP(6)</t>
        </is>
      </c>
      <c r="D410" s="2" t="inlineStr">
        <is>
          <t xml:space="preserve">database/schema.sql:743</t>
        </is>
      </c>
      <c r="E410" s="2" t="inlineStr">
        <is>
          <t xml:space="preserve">roommate-invite, roommate-chat, share-post, join-consent</t>
        </is>
      </c>
    </row>
    <row r="411" ht="70" customHeight="1">
      <c r="A411" s="0" t="inlineStr">
        <is>
          <t xml:space="preserve">roommate_requests</t>
        </is>
      </c>
      <c r="B411" s="0" t="inlineStr">
        <is>
          <t xml:space="preserve">updated_at</t>
        </is>
      </c>
      <c r="C411" s="0" t="inlineStr">
        <is>
          <t xml:space="preserve">DATETIME(6) NOT NULL DEFAULT CURRENT_TIMESTAMP(6)</t>
        </is>
      </c>
      <c r="D411" s="0" t="inlineStr">
        <is>
          <t xml:space="preserve">database/schema.sql:743</t>
        </is>
      </c>
      <c r="E411" s="0" t="inlineStr">
        <is>
          <t xml:space="preserve">roommate-invite, roommate-chat, share-post, join-consent</t>
        </is>
      </c>
    </row>
    <row r="412" ht="70" customHeight="1">
      <c r="A412" s="2" t="inlineStr">
        <is>
          <t xml:space="preserve">roommate_requests</t>
        </is>
      </c>
      <c r="B412" s="2" t="inlineStr">
        <is>
          <t xml:space="preserve">pair_low_id</t>
        </is>
      </c>
      <c r="C412" s="2" t="inlineStr">
        <is>
          <t xml:space="preserve">BIGINT GENERATED ALWAYS AS (LEAST(sender_id, receiver_id)) STORED</t>
        </is>
      </c>
      <c r="D412" s="2" t="inlineStr">
        <is>
          <t xml:space="preserve">database/schema.sql:743</t>
        </is>
      </c>
      <c r="E412" s="2" t="inlineStr">
        <is>
          <t xml:space="preserve">roommate-invite, roommate-chat, share-post, join-consent</t>
        </is>
      </c>
    </row>
    <row r="413" ht="70" customHeight="1">
      <c r="A413" s="0" t="inlineStr">
        <is>
          <t xml:space="preserve">roommate_requests</t>
        </is>
      </c>
      <c r="B413" s="0" t="inlineStr">
        <is>
          <t xml:space="preserve">pair_high_id</t>
        </is>
      </c>
      <c r="C413" s="0" t="inlineStr">
        <is>
          <t xml:space="preserve">BIGINT GENERATED ALWAYS AS (GREATEST(sender_id, receiver_id)) STORED</t>
        </is>
      </c>
      <c r="D413" s="0" t="inlineStr">
        <is>
          <t xml:space="preserve">database/schema.sql:743</t>
        </is>
      </c>
      <c r="E413" s="0" t="inlineStr">
        <is>
          <t xml:space="preserve">roommate-invite, roommate-chat, share-post, join-consent</t>
        </is>
      </c>
    </row>
    <row r="414" ht="70" customHeight="1">
      <c r="A414" s="2" t="inlineStr">
        <is>
          <t xml:space="preserve">roommate_requests</t>
        </is>
      </c>
      <c r="B414" s="2" t="inlineStr">
        <is>
          <t xml:space="preserve">open_pair_key</t>
        </is>
      </c>
      <c r="C414" s="2" t="inlineStr">
        <is>
          <t xml:space="preserve">INT GENERATED ALWAYS AS (CASE WHEN status = 'PENDING' OR (status = 'ACCEPTED' AND ended_at IS NULL) THEN 1 ELSE NULL END) STORED</t>
        </is>
      </c>
      <c r="D414" s="2" t="inlineStr">
        <is>
          <t xml:space="preserve">database/schema.sql:743</t>
        </is>
      </c>
      <c r="E414" s="2" t="inlineStr">
        <is>
          <t xml:space="preserve">roommate-invite, roommate-chat, share-post, join-consent</t>
        </is>
      </c>
    </row>
    <row r="415" ht="70" customHeight="1">
      <c r="A415" s="0" t="inlineStr">
        <is>
          <t xml:space="preserve">invoices</t>
        </is>
      </c>
      <c r="B415" s="0" t="inlineStr">
        <is>
          <t xml:space="preserve">id</t>
        </is>
      </c>
      <c r="C415" s="0" t="inlineStr">
        <is>
          <t xml:space="preserve">BIGINT NOT NULL AUTO_INCREMENT PRIMARY KEY</t>
        </is>
      </c>
      <c r="D415" s="0" t="inlineStr">
        <is>
          <t xml:space="preserve">database/schema.sql:771</t>
        </is>
      </c>
      <c r="E415" s="0" t="inlineStr">
        <is>
          <t xml:space="preserve">end-lease, bill, pay-invoice, data-safety</t>
        </is>
      </c>
    </row>
    <row r="416" ht="70" customHeight="1">
      <c r="A416" s="2" t="inlineStr">
        <is>
          <t xml:space="preserve">invoices</t>
        </is>
      </c>
      <c r="B416" s="2" t="inlineStr">
        <is>
          <t xml:space="preserve">contract_id</t>
        </is>
      </c>
      <c r="C416" s="2" t="inlineStr">
        <is>
          <t xml:space="preserve">BIGINT NOT NULL</t>
        </is>
      </c>
      <c r="D416" s="2" t="inlineStr">
        <is>
          <t xml:space="preserve">database/schema.sql:771</t>
        </is>
      </c>
      <c r="E416" s="2" t="inlineStr">
        <is>
          <t xml:space="preserve">end-lease, bill, pay-invoice, data-safety</t>
        </is>
      </c>
    </row>
    <row r="417" ht="70" customHeight="1">
      <c r="A417" s="0" t="inlineStr">
        <is>
          <t xml:space="preserve">invoices</t>
        </is>
      </c>
      <c r="B417" s="0" t="inlineStr">
        <is>
          <t xml:space="preserve">room_id</t>
        </is>
      </c>
      <c r="C417" s="0" t="inlineStr">
        <is>
          <t xml:space="preserve">BIGINT NOT NULL</t>
        </is>
      </c>
      <c r="D417" s="0" t="inlineStr">
        <is>
          <t xml:space="preserve">database/schema.sql:771</t>
        </is>
      </c>
      <c r="E417" s="0" t="inlineStr">
        <is>
          <t xml:space="preserve">end-lease, bill, pay-invoice, data-safety</t>
        </is>
      </c>
    </row>
    <row r="418" ht="70" customHeight="1">
      <c r="A418" s="2" t="inlineStr">
        <is>
          <t xml:space="preserve">invoices</t>
        </is>
      </c>
      <c r="B418" s="2" t="inlineStr">
        <is>
          <t xml:space="preserve">contract_revision_id</t>
        </is>
      </c>
      <c r="C418" s="2" t="inlineStr">
        <is>
          <t xml:space="preserve">BIGINT NOT NULL</t>
        </is>
      </c>
      <c r="D418" s="2" t="inlineStr">
        <is>
          <t xml:space="preserve">database/schema.sql:771</t>
        </is>
      </c>
      <c r="E418" s="2" t="inlineStr">
        <is>
          <t xml:space="preserve">end-lease, bill, pay-invoice, data-safety</t>
        </is>
      </c>
    </row>
    <row r="419" ht="70" customHeight="1">
      <c r="A419" s="0" t="inlineStr">
        <is>
          <t xml:space="preserve">invoices</t>
        </is>
      </c>
      <c r="B419" s="0" t="inlineStr">
        <is>
          <t xml:space="preserve">payer_room_tenant_id</t>
        </is>
      </c>
      <c r="C419" s="0" t="inlineStr">
        <is>
          <t xml:space="preserve">BIGINT NOT NULL</t>
        </is>
      </c>
      <c r="D419" s="0" t="inlineStr">
        <is>
          <t xml:space="preserve">database/schema.sql:771</t>
        </is>
      </c>
      <c r="E419" s="0" t="inlineStr">
        <is>
          <t xml:space="preserve">end-lease, bill, pay-invoice, data-safety</t>
        </is>
      </c>
    </row>
    <row r="420" ht="70" customHeight="1">
      <c r="A420" s="2" t="inlineStr">
        <is>
          <t xml:space="preserve">invoices</t>
        </is>
      </c>
      <c r="B420" s="2" t="inlineStr">
        <is>
          <t xml:space="preserve">payer_snapshot</t>
        </is>
      </c>
      <c r="C420" s="2" t="inlineStr">
        <is>
          <t xml:space="preserve">JSON NOT NULL</t>
        </is>
      </c>
      <c r="D420" s="2" t="inlineStr">
        <is>
          <t xml:space="preserve">database/schema.sql:771</t>
        </is>
      </c>
      <c r="E420" s="2" t="inlineStr">
        <is>
          <t xml:space="preserve">end-lease, bill, pay-invoice, data-safety</t>
        </is>
      </c>
    </row>
    <row r="421" ht="70" customHeight="1">
      <c r="A421" s="0" t="inlineStr">
        <is>
          <t xml:space="preserve">invoices</t>
        </is>
      </c>
      <c r="B421" s="0" t="inlineStr">
        <is>
          <t xml:space="preserve">billing_period</t>
        </is>
      </c>
      <c r="C421" s="0" t="inlineStr">
        <is>
          <t xml:space="preserve">DATE NOT NULL</t>
        </is>
      </c>
      <c r="D421" s="0" t="inlineStr">
        <is>
          <t xml:space="preserve">database/schema.sql:771</t>
        </is>
      </c>
      <c r="E421" s="0" t="inlineStr">
        <is>
          <t xml:space="preserve">end-lease, bill, pay-invoice, data-safety</t>
        </is>
      </c>
    </row>
    <row r="422" ht="70" customHeight="1">
      <c r="A422" s="2" t="inlineStr">
        <is>
          <t xml:space="preserve">invoices</t>
        </is>
      </c>
      <c r="B422" s="2" t="inlineStr">
        <is>
          <t xml:space="preserve">due_date</t>
        </is>
      </c>
      <c r="C422" s="2" t="inlineStr">
        <is>
          <t xml:space="preserve">DATE NOT NULL</t>
        </is>
      </c>
      <c r="D422" s="2" t="inlineStr">
        <is>
          <t xml:space="preserve">database/schema.sql:771</t>
        </is>
      </c>
      <c r="E422" s="2" t="inlineStr">
        <is>
          <t xml:space="preserve">end-lease, bill, pay-invoice, data-safety</t>
        </is>
      </c>
    </row>
    <row r="423" ht="70" customHeight="1">
      <c r="A423" s="0" t="inlineStr">
        <is>
          <t xml:space="preserve">invoices</t>
        </is>
      </c>
      <c r="B423" s="0" t="inlineStr">
        <is>
          <t xml:space="preserve">occupant_count_at_billing</t>
        </is>
      </c>
      <c r="C423" s="0" t="inlineStr">
        <is>
          <t xml:space="preserve">INT NOT NULL</t>
        </is>
      </c>
      <c r="D423" s="0" t="inlineStr">
        <is>
          <t xml:space="preserve">database/schema.sql:771</t>
        </is>
      </c>
      <c r="E423" s="0" t="inlineStr">
        <is>
          <t xml:space="preserve">end-lease, bill, pay-invoice, data-safety</t>
        </is>
      </c>
    </row>
    <row r="424" ht="70" customHeight="1">
      <c r="A424" s="2" t="inlineStr">
        <is>
          <t xml:space="preserve">invoices</t>
        </is>
      </c>
      <c r="B424" s="2" t="inlineStr">
        <is>
          <t xml:space="preserve">status</t>
        </is>
      </c>
      <c r="C424" s="2" t="inlineStr">
        <is>
          <t xml:space="preserve">VARCHAR(40) NOT NULL DEFAULT 'DRAFT'</t>
        </is>
      </c>
      <c r="D424" s="2" t="inlineStr">
        <is>
          <t xml:space="preserve">database/schema.sql:771</t>
        </is>
      </c>
      <c r="E424" s="2" t="inlineStr">
        <is>
          <t xml:space="preserve">end-lease, bill, pay-invoice, data-safety</t>
        </is>
      </c>
    </row>
    <row r="425" ht="70" customHeight="1">
      <c r="A425" s="0" t="inlineStr">
        <is>
          <t xml:space="preserve">invoices</t>
        </is>
      </c>
      <c r="B425" s="0" t="inlineStr">
        <is>
          <t xml:space="preserve">created_by_id</t>
        </is>
      </c>
      <c r="C425" s="0" t="inlineStr">
        <is>
          <t xml:space="preserve">BIGINT NOT NULL</t>
        </is>
      </c>
      <c r="D425" s="0" t="inlineStr">
        <is>
          <t xml:space="preserve">database/schema.sql:771</t>
        </is>
      </c>
      <c r="E425" s="0" t="inlineStr">
        <is>
          <t xml:space="preserve">end-lease, bill, pay-invoice, data-safety</t>
        </is>
      </c>
    </row>
    <row r="426" ht="70" customHeight="1">
      <c r="A426" s="2" t="inlineStr">
        <is>
          <t xml:space="preserve">invoices</t>
        </is>
      </c>
      <c r="B426" s="2" t="inlineStr">
        <is>
          <t xml:space="preserve">paid_by_id</t>
        </is>
      </c>
      <c r="C426" s="2" t="inlineStr">
        <is>
          <t xml:space="preserve">BIGINT</t>
        </is>
      </c>
      <c r="D426" s="2" t="inlineStr">
        <is>
          <t xml:space="preserve">database/schema.sql:771</t>
        </is>
      </c>
      <c r="E426" s="2" t="inlineStr">
        <is>
          <t xml:space="preserve">end-lease, bill, pay-invoice, data-safety</t>
        </is>
      </c>
    </row>
    <row r="427" ht="70" customHeight="1">
      <c r="A427" s="0" t="inlineStr">
        <is>
          <t xml:space="preserve">invoices</t>
        </is>
      </c>
      <c r="B427" s="0" t="inlineStr">
        <is>
          <t xml:space="preserve">cancelled_by_id</t>
        </is>
      </c>
      <c r="C427" s="0" t="inlineStr">
        <is>
          <t xml:space="preserve">BIGINT</t>
        </is>
      </c>
      <c r="D427" s="0" t="inlineStr">
        <is>
          <t xml:space="preserve">database/schema.sql:771</t>
        </is>
      </c>
      <c r="E427" s="0" t="inlineStr">
        <is>
          <t xml:space="preserve">end-lease, bill, pay-invoice, data-safety</t>
        </is>
      </c>
    </row>
    <row r="428" ht="70" customHeight="1">
      <c r="A428" s="2" t="inlineStr">
        <is>
          <t xml:space="preserve">invoices</t>
        </is>
      </c>
      <c r="B428" s="2" t="inlineStr">
        <is>
          <t xml:space="preserve">cancellation_reason</t>
        </is>
      </c>
      <c r="C428" s="2" t="inlineStr">
        <is>
          <t xml:space="preserve">VARCHAR(1000)</t>
        </is>
      </c>
      <c r="D428" s="2" t="inlineStr">
        <is>
          <t xml:space="preserve">database/schema.sql:771</t>
        </is>
      </c>
      <c r="E428" s="2" t="inlineStr">
        <is>
          <t xml:space="preserve">end-lease, bill, pay-invoice, data-safety</t>
        </is>
      </c>
    </row>
    <row r="429" ht="70" customHeight="1">
      <c r="A429" s="0" t="inlineStr">
        <is>
          <t xml:space="preserve">invoices</t>
        </is>
      </c>
      <c r="B429" s="0" t="inlineStr">
        <is>
          <t xml:space="preserve">replacement_of_id</t>
        </is>
      </c>
      <c r="C429" s="0" t="inlineStr">
        <is>
          <t xml:space="preserve">BIGINT</t>
        </is>
      </c>
      <c r="D429" s="0" t="inlineStr">
        <is>
          <t xml:space="preserve">database/schema.sql:771</t>
        </is>
      </c>
      <c r="E429" s="0" t="inlineStr">
        <is>
          <t xml:space="preserve">end-lease, bill, pay-invoice, data-safety</t>
        </is>
      </c>
    </row>
    <row r="430" ht="70" customHeight="1">
      <c r="A430" s="2" t="inlineStr">
        <is>
          <t xml:space="preserve">invoices</t>
        </is>
      </c>
      <c r="B430" s="2" t="inlineStr">
        <is>
          <t xml:space="preserve">paid_at</t>
        </is>
      </c>
      <c r="C430" s="2" t="inlineStr">
        <is>
          <t xml:space="preserve">DATETIME(6)</t>
        </is>
      </c>
      <c r="D430" s="2" t="inlineStr">
        <is>
          <t xml:space="preserve">database/schema.sql:771</t>
        </is>
      </c>
      <c r="E430" s="2" t="inlineStr">
        <is>
          <t xml:space="preserve">end-lease, bill, pay-invoice, data-safety</t>
        </is>
      </c>
    </row>
    <row r="431" ht="70" customHeight="1">
      <c r="A431" s="0" t="inlineStr">
        <is>
          <t xml:space="preserve">invoices</t>
        </is>
      </c>
      <c r="B431" s="0" t="inlineStr">
        <is>
          <t xml:space="preserve">cancelled_at</t>
        </is>
      </c>
      <c r="C431" s="0" t="inlineStr">
        <is>
          <t xml:space="preserve">DATETIME(6)</t>
        </is>
      </c>
      <c r="D431" s="0" t="inlineStr">
        <is>
          <t xml:space="preserve">database/schema.sql:771</t>
        </is>
      </c>
      <c r="E431" s="0" t="inlineStr">
        <is>
          <t xml:space="preserve">end-lease, bill, pay-invoice, data-safety</t>
        </is>
      </c>
    </row>
    <row r="432" ht="70" customHeight="1">
      <c r="A432" s="2" t="inlineStr">
        <is>
          <t xml:space="preserve">invoices</t>
        </is>
      </c>
      <c r="B432" s="2" t="inlineStr">
        <is>
          <t xml:space="preserve">created_at</t>
        </is>
      </c>
      <c r="C432" s="2" t="inlineStr">
        <is>
          <t xml:space="preserve">DATETIME(6) NOT NULL DEFAULT CURRENT_TIMESTAMP(6)</t>
        </is>
      </c>
      <c r="D432" s="2" t="inlineStr">
        <is>
          <t xml:space="preserve">database/schema.sql:771</t>
        </is>
      </c>
      <c r="E432" s="2" t="inlineStr">
        <is>
          <t xml:space="preserve">end-lease, bill, pay-invoice, data-safety</t>
        </is>
      </c>
    </row>
    <row r="433" ht="70" customHeight="1">
      <c r="A433" s="0" t="inlineStr">
        <is>
          <t xml:space="preserve">invoices</t>
        </is>
      </c>
      <c r="B433" s="0" t="inlineStr">
        <is>
          <t xml:space="preserve">updated_at</t>
        </is>
      </c>
      <c r="C433" s="0" t="inlineStr">
        <is>
          <t xml:space="preserve">DATETIME(6) NOT NULL DEFAULT CURRENT_TIMESTAMP(6)</t>
        </is>
      </c>
      <c r="D433" s="0" t="inlineStr">
        <is>
          <t xml:space="preserve">database/schema.sql:771</t>
        </is>
      </c>
      <c r="E433" s="0" t="inlineStr">
        <is>
          <t xml:space="preserve">end-lease, bill, pay-invoice, data-safety</t>
        </is>
      </c>
    </row>
    <row r="434" ht="70" customHeight="1">
      <c r="A434" s="2" t="inlineStr">
        <is>
          <t xml:space="preserve">invoices</t>
        </is>
      </c>
      <c r="B434" s="2" t="inlineStr">
        <is>
          <t xml:space="preserve">open_period_key</t>
        </is>
      </c>
      <c r="C434" s="2" t="inlineStr">
        <is>
          <t xml:space="preserve">INT GENERATED ALWAYS AS (CASE WHEN status &lt;&gt; 'CANCELLED' THEN 1 ELSE NULL END) STORED</t>
        </is>
      </c>
      <c r="D434" s="2" t="inlineStr">
        <is>
          <t xml:space="preserve">database/schema.sql:771</t>
        </is>
      </c>
      <c r="E434" s="2" t="inlineStr">
        <is>
          <t xml:space="preserve">end-lease, bill, pay-invoice, data-safety</t>
        </is>
      </c>
    </row>
    <row r="435" ht="70" customHeight="1">
      <c r="A435" s="0" t="inlineStr">
        <is>
          <t xml:space="preserve">invoice_items</t>
        </is>
      </c>
      <c r="B435" s="0" t="inlineStr">
        <is>
          <t xml:space="preserve">id</t>
        </is>
      </c>
      <c r="C435" s="0" t="inlineStr">
        <is>
          <t xml:space="preserve">BIGINT NOT NULL AUTO_INCREMENT PRIMARY KEY</t>
        </is>
      </c>
      <c r="D435" s="0" t="inlineStr">
        <is>
          <t xml:space="preserve">database/schema.sql:805</t>
        </is>
      </c>
      <c r="E435" s="0" t="inlineStr">
        <is>
          <t xml:space="preserve">services, bill, pay-invoice</t>
        </is>
      </c>
    </row>
    <row r="436" ht="70" customHeight="1">
      <c r="A436" s="2" t="inlineStr">
        <is>
          <t xml:space="preserve">invoice_items</t>
        </is>
      </c>
      <c r="B436" s="2" t="inlineStr">
        <is>
          <t xml:space="preserve">invoice_id</t>
        </is>
      </c>
      <c r="C436" s="2" t="inlineStr">
        <is>
          <t xml:space="preserve">BIGINT NOT NULL</t>
        </is>
      </c>
      <c r="D436" s="2" t="inlineStr">
        <is>
          <t xml:space="preserve">database/schema.sql:805</t>
        </is>
      </c>
      <c r="E436" s="2" t="inlineStr">
        <is>
          <t xml:space="preserve">services, bill, pay-invoice</t>
        </is>
      </c>
    </row>
    <row r="437" ht="70" customHeight="1">
      <c r="A437" s="0" t="inlineStr">
        <is>
          <t xml:space="preserve">invoice_items</t>
        </is>
      </c>
      <c r="B437" s="0" t="inlineStr">
        <is>
          <t xml:space="preserve">room_id</t>
        </is>
      </c>
      <c r="C437" s="0" t="inlineStr">
        <is>
          <t xml:space="preserve">BIGINT NOT NULL</t>
        </is>
      </c>
      <c r="D437" s="0" t="inlineStr">
        <is>
          <t xml:space="preserve">database/schema.sql:805</t>
        </is>
      </c>
      <c r="E437" s="0" t="inlineStr">
        <is>
          <t xml:space="preserve">services, bill, pay-invoice</t>
        </is>
      </c>
    </row>
    <row r="438" ht="70" customHeight="1">
      <c r="A438" s="2" t="inlineStr">
        <is>
          <t xml:space="preserve">invoice_items</t>
        </is>
      </c>
      <c r="B438" s="2" t="inlineStr">
        <is>
          <t xml:space="preserve">room_service_id</t>
        </is>
      </c>
      <c r="C438" s="2" t="inlineStr">
        <is>
          <t xml:space="preserve">BIGINT</t>
        </is>
      </c>
      <c r="D438" s="2" t="inlineStr">
        <is>
          <t xml:space="preserve">database/schema.sql:805</t>
        </is>
      </c>
      <c r="E438" s="2" t="inlineStr">
        <is>
          <t xml:space="preserve">services, bill, pay-invoice</t>
        </is>
      </c>
    </row>
    <row r="439" ht="70" customHeight="1">
      <c r="A439" s="0" t="inlineStr">
        <is>
          <t xml:space="preserve">invoice_items</t>
        </is>
      </c>
      <c r="B439" s="0" t="inlineStr">
        <is>
          <t xml:space="preserve">position</t>
        </is>
      </c>
      <c r="C439" s="0" t="inlineStr">
        <is>
          <t xml:space="preserve">INT NOT NULL</t>
        </is>
      </c>
      <c r="D439" s="0" t="inlineStr">
        <is>
          <t xml:space="preserve">database/schema.sql:805</t>
        </is>
      </c>
      <c r="E439" s="0" t="inlineStr">
        <is>
          <t xml:space="preserve">services, bill, pay-invoice</t>
        </is>
      </c>
    </row>
    <row r="440" ht="70" customHeight="1">
      <c r="A440" s="2" t="inlineStr">
        <is>
          <t xml:space="preserve">invoice_items</t>
        </is>
      </c>
      <c r="B440" s="2" t="inlineStr">
        <is>
          <t xml:space="preserve">item_type</t>
        </is>
      </c>
      <c r="C440" s="2" t="inlineStr">
        <is>
          <t xml:space="preserve">VARCHAR(40) NOT NULL</t>
        </is>
      </c>
      <c r="D440" s="2" t="inlineStr">
        <is>
          <t xml:space="preserve">database/schema.sql:805</t>
        </is>
      </c>
      <c r="E440" s="2" t="inlineStr">
        <is>
          <t xml:space="preserve">services, bill, pay-invoice</t>
        </is>
      </c>
    </row>
    <row r="441" ht="70" customHeight="1">
      <c r="A441" s="0" t="inlineStr">
        <is>
          <t xml:space="preserve">invoice_items</t>
        </is>
      </c>
      <c r="B441" s="0" t="inlineStr">
        <is>
          <t xml:space="preserve">name_snapshot</t>
        </is>
      </c>
      <c r="C441" s="0" t="inlineStr">
        <is>
          <t xml:space="preserve">VARCHAR(200) NOT NULL</t>
        </is>
      </c>
      <c r="D441" s="0" t="inlineStr">
        <is>
          <t xml:space="preserve">database/schema.sql:805</t>
        </is>
      </c>
      <c r="E441" s="0" t="inlineStr">
        <is>
          <t xml:space="preserve">services, bill, pay-invoice</t>
        </is>
      </c>
    </row>
    <row r="442" ht="70" customHeight="1">
      <c r="A442" s="2" t="inlineStr">
        <is>
          <t xml:space="preserve">invoice_items</t>
        </is>
      </c>
      <c r="B442" s="2" t="inlineStr">
        <is>
          <t xml:space="preserve">unit_snapshot</t>
        </is>
      </c>
      <c r="C442" s="2" t="inlineStr">
        <is>
          <t xml:space="preserve">VARCHAR(30) NOT NULL</t>
        </is>
      </c>
      <c r="D442" s="2" t="inlineStr">
        <is>
          <t xml:space="preserve">database/schema.sql:805</t>
        </is>
      </c>
      <c r="E442" s="2" t="inlineStr">
        <is>
          <t xml:space="preserve">services, bill, pay-invoice</t>
        </is>
      </c>
    </row>
    <row r="443" ht="70" customHeight="1">
      <c r="A443" s="0" t="inlineStr">
        <is>
          <t xml:space="preserve">invoice_items</t>
        </is>
      </c>
      <c r="B443" s="0" t="inlineStr">
        <is>
          <t xml:space="preserve">calculation_method_snapshot</t>
        </is>
      </c>
      <c r="C443" s="0" t="inlineStr">
        <is>
          <t xml:space="preserve">VARCHAR(40)</t>
        </is>
      </c>
      <c r="D443" s="0" t="inlineStr">
        <is>
          <t xml:space="preserve">database/schema.sql:805</t>
        </is>
      </c>
      <c r="E443" s="0" t="inlineStr">
        <is>
          <t xml:space="preserve">services, bill, pay-invoice</t>
        </is>
      </c>
    </row>
    <row r="444" ht="70" customHeight="1">
      <c r="A444" s="2" t="inlineStr">
        <is>
          <t xml:space="preserve">invoice_items</t>
        </is>
      </c>
      <c r="B444" s="2" t="inlineStr">
        <is>
          <t xml:space="preserve">quantity</t>
        </is>
      </c>
      <c r="C444" s="2" t="inlineStr">
        <is>
          <t xml:space="preserve">DECIMAL(12,3) NOT NULL</t>
        </is>
      </c>
      <c r="D444" s="2" t="inlineStr">
        <is>
          <t xml:space="preserve">database/schema.sql:805</t>
        </is>
      </c>
      <c r="E444" s="2" t="inlineStr">
        <is>
          <t xml:space="preserve">services, bill, pay-invoice</t>
        </is>
      </c>
    </row>
    <row r="445" ht="70" customHeight="1">
      <c r="A445" s="0" t="inlineStr">
        <is>
          <t xml:space="preserve">invoice_items</t>
        </is>
      </c>
      <c r="B445" s="0" t="inlineStr">
        <is>
          <t xml:space="preserve">unit_price_snapshot</t>
        </is>
      </c>
      <c r="C445" s="0" t="inlineStr">
        <is>
          <t xml:space="preserve">DECIMAL(15,2) NOT NULL</t>
        </is>
      </c>
      <c r="D445" s="0" t="inlineStr">
        <is>
          <t xml:space="preserve">database/schema.sql:805</t>
        </is>
      </c>
      <c r="E445" s="0" t="inlineStr">
        <is>
          <t xml:space="preserve">services, bill, pay-invoice</t>
        </is>
      </c>
    </row>
    <row r="446" ht="70" customHeight="1">
      <c r="A446" s="2" t="inlineStr">
        <is>
          <t xml:space="preserve">invoice_items</t>
        </is>
      </c>
      <c r="B446" s="2" t="inlineStr">
        <is>
          <t xml:space="preserve">previous_reading</t>
        </is>
      </c>
      <c r="C446" s="2" t="inlineStr">
        <is>
          <t xml:space="preserve">DECIMAL(12,3)</t>
        </is>
      </c>
      <c r="D446" s="2" t="inlineStr">
        <is>
          <t xml:space="preserve">database/schema.sql:805</t>
        </is>
      </c>
      <c r="E446" s="2" t="inlineStr">
        <is>
          <t xml:space="preserve">services, bill, pay-invoice</t>
        </is>
      </c>
    </row>
    <row r="447" ht="70" customHeight="1">
      <c r="A447" s="0" t="inlineStr">
        <is>
          <t xml:space="preserve">invoice_items</t>
        </is>
      </c>
      <c r="B447" s="0" t="inlineStr">
        <is>
          <t xml:space="preserve">current_reading</t>
        </is>
      </c>
      <c r="C447" s="0" t="inlineStr">
        <is>
          <t xml:space="preserve">DECIMAL(12,3)</t>
        </is>
      </c>
      <c r="D447" s="0" t="inlineStr">
        <is>
          <t xml:space="preserve">database/schema.sql:805</t>
        </is>
      </c>
      <c r="E447" s="0" t="inlineStr">
        <is>
          <t xml:space="preserve">services, bill, pay-invoice</t>
        </is>
      </c>
    </row>
    <row r="448" ht="70" customHeight="1">
      <c r="A448" s="2" t="inlineStr">
        <is>
          <t xml:space="preserve">invoice_items</t>
        </is>
      </c>
      <c r="B448" s="2" t="inlineStr">
        <is>
          <t xml:space="preserve">amount</t>
        </is>
      </c>
      <c r="C448" s="2" t="inlineStr">
        <is>
          <t xml:space="preserve">DECIMAL(15,2) NOT NULL</t>
        </is>
      </c>
      <c r="D448" s="2" t="inlineStr">
        <is>
          <t xml:space="preserve">database/schema.sql:805</t>
        </is>
      </c>
      <c r="E448" s="2" t="inlineStr">
        <is>
          <t xml:space="preserve">services, bill, pay-invoice</t>
        </is>
      </c>
    </row>
    <row r="449" ht="70" customHeight="1">
      <c r="A449" s="0" t="inlineStr">
        <is>
          <t xml:space="preserve">invoice_items</t>
        </is>
      </c>
      <c r="B449" s="0" t="inlineStr">
        <is>
          <t xml:space="preserve">created_at</t>
        </is>
      </c>
      <c r="C449" s="0" t="inlineStr">
        <is>
          <t xml:space="preserve">DATETIME(6) NOT NULL DEFAULT CURRENT_TIMESTAMP(6)</t>
        </is>
      </c>
      <c r="D449" s="0" t="inlineStr">
        <is>
          <t xml:space="preserve">database/schema.sql:805</t>
        </is>
      </c>
      <c r="E449" s="0" t="inlineStr">
        <is>
          <t xml:space="preserve">services, bill, pay-invoice</t>
        </is>
      </c>
    </row>
    <row r="450" ht="70" customHeight="1">
      <c r="A450" s="2" t="inlineStr">
        <is>
          <t xml:space="preserve">invoice_items</t>
        </is>
      </c>
      <c r="B450" s="2" t="inlineStr">
        <is>
          <t xml:space="preserve">updated_at</t>
        </is>
      </c>
      <c r="C450" s="2" t="inlineStr">
        <is>
          <t xml:space="preserve">DATETIME(6) NOT NULL DEFAULT CURRENT_TIMESTAMP(6)</t>
        </is>
      </c>
      <c r="D450" s="2" t="inlineStr">
        <is>
          <t xml:space="preserve">database/schema.sql:805</t>
        </is>
      </c>
      <c r="E450" s="2" t="inlineStr">
        <is>
          <t xml:space="preserve">services, bill, pay-invoice</t>
        </is>
      </c>
    </row>
    <row r="451" ht="70" customHeight="1">
      <c r="A451" s="0" t="inlineStr">
        <is>
          <t xml:space="preserve">reviews</t>
        </is>
      </c>
      <c r="B451" s="0" t="inlineStr">
        <is>
          <t xml:space="preserve">id</t>
        </is>
      </c>
      <c r="C451" s="0" t="inlineStr">
        <is>
          <t xml:space="preserve">BIGINT NOT NULL AUTO_INCREMENT PRIMARY KEY</t>
        </is>
      </c>
      <c r="D451" s="0" t="inlineStr">
        <is>
          <t xml:space="preserve">database/schema.sql:835</t>
        </is>
      </c>
      <c r="E451" s="0" t="inlineStr">
        <is>
          <t xml:space="preserve">review</t>
        </is>
      </c>
    </row>
    <row r="452" ht="70" customHeight="1">
      <c r="A452" s="2" t="inlineStr">
        <is>
          <t xml:space="preserve">reviews</t>
        </is>
      </c>
      <c r="B452" s="2" t="inlineStr">
        <is>
          <t xml:space="preserve">reviewer_id</t>
        </is>
      </c>
      <c r="C452" s="2" t="inlineStr">
        <is>
          <t xml:space="preserve">BIGINT NOT NULL</t>
        </is>
      </c>
      <c r="D452" s="2" t="inlineStr">
        <is>
          <t xml:space="preserve">database/schema.sql:835</t>
        </is>
      </c>
      <c r="E452" s="2" t="inlineStr">
        <is>
          <t xml:space="preserve">review</t>
        </is>
      </c>
    </row>
    <row r="453" ht="70" customHeight="1">
      <c r="A453" s="0" t="inlineStr">
        <is>
          <t xml:space="preserve">reviews</t>
        </is>
      </c>
      <c r="B453" s="0" t="inlineStr">
        <is>
          <t xml:space="preserve">room_id</t>
        </is>
      </c>
      <c r="C453" s="0" t="inlineStr">
        <is>
          <t xml:space="preserve">BIGINT NOT NULL</t>
        </is>
      </c>
      <c r="D453" s="0" t="inlineStr">
        <is>
          <t xml:space="preserve">database/schema.sql:835</t>
        </is>
      </c>
      <c r="E453" s="0" t="inlineStr">
        <is>
          <t xml:space="preserve">review</t>
        </is>
      </c>
    </row>
    <row r="454" ht="70" customHeight="1">
      <c r="A454" s="2" t="inlineStr">
        <is>
          <t xml:space="preserve">reviews</t>
        </is>
      </c>
      <c r="B454" s="2" t="inlineStr">
        <is>
          <t xml:space="preserve">contract_id</t>
        </is>
      </c>
      <c r="C454" s="2" t="inlineStr">
        <is>
          <t xml:space="preserve">BIGINT NOT NULL</t>
        </is>
      </c>
      <c r="D454" s="2" t="inlineStr">
        <is>
          <t xml:space="preserve">database/schema.sql:835</t>
        </is>
      </c>
      <c r="E454" s="2" t="inlineStr">
        <is>
          <t xml:space="preserve">review</t>
        </is>
      </c>
    </row>
    <row r="455" ht="70" customHeight="1">
      <c r="A455" s="0" t="inlineStr">
        <is>
          <t xml:space="preserve">reviews</t>
        </is>
      </c>
      <c r="B455" s="0" t="inlineStr">
        <is>
          <t xml:space="preserve">room_tenant_id</t>
        </is>
      </c>
      <c r="C455" s="0" t="inlineStr">
        <is>
          <t xml:space="preserve">BIGINT NOT NULL</t>
        </is>
      </c>
      <c r="D455" s="0" t="inlineStr">
        <is>
          <t xml:space="preserve">database/schema.sql:835</t>
        </is>
      </c>
      <c r="E455" s="0" t="inlineStr">
        <is>
          <t xml:space="preserve">review</t>
        </is>
      </c>
    </row>
    <row r="456" ht="70" customHeight="1">
      <c r="A456" s="2" t="inlineStr">
        <is>
          <t xml:space="preserve">reviews</t>
        </is>
      </c>
      <c r="B456" s="2" t="inlineStr">
        <is>
          <t xml:space="preserve">rating</t>
        </is>
      </c>
      <c r="C456" s="2" t="inlineStr">
        <is>
          <t xml:space="preserve">TINYINT NOT NULL</t>
        </is>
      </c>
      <c r="D456" s="2" t="inlineStr">
        <is>
          <t xml:space="preserve">database/schema.sql:835</t>
        </is>
      </c>
      <c r="E456" s="2" t="inlineStr">
        <is>
          <t xml:space="preserve">review</t>
        </is>
      </c>
    </row>
    <row r="457" ht="70" customHeight="1">
      <c r="A457" s="0" t="inlineStr">
        <is>
          <t xml:space="preserve">reviews</t>
        </is>
      </c>
      <c r="B457" s="0" t="inlineStr">
        <is>
          <t xml:space="preserve">content</t>
        </is>
      </c>
      <c r="C457" s="0" t="inlineStr">
        <is>
          <t xml:space="preserve">TEXT</t>
        </is>
      </c>
      <c r="D457" s="0" t="inlineStr">
        <is>
          <t xml:space="preserve">database/schema.sql:835</t>
        </is>
      </c>
      <c r="E457" s="0" t="inlineStr">
        <is>
          <t xml:space="preserve">review</t>
        </is>
      </c>
    </row>
    <row r="458" ht="70" customHeight="1">
      <c r="A458" s="2" t="inlineStr">
        <is>
          <t xml:space="preserve">reviews</t>
        </is>
      </c>
      <c r="B458" s="2" t="inlineStr">
        <is>
          <t xml:space="preserve">status</t>
        </is>
      </c>
      <c r="C458" s="2" t="inlineStr">
        <is>
          <t xml:space="preserve">VARCHAR(40) NOT NULL DEFAULT 'PUBLISHED'</t>
        </is>
      </c>
      <c r="D458" s="2" t="inlineStr">
        <is>
          <t xml:space="preserve">database/schema.sql:835</t>
        </is>
      </c>
      <c r="E458" s="2" t="inlineStr">
        <is>
          <t xml:space="preserve">review</t>
        </is>
      </c>
    </row>
    <row r="459" ht="70" customHeight="1">
      <c r="A459" s="0" t="inlineStr">
        <is>
          <t xml:space="preserve">reviews</t>
        </is>
      </c>
      <c r="B459" s="0" t="inlineStr">
        <is>
          <t xml:space="preserve">hidden_by_id</t>
        </is>
      </c>
      <c r="C459" s="0" t="inlineStr">
        <is>
          <t xml:space="preserve">BIGINT</t>
        </is>
      </c>
      <c r="D459" s="0" t="inlineStr">
        <is>
          <t xml:space="preserve">database/schema.sql:835</t>
        </is>
      </c>
      <c r="E459" s="0" t="inlineStr">
        <is>
          <t xml:space="preserve">review</t>
        </is>
      </c>
    </row>
    <row r="460" ht="70" customHeight="1">
      <c r="A460" s="2" t="inlineStr">
        <is>
          <t xml:space="preserve">reviews</t>
        </is>
      </c>
      <c r="B460" s="2" t="inlineStr">
        <is>
          <t xml:space="preserve">hidden_reason</t>
        </is>
      </c>
      <c r="C460" s="2" t="inlineStr">
        <is>
          <t xml:space="preserve">VARCHAR(1000)</t>
        </is>
      </c>
      <c r="D460" s="2" t="inlineStr">
        <is>
          <t xml:space="preserve">database/schema.sql:835</t>
        </is>
      </c>
      <c r="E460" s="2" t="inlineStr">
        <is>
          <t xml:space="preserve">review</t>
        </is>
      </c>
    </row>
    <row r="461" ht="70" customHeight="1">
      <c r="A461" s="0" t="inlineStr">
        <is>
          <t xml:space="preserve">reviews</t>
        </is>
      </c>
      <c r="B461" s="0" t="inlineStr">
        <is>
          <t xml:space="preserve">hidden_at</t>
        </is>
      </c>
      <c r="C461" s="0" t="inlineStr">
        <is>
          <t xml:space="preserve">DATETIME(6)</t>
        </is>
      </c>
      <c r="D461" s="0" t="inlineStr">
        <is>
          <t xml:space="preserve">database/schema.sql:835</t>
        </is>
      </c>
      <c r="E461" s="0" t="inlineStr">
        <is>
          <t xml:space="preserve">review</t>
        </is>
      </c>
    </row>
    <row r="462" ht="70" customHeight="1">
      <c r="A462" s="2" t="inlineStr">
        <is>
          <t xml:space="preserve">reviews</t>
        </is>
      </c>
      <c r="B462" s="2" t="inlineStr">
        <is>
          <t xml:space="preserve">created_at</t>
        </is>
      </c>
      <c r="C462" s="2" t="inlineStr">
        <is>
          <t xml:space="preserve">DATETIME(6) NOT NULL DEFAULT CURRENT_TIMESTAMP(6)</t>
        </is>
      </c>
      <c r="D462" s="2" t="inlineStr">
        <is>
          <t xml:space="preserve">database/schema.sql:835</t>
        </is>
      </c>
      <c r="E462" s="2" t="inlineStr">
        <is>
          <t xml:space="preserve">review</t>
        </is>
      </c>
    </row>
    <row r="463" ht="70" customHeight="1">
      <c r="A463" s="0" t="inlineStr">
        <is>
          <t xml:space="preserve">reviews</t>
        </is>
      </c>
      <c r="B463" s="0" t="inlineStr">
        <is>
          <t xml:space="preserve">updated_at</t>
        </is>
      </c>
      <c r="C463" s="0" t="inlineStr">
        <is>
          <t xml:space="preserve">DATETIME(6) NOT NULL DEFAULT CURRENT_TIMESTAMP(6)</t>
        </is>
      </c>
      <c r="D463" s="0" t="inlineStr">
        <is>
          <t xml:space="preserve">database/schema.sql:835</t>
        </is>
      </c>
      <c r="E463" s="0" t="inlineStr">
        <is>
          <t xml:space="preserve">review</t>
        </is>
      </c>
    </row>
    <row r="464" ht="70" customHeight="1">
      <c r="A464" s="2" t="inlineStr">
        <is>
          <t xml:space="preserve">conversations</t>
        </is>
      </c>
      <c r="B464" s="2" t="inlineStr">
        <is>
          <t xml:space="preserve">id</t>
        </is>
      </c>
      <c r="C464" s="2" t="inlineStr">
        <is>
          <t xml:space="preserve">BIGINT NOT NULL AUTO_INCREMENT PRIMARY KEY</t>
        </is>
      </c>
      <c r="D464" s="2" t="inlineStr">
        <is>
          <t xml:space="preserve">database/schema.sql:856</t>
        </is>
      </c>
      <c r="E464" s="2" t="inlineStr">
        <is>
          <t xml:space="preserve">roommate-invite, room-chat, roommate-chat, schedule-viewing</t>
        </is>
      </c>
    </row>
    <row r="465" ht="70" customHeight="1">
      <c r="A465" s="0" t="inlineStr">
        <is>
          <t xml:space="preserve">conversations</t>
        </is>
      </c>
      <c r="B465" s="0" t="inlineStr">
        <is>
          <t xml:space="preserve">type</t>
        </is>
      </c>
      <c r="C465" s="0" t="inlineStr">
        <is>
          <t xml:space="preserve">VARCHAR(40) NOT NULL</t>
        </is>
      </c>
      <c r="D465" s="0" t="inlineStr">
        <is>
          <t xml:space="preserve">database/schema.sql:856</t>
        </is>
      </c>
      <c r="E465" s="0" t="inlineStr">
        <is>
          <t xml:space="preserve">roommate-invite, room-chat, roommate-chat, schedule-viewing</t>
        </is>
      </c>
    </row>
    <row r="466" ht="70" customHeight="1">
      <c r="A466" s="2" t="inlineStr">
        <is>
          <t xml:space="preserve">conversations</t>
        </is>
      </c>
      <c r="B466" s="2" t="inlineStr">
        <is>
          <t xml:space="preserve">room_id</t>
        </is>
      </c>
      <c r="C466" s="2" t="inlineStr">
        <is>
          <t xml:space="preserve">BIGINT</t>
        </is>
      </c>
      <c r="D466" s="2" t="inlineStr">
        <is>
          <t xml:space="preserve">database/schema.sql:856</t>
        </is>
      </c>
      <c r="E466" s="2" t="inlineStr">
        <is>
          <t xml:space="preserve">roommate-invite, room-chat, roommate-chat, schedule-viewing</t>
        </is>
      </c>
    </row>
    <row r="467" ht="70" customHeight="1">
      <c r="A467" s="0" t="inlineStr">
        <is>
          <t xml:space="preserve">conversations</t>
        </is>
      </c>
      <c r="B467" s="0" t="inlineStr">
        <is>
          <t xml:space="preserve">post_id</t>
        </is>
      </c>
      <c r="C467" s="0" t="inlineStr">
        <is>
          <t xml:space="preserve">BIGINT</t>
        </is>
      </c>
      <c r="D467" s="0" t="inlineStr">
        <is>
          <t xml:space="preserve">database/schema.sql:856</t>
        </is>
      </c>
      <c r="E467" s="0" t="inlineStr">
        <is>
          <t xml:space="preserve">roommate-invite, room-chat, roommate-chat, schedule-viewing</t>
        </is>
      </c>
    </row>
    <row r="468" ht="70" customHeight="1">
      <c r="A468" s="2" t="inlineStr">
        <is>
          <t xml:space="preserve">conversations</t>
        </is>
      </c>
      <c r="B468" s="2" t="inlineStr">
        <is>
          <t xml:space="preserve">roommate_request_id</t>
        </is>
      </c>
      <c r="C468" s="2" t="inlineStr">
        <is>
          <t xml:space="preserve">BIGINT</t>
        </is>
      </c>
      <c r="D468" s="2" t="inlineStr">
        <is>
          <t xml:space="preserve">database/schema.sql:856</t>
        </is>
      </c>
      <c r="E468" s="2" t="inlineStr">
        <is>
          <t xml:space="preserve">roommate-invite, room-chat, roommate-chat, schedule-viewing</t>
        </is>
      </c>
    </row>
    <row r="469" ht="70" customHeight="1">
      <c r="A469" s="0" t="inlineStr">
        <is>
          <t xml:space="preserve">conversations</t>
        </is>
      </c>
      <c r="B469" s="0" t="inlineStr">
        <is>
          <t xml:space="preserve">last_message_id</t>
        </is>
      </c>
      <c r="C469" s="0" t="inlineStr">
        <is>
          <t xml:space="preserve">BIGINT</t>
        </is>
      </c>
      <c r="D469" s="0" t="inlineStr">
        <is>
          <t xml:space="preserve">database/schema.sql:856</t>
        </is>
      </c>
      <c r="E469" s="0" t="inlineStr">
        <is>
          <t xml:space="preserve">roommate-invite, room-chat, roommate-chat, schedule-viewing</t>
        </is>
      </c>
    </row>
    <row r="470" ht="70" customHeight="1">
      <c r="A470" s="2" t="inlineStr">
        <is>
          <t xml:space="preserve">conversations</t>
        </is>
      </c>
      <c r="B470" s="2" t="inlineStr">
        <is>
          <t xml:space="preserve">last_message_at</t>
        </is>
      </c>
      <c r="C470" s="2" t="inlineStr">
        <is>
          <t xml:space="preserve">DATETIME(6)</t>
        </is>
      </c>
      <c r="D470" s="2" t="inlineStr">
        <is>
          <t xml:space="preserve">database/schema.sql:856</t>
        </is>
      </c>
      <c r="E470" s="2" t="inlineStr">
        <is>
          <t xml:space="preserve">roommate-invite, room-chat, roommate-chat, schedule-viewing</t>
        </is>
      </c>
    </row>
    <row r="471" ht="70" customHeight="1">
      <c r="A471" s="0" t="inlineStr">
        <is>
          <t xml:space="preserve">conversations</t>
        </is>
      </c>
      <c r="B471" s="0" t="inlineStr">
        <is>
          <t xml:space="preserve">created_at</t>
        </is>
      </c>
      <c r="C471" s="0" t="inlineStr">
        <is>
          <t xml:space="preserve">DATETIME(6) NOT NULL DEFAULT CURRENT_TIMESTAMP(6)</t>
        </is>
      </c>
      <c r="D471" s="0" t="inlineStr">
        <is>
          <t xml:space="preserve">database/schema.sql:856</t>
        </is>
      </c>
      <c r="E471" s="0" t="inlineStr">
        <is>
          <t xml:space="preserve">roommate-invite, room-chat, roommate-chat, schedule-viewing</t>
        </is>
      </c>
    </row>
    <row r="472" ht="70" customHeight="1">
      <c r="A472" s="2" t="inlineStr">
        <is>
          <t xml:space="preserve">conversations</t>
        </is>
      </c>
      <c r="B472" s="2" t="inlineStr">
        <is>
          <t xml:space="preserve">updated_at</t>
        </is>
      </c>
      <c r="C472" s="2" t="inlineStr">
        <is>
          <t xml:space="preserve">DATETIME(6) NOT NULL DEFAULT CURRENT_TIMESTAMP(6)</t>
        </is>
      </c>
      <c r="D472" s="2" t="inlineStr">
        <is>
          <t xml:space="preserve">database/schema.sql:856</t>
        </is>
      </c>
      <c r="E472" s="2" t="inlineStr">
        <is>
          <t xml:space="preserve">roommate-invite, room-chat, roommate-chat, schedule-viewing</t>
        </is>
      </c>
    </row>
    <row r="473" ht="70" customHeight="1">
      <c r="A473" s="0" t="inlineStr">
        <is>
          <t xml:space="preserve">conversation_participants</t>
        </is>
      </c>
      <c r="B473" s="0" t="inlineStr">
        <is>
          <t xml:space="preserve">id</t>
        </is>
      </c>
      <c r="C473" s="0" t="inlineStr">
        <is>
          <t xml:space="preserve">BIGINT NOT NULL AUTO_INCREMENT PRIMARY KEY</t>
        </is>
      </c>
      <c r="D473" s="0" t="inlineStr">
        <is>
          <t xml:space="preserve">database/schema.sql:874</t>
        </is>
      </c>
      <c r="E473" s="0" t="inlineStr">
        <is>
          <t xml:space="preserve">roommate-invite, room-chat, roommate-chat</t>
        </is>
      </c>
    </row>
    <row r="474" ht="70" customHeight="1">
      <c r="A474" s="2" t="inlineStr">
        <is>
          <t xml:space="preserve">conversation_participants</t>
        </is>
      </c>
      <c r="B474" s="2" t="inlineStr">
        <is>
          <t xml:space="preserve">conversation_id</t>
        </is>
      </c>
      <c r="C474" s="2" t="inlineStr">
        <is>
          <t xml:space="preserve">BIGINT NOT NULL</t>
        </is>
      </c>
      <c r="D474" s="2" t="inlineStr">
        <is>
          <t xml:space="preserve">database/schema.sql:874</t>
        </is>
      </c>
      <c r="E474" s="2" t="inlineStr">
        <is>
          <t xml:space="preserve">roommate-invite, room-chat, roommate-chat</t>
        </is>
      </c>
    </row>
    <row r="475" ht="70" customHeight="1">
      <c r="A475" s="0" t="inlineStr">
        <is>
          <t xml:space="preserve">conversation_participants</t>
        </is>
      </c>
      <c r="B475" s="0" t="inlineStr">
        <is>
          <t xml:space="preserve">user_id</t>
        </is>
      </c>
      <c r="C475" s="0" t="inlineStr">
        <is>
          <t xml:space="preserve">BIGINT NOT NULL</t>
        </is>
      </c>
      <c r="D475" s="0" t="inlineStr">
        <is>
          <t xml:space="preserve">database/schema.sql:874</t>
        </is>
      </c>
      <c r="E475" s="0" t="inlineStr">
        <is>
          <t xml:space="preserve">roommate-invite, room-chat, roommate-chat</t>
        </is>
      </c>
    </row>
    <row r="476" ht="70" customHeight="1">
      <c r="A476" s="2" t="inlineStr">
        <is>
          <t xml:space="preserve">conversation_participants</t>
        </is>
      </c>
      <c r="B476" s="2" t="inlineStr">
        <is>
          <t xml:space="preserve">joined_at</t>
        </is>
      </c>
      <c r="C476" s="2" t="inlineStr">
        <is>
          <t xml:space="preserve">DATETIME(6) NOT NULL</t>
        </is>
      </c>
      <c r="D476" s="2" t="inlineStr">
        <is>
          <t xml:space="preserve">database/schema.sql:874</t>
        </is>
      </c>
      <c r="E476" s="2" t="inlineStr">
        <is>
          <t xml:space="preserve">roommate-invite, room-chat, roommate-chat</t>
        </is>
      </c>
    </row>
    <row r="477" ht="70" customHeight="1">
      <c r="A477" s="0" t="inlineStr">
        <is>
          <t xml:space="preserve">conversation_participants</t>
        </is>
      </c>
      <c r="B477" s="0" t="inlineStr">
        <is>
          <t xml:space="preserve">last_read_at</t>
        </is>
      </c>
      <c r="C477" s="0" t="inlineStr">
        <is>
          <t xml:space="preserve">DATETIME(6)</t>
        </is>
      </c>
      <c r="D477" s="0" t="inlineStr">
        <is>
          <t xml:space="preserve">database/schema.sql:874</t>
        </is>
      </c>
      <c r="E477" s="0" t="inlineStr">
        <is>
          <t xml:space="preserve">roommate-invite, room-chat, roommate-chat</t>
        </is>
      </c>
    </row>
    <row r="478" ht="70" customHeight="1">
      <c r="A478" s="2" t="inlineStr">
        <is>
          <t xml:space="preserve">conversation_participants</t>
        </is>
      </c>
      <c r="B478" s="2" t="inlineStr">
        <is>
          <t xml:space="preserve">left_at</t>
        </is>
      </c>
      <c r="C478" s="2" t="inlineStr">
        <is>
          <t xml:space="preserve">DATETIME(6)</t>
        </is>
      </c>
      <c r="D478" s="2" t="inlineStr">
        <is>
          <t xml:space="preserve">database/schema.sql:874</t>
        </is>
      </c>
      <c r="E478" s="2" t="inlineStr">
        <is>
          <t xml:space="preserve">roommate-invite, room-chat, roommate-chat</t>
        </is>
      </c>
    </row>
    <row r="479" ht="70" customHeight="1">
      <c r="A479" s="0" t="inlineStr">
        <is>
          <t xml:space="preserve">conversation_participants</t>
        </is>
      </c>
      <c r="B479" s="0" t="inlineStr">
        <is>
          <t xml:space="preserve">muted</t>
        </is>
      </c>
      <c r="C479" s="0" t="inlineStr">
        <is>
          <t xml:space="preserve">BOOLEAN NOT NULL DEFAULT FALSE</t>
        </is>
      </c>
      <c r="D479" s="0" t="inlineStr">
        <is>
          <t xml:space="preserve">database/schema.sql:874</t>
        </is>
      </c>
      <c r="E479" s="0" t="inlineStr">
        <is>
          <t xml:space="preserve">roommate-invite, room-chat, roommate-chat</t>
        </is>
      </c>
    </row>
    <row r="480" ht="70" customHeight="1">
      <c r="A480" s="2" t="inlineStr">
        <is>
          <t xml:space="preserve">conversation_participants</t>
        </is>
      </c>
      <c r="B480" s="2" t="inlineStr">
        <is>
          <t xml:space="preserve">archived</t>
        </is>
      </c>
      <c r="C480" s="2" t="inlineStr">
        <is>
          <t xml:space="preserve">BOOLEAN NOT NULL DEFAULT FALSE</t>
        </is>
      </c>
      <c r="D480" s="2" t="inlineStr">
        <is>
          <t xml:space="preserve">database/schema.sql:874</t>
        </is>
      </c>
      <c r="E480" s="2" t="inlineStr">
        <is>
          <t xml:space="preserve">roommate-invite, room-chat, roommate-chat</t>
        </is>
      </c>
    </row>
    <row r="481" ht="70" customHeight="1">
      <c r="A481" s="0" t="inlineStr">
        <is>
          <t xml:space="preserve">conversation_participants</t>
        </is>
      </c>
      <c r="B481" s="0" t="inlineStr">
        <is>
          <t xml:space="preserve">deleted</t>
        </is>
      </c>
      <c r="C481" s="0" t="inlineStr">
        <is>
          <t xml:space="preserve">BOOLEAN NOT NULL DEFAULT FALSE</t>
        </is>
      </c>
      <c r="D481" s="0" t="inlineStr">
        <is>
          <t xml:space="preserve">database/schema.sql:874</t>
        </is>
      </c>
      <c r="E481" s="0" t="inlineStr">
        <is>
          <t xml:space="preserve">roommate-invite, room-chat, roommate-chat</t>
        </is>
      </c>
    </row>
    <row r="482" ht="70" customHeight="1">
      <c r="A482" s="2" t="inlineStr">
        <is>
          <t xml:space="preserve">conversation_participants</t>
        </is>
      </c>
      <c r="B482" s="2" t="inlineStr">
        <is>
          <t xml:space="preserve">created_at</t>
        </is>
      </c>
      <c r="C482" s="2" t="inlineStr">
        <is>
          <t xml:space="preserve">DATETIME(6) NOT NULL DEFAULT CURRENT_TIMESTAMP(6)</t>
        </is>
      </c>
      <c r="D482" s="2" t="inlineStr">
        <is>
          <t xml:space="preserve">database/schema.sql:874</t>
        </is>
      </c>
      <c r="E482" s="2" t="inlineStr">
        <is>
          <t xml:space="preserve">roommate-invite, room-chat, roommate-chat</t>
        </is>
      </c>
    </row>
    <row r="483" ht="70" customHeight="1">
      <c r="A483" s="0" t="inlineStr">
        <is>
          <t xml:space="preserve">conversation_participants</t>
        </is>
      </c>
      <c r="B483" s="0" t="inlineStr">
        <is>
          <t xml:space="preserve">updated_at</t>
        </is>
      </c>
      <c r="C483" s="0" t="inlineStr">
        <is>
          <t xml:space="preserve">DATETIME(6) NOT NULL DEFAULT CURRENT_TIMESTAMP(6)</t>
        </is>
      </c>
      <c r="D483" s="0" t="inlineStr">
        <is>
          <t xml:space="preserve">database/schema.sql:874</t>
        </is>
      </c>
      <c r="E483" s="0" t="inlineStr">
        <is>
          <t xml:space="preserve">roommate-invite, room-chat, roommate-chat</t>
        </is>
      </c>
    </row>
    <row r="484" ht="70" customHeight="1">
      <c r="A484" s="2" t="inlineStr">
        <is>
          <t xml:space="preserve">chat_messages</t>
        </is>
      </c>
      <c r="B484" s="2" t="inlineStr">
        <is>
          <t xml:space="preserve">id</t>
        </is>
      </c>
      <c r="C484" s="2" t="inlineStr">
        <is>
          <t xml:space="preserve">BIGINT NOT NULL AUTO_INCREMENT PRIMARY KEY</t>
        </is>
      </c>
      <c r="D484" s="2" t="inlineStr">
        <is>
          <t xml:space="preserve">database/schema.sql:893</t>
        </is>
      </c>
      <c r="E484" s="2" t="inlineStr">
        <is>
          <t xml:space="preserve">room-chat, roommate-chat, share-post, notifications, schedule-viewing</t>
        </is>
      </c>
    </row>
    <row r="485" ht="70" customHeight="1">
      <c r="A485" s="0" t="inlineStr">
        <is>
          <t xml:space="preserve">chat_messages</t>
        </is>
      </c>
      <c r="B485" s="0" t="inlineStr">
        <is>
          <t xml:space="preserve">conversation_id</t>
        </is>
      </c>
      <c r="C485" s="0" t="inlineStr">
        <is>
          <t xml:space="preserve">BIGINT NOT NULL</t>
        </is>
      </c>
      <c r="D485" s="0" t="inlineStr">
        <is>
          <t xml:space="preserve">database/schema.sql:893</t>
        </is>
      </c>
      <c r="E485" s="0" t="inlineStr">
        <is>
          <t xml:space="preserve">room-chat, roommate-chat, share-post, notifications, schedule-viewing</t>
        </is>
      </c>
    </row>
    <row r="486" ht="70" customHeight="1">
      <c r="A486" s="2" t="inlineStr">
        <is>
          <t xml:space="preserve">chat_messages</t>
        </is>
      </c>
      <c r="B486" s="2" t="inlineStr">
        <is>
          <t xml:space="preserve">sender_id</t>
        </is>
      </c>
      <c r="C486" s="2" t="inlineStr">
        <is>
          <t xml:space="preserve">BIGINT NOT NULL</t>
        </is>
      </c>
      <c r="D486" s="2" t="inlineStr">
        <is>
          <t xml:space="preserve">database/schema.sql:893</t>
        </is>
      </c>
      <c r="E486" s="2" t="inlineStr">
        <is>
          <t xml:space="preserve">room-chat, roommate-chat, share-post, notifications, schedule-viewing</t>
        </is>
      </c>
    </row>
    <row r="487" ht="70" customHeight="1">
      <c r="A487" s="0" t="inlineStr">
        <is>
          <t xml:space="preserve">chat_messages</t>
        </is>
      </c>
      <c r="B487" s="0" t="inlineStr">
        <is>
          <t xml:space="preserve">client_message_key</t>
        </is>
      </c>
      <c r="C487" s="0" t="inlineStr">
        <is>
          <t xml:space="preserve">CHAR(36) NOT NULL</t>
        </is>
      </c>
      <c r="D487" s="0" t="inlineStr">
        <is>
          <t xml:space="preserve">database/schema.sql:893</t>
        </is>
      </c>
      <c r="E487" s="0" t="inlineStr">
        <is>
          <t xml:space="preserve">room-chat, roommate-chat, share-post, notifications, schedule-viewing</t>
        </is>
      </c>
    </row>
    <row r="488" ht="70" customHeight="1">
      <c r="A488" s="2" t="inlineStr">
        <is>
          <t xml:space="preserve">chat_messages</t>
        </is>
      </c>
      <c r="B488" s="2" t="inlineStr">
        <is>
          <t xml:space="preserve">message_type</t>
        </is>
      </c>
      <c r="C488" s="2" t="inlineStr">
        <is>
          <t xml:space="preserve">VARCHAR(40) NOT NULL DEFAULT 'TEXT'</t>
        </is>
      </c>
      <c r="D488" s="2" t="inlineStr">
        <is>
          <t xml:space="preserve">database/schema.sql:893</t>
        </is>
      </c>
      <c r="E488" s="2" t="inlineStr">
        <is>
          <t xml:space="preserve">room-chat, roommate-chat, share-post, notifications, schedule-viewing</t>
        </is>
      </c>
    </row>
    <row r="489" ht="70" customHeight="1">
      <c r="A489" s="0" t="inlineStr">
        <is>
          <t xml:space="preserve">chat_messages</t>
        </is>
      </c>
      <c r="B489" s="0" t="inlineStr">
        <is>
          <t xml:space="preserve">content</t>
        </is>
      </c>
      <c r="C489" s="0" t="inlineStr">
        <is>
          <t xml:space="preserve">TEXT</t>
        </is>
      </c>
      <c r="D489" s="0" t="inlineStr">
        <is>
          <t xml:space="preserve">database/schema.sql:893</t>
        </is>
      </c>
      <c r="E489" s="0" t="inlineStr">
        <is>
          <t xml:space="preserve">room-chat, roommate-chat, share-post, notifications, schedule-viewing</t>
        </is>
      </c>
    </row>
    <row r="490" ht="70" customHeight="1">
      <c r="A490" s="2" t="inlineStr">
        <is>
          <t xml:space="preserve">chat_messages</t>
        </is>
      </c>
      <c r="B490" s="2" t="inlineStr">
        <is>
          <t xml:space="preserve">shared_post_id</t>
        </is>
      </c>
      <c r="C490" s="2" t="inlineStr">
        <is>
          <t xml:space="preserve">BIGINT</t>
        </is>
      </c>
      <c r="D490" s="2" t="inlineStr">
        <is>
          <t xml:space="preserve">database/schema.sql:893</t>
        </is>
      </c>
      <c r="E490" s="2" t="inlineStr">
        <is>
          <t xml:space="preserve">room-chat, roommate-chat, share-post, notifications, schedule-viewing</t>
        </is>
      </c>
    </row>
    <row r="491" ht="70" customHeight="1">
      <c r="A491" s="0" t="inlineStr">
        <is>
          <t xml:space="preserve">chat_messages</t>
        </is>
      </c>
      <c r="B491" s="0" t="inlineStr">
        <is>
          <t xml:space="preserve">sent_at</t>
        </is>
      </c>
      <c r="C491" s="0" t="inlineStr">
        <is>
          <t xml:space="preserve">DATETIME(6) NOT NULL</t>
        </is>
      </c>
      <c r="D491" s="0" t="inlineStr">
        <is>
          <t xml:space="preserve">database/schema.sql:893</t>
        </is>
      </c>
      <c r="E491" s="0" t="inlineStr">
        <is>
          <t xml:space="preserve">room-chat, roommate-chat, share-post, notifications, schedule-viewing</t>
        </is>
      </c>
    </row>
    <row r="492" ht="70" customHeight="1">
      <c r="A492" s="2" t="inlineStr">
        <is>
          <t xml:space="preserve">chat_messages</t>
        </is>
      </c>
      <c r="B492" s="2" t="inlineStr">
        <is>
          <t xml:space="preserve">created_at</t>
        </is>
      </c>
      <c r="C492" s="2" t="inlineStr">
        <is>
          <t xml:space="preserve">DATETIME(6) NOT NULL DEFAULT CURRENT_TIMESTAMP(6)</t>
        </is>
      </c>
      <c r="D492" s="2" t="inlineStr">
        <is>
          <t xml:space="preserve">database/schema.sql:893</t>
        </is>
      </c>
      <c r="E492" s="2" t="inlineStr">
        <is>
          <t xml:space="preserve">room-chat, roommate-chat, share-post, notifications, schedule-viewing</t>
        </is>
      </c>
    </row>
    <row r="493" ht="70" customHeight="1">
      <c r="A493" s="0" t="inlineStr">
        <is>
          <t xml:space="preserve">chat_messages</t>
        </is>
      </c>
      <c r="B493" s="0" t="inlineStr">
        <is>
          <t xml:space="preserve">updated_at</t>
        </is>
      </c>
      <c r="C493" s="0" t="inlineStr">
        <is>
          <t xml:space="preserve">DATETIME(6) NOT NULL DEFAULT CURRENT_TIMESTAMP(6)</t>
        </is>
      </c>
      <c r="D493" s="0" t="inlineStr">
        <is>
          <t xml:space="preserve">database/schema.sql:893</t>
        </is>
      </c>
      <c r="E493" s="0" t="inlineStr">
        <is>
          <t xml:space="preserve">room-chat, roommate-chat, share-post, notifications, schedule-viewing</t>
        </is>
      </c>
    </row>
    <row r="494" ht="70" customHeight="1">
      <c r="A494" s="2" t="inlineStr">
        <is>
          <t xml:space="preserve">notifications</t>
        </is>
      </c>
      <c r="B494" s="2" t="inlineStr">
        <is>
          <t xml:space="preserve">id</t>
        </is>
      </c>
      <c r="C494" s="2" t="inlineStr">
        <is>
          <t xml:space="preserve">BIGINT NOT NULL AUTO_INCREMENT PRIMARY KEY</t>
        </is>
      </c>
      <c r="D494" s="2" t="inlineStr">
        <is>
          <t xml:space="preserve">database/schema.sql:914</t>
        </is>
      </c>
      <c r="E494" s="2" t="inlineStr">
        <is>
          <t xml:space="preserve">house-proof, notifications, propose-viewing, reserve-cleanup, handover, data-safety</t>
        </is>
      </c>
    </row>
    <row r="495" ht="70" customHeight="1">
      <c r="A495" s="0" t="inlineStr">
        <is>
          <t xml:space="preserve">notifications</t>
        </is>
      </c>
      <c r="B495" s="0" t="inlineStr">
        <is>
          <t xml:space="preserve">user_id</t>
        </is>
      </c>
      <c r="C495" s="0" t="inlineStr">
        <is>
          <t xml:space="preserve">BIGINT NOT NULL</t>
        </is>
      </c>
      <c r="D495" s="0" t="inlineStr">
        <is>
          <t xml:space="preserve">database/schema.sql:914</t>
        </is>
      </c>
      <c r="E495" s="0" t="inlineStr">
        <is>
          <t xml:space="preserve">house-proof, notifications, propose-viewing, reserve-cleanup, handover, data-safety</t>
        </is>
      </c>
    </row>
    <row r="496" ht="70" customHeight="1">
      <c r="A496" s="2" t="inlineStr">
        <is>
          <t xml:space="preserve">notifications</t>
        </is>
      </c>
      <c r="B496" s="2" t="inlineStr">
        <is>
          <t xml:space="preserve">type</t>
        </is>
      </c>
      <c r="C496" s="2" t="inlineStr">
        <is>
          <t xml:space="preserve">VARCHAR(60) NOT NULL</t>
        </is>
      </c>
      <c r="D496" s="2" t="inlineStr">
        <is>
          <t xml:space="preserve">database/schema.sql:914</t>
        </is>
      </c>
      <c r="E496" s="2" t="inlineStr">
        <is>
          <t xml:space="preserve">house-proof, notifications, propose-viewing, reserve-cleanup, handover, data-safety</t>
        </is>
      </c>
    </row>
    <row r="497" ht="70" customHeight="1">
      <c r="A497" s="0" t="inlineStr">
        <is>
          <t xml:space="preserve">notifications</t>
        </is>
      </c>
      <c r="B497" s="0" t="inlineStr">
        <is>
          <t xml:space="preserve">title</t>
        </is>
      </c>
      <c r="C497" s="0" t="inlineStr">
        <is>
          <t xml:space="preserve">VARCHAR(200) NOT NULL</t>
        </is>
      </c>
      <c r="D497" s="0" t="inlineStr">
        <is>
          <t xml:space="preserve">database/schema.sql:914</t>
        </is>
      </c>
      <c r="E497" s="0" t="inlineStr">
        <is>
          <t xml:space="preserve">house-proof, notifications, propose-viewing, reserve-cleanup, handover, data-safety</t>
        </is>
      </c>
    </row>
    <row r="498" ht="70" customHeight="1">
      <c r="A498" s="2" t="inlineStr">
        <is>
          <t xml:space="preserve">notifications</t>
        </is>
      </c>
      <c r="B498" s="2" t="inlineStr">
        <is>
          <t xml:space="preserve">content</t>
        </is>
      </c>
      <c r="C498" s="2" t="inlineStr">
        <is>
          <t xml:space="preserve">TEXT NOT NULL</t>
        </is>
      </c>
      <c r="D498" s="2" t="inlineStr">
        <is>
          <t xml:space="preserve">database/schema.sql:914</t>
        </is>
      </c>
      <c r="E498" s="2" t="inlineStr">
        <is>
          <t xml:space="preserve">house-proof, notifications, propose-viewing, reserve-cleanup, handover, data-safety</t>
        </is>
      </c>
    </row>
    <row r="499" ht="70" customHeight="1">
      <c r="A499" s="0" t="inlineStr">
        <is>
          <t xml:space="preserve">notifications</t>
        </is>
      </c>
      <c r="B499" s="0" t="inlineStr">
        <is>
          <t xml:space="preserve">resource_type</t>
        </is>
      </c>
      <c r="C499" s="0" t="inlineStr">
        <is>
          <t xml:space="preserve">VARCHAR(60)</t>
        </is>
      </c>
      <c r="D499" s="0" t="inlineStr">
        <is>
          <t xml:space="preserve">database/schema.sql:914</t>
        </is>
      </c>
      <c r="E499" s="0" t="inlineStr">
        <is>
          <t xml:space="preserve">house-proof, notifications, propose-viewing, reserve-cleanup, handover, data-safety</t>
        </is>
      </c>
    </row>
    <row r="500" ht="70" customHeight="1">
      <c r="A500" s="2" t="inlineStr">
        <is>
          <t xml:space="preserve">notifications</t>
        </is>
      </c>
      <c r="B500" s="2" t="inlineStr">
        <is>
          <t xml:space="preserve">resource_id</t>
        </is>
      </c>
      <c r="C500" s="2" t="inlineStr">
        <is>
          <t xml:space="preserve">BIGINT</t>
        </is>
      </c>
      <c r="D500" s="2" t="inlineStr">
        <is>
          <t xml:space="preserve">database/schema.sql:914</t>
        </is>
      </c>
      <c r="E500" s="2" t="inlineStr">
        <is>
          <t xml:space="preserve">house-proof, notifications, propose-viewing, reserve-cleanup, handover, data-safety</t>
        </is>
      </c>
    </row>
    <row r="501" ht="70" customHeight="1">
      <c r="A501" s="0" t="inlineStr">
        <is>
          <t xml:space="preserve">notifications</t>
        </is>
      </c>
      <c r="B501" s="0" t="inlineStr">
        <is>
          <t xml:space="preserve">event_key</t>
        </is>
      </c>
      <c r="C501" s="0" t="inlineStr">
        <is>
          <t xml:space="preserve">VARCHAR(150) NOT NULL</t>
        </is>
      </c>
      <c r="D501" s="0" t="inlineStr">
        <is>
          <t xml:space="preserve">database/schema.sql:914</t>
        </is>
      </c>
      <c r="E501" s="0" t="inlineStr">
        <is>
          <t xml:space="preserve">house-proof, notifications, propose-viewing, reserve-cleanup, handover, data-safety</t>
        </is>
      </c>
    </row>
    <row r="502" ht="70" customHeight="1">
      <c r="A502" s="2" t="inlineStr">
        <is>
          <t xml:space="preserve">notifications</t>
        </is>
      </c>
      <c r="B502" s="2" t="inlineStr">
        <is>
          <t xml:space="preserve">is_read</t>
        </is>
      </c>
      <c r="C502" s="2" t="inlineStr">
        <is>
          <t xml:space="preserve">BOOLEAN NOT NULL DEFAULT FALSE</t>
        </is>
      </c>
      <c r="D502" s="2" t="inlineStr">
        <is>
          <t xml:space="preserve">database/schema.sql:914</t>
        </is>
      </c>
      <c r="E502" s="2" t="inlineStr">
        <is>
          <t xml:space="preserve">house-proof, notifications, propose-viewing, reserve-cleanup, handover, data-safety</t>
        </is>
      </c>
    </row>
    <row r="503" ht="70" customHeight="1">
      <c r="A503" s="0" t="inlineStr">
        <is>
          <t xml:space="preserve">notifications</t>
        </is>
      </c>
      <c r="B503" s="0" t="inlineStr">
        <is>
          <t xml:space="preserve">read_at</t>
        </is>
      </c>
      <c r="C503" s="0" t="inlineStr">
        <is>
          <t xml:space="preserve">DATETIME(6)</t>
        </is>
      </c>
      <c r="D503" s="0" t="inlineStr">
        <is>
          <t xml:space="preserve">database/schema.sql:914</t>
        </is>
      </c>
      <c r="E503" s="0" t="inlineStr">
        <is>
          <t xml:space="preserve">house-proof, notifications, propose-viewing, reserve-cleanup, handover, data-safety</t>
        </is>
      </c>
    </row>
    <row r="504" ht="70" customHeight="1">
      <c r="A504" s="2" t="inlineStr">
        <is>
          <t xml:space="preserve">notifications</t>
        </is>
      </c>
      <c r="B504" s="2" t="inlineStr">
        <is>
          <t xml:space="preserve">created_at</t>
        </is>
      </c>
      <c r="C504" s="2" t="inlineStr">
        <is>
          <t xml:space="preserve">DATETIME(6) NOT NULL DEFAULT CURRENT_TIMESTAMP(6)</t>
        </is>
      </c>
      <c r="D504" s="2" t="inlineStr">
        <is>
          <t xml:space="preserve">database/schema.sql:914</t>
        </is>
      </c>
      <c r="E504" s="2" t="inlineStr">
        <is>
          <t xml:space="preserve">house-proof, notifications, propose-viewing, reserve-cleanup, handover, data-safety</t>
        </is>
      </c>
    </row>
    <row r="505" ht="70" customHeight="1">
      <c r="A505" s="0" t="inlineStr">
        <is>
          <t xml:space="preserve">notifications</t>
        </is>
      </c>
      <c r="B505" s="0" t="inlineStr">
        <is>
          <t xml:space="preserve">updated_at</t>
        </is>
      </c>
      <c r="C505" s="0" t="inlineStr">
        <is>
          <t xml:space="preserve">DATETIME(6) NOT NULL DEFAULT CURRENT_TIMESTAMP(6)</t>
        </is>
      </c>
      <c r="D505" s="0" t="inlineStr">
        <is>
          <t xml:space="preserve">database/schema.sql:914</t>
        </is>
      </c>
      <c r="E505" s="0" t="inlineStr">
        <is>
          <t xml:space="preserve">house-proof, notifications, propose-viewing, reserve-cleanup, handover, data-safety</t>
        </is>
      </c>
    </row>
    <row r="506" ht="70" customHeight="1">
      <c r="A506" s="2" t="inlineStr">
        <is>
          <t xml:space="preserve">reports</t>
        </is>
      </c>
      <c r="B506" s="2" t="inlineStr">
        <is>
          <t xml:space="preserve">id</t>
        </is>
      </c>
      <c r="C506" s="2" t="inlineStr">
        <is>
          <t xml:space="preserve">BIGINT NOT NULL AUTO_INCREMENT PRIMARY KEY</t>
        </is>
      </c>
      <c r="D506" s="2" t="inlineStr">
        <is>
          <t xml:space="preserve">database/schema.sql:935</t>
        </is>
      </c>
      <c r="E506" s="2" t="inlineStr">
        <is>
          <t xml:space="preserve">report</t>
        </is>
      </c>
    </row>
    <row r="507" ht="70" customHeight="1">
      <c r="A507" s="0" t="inlineStr">
        <is>
          <t xml:space="preserve">reports</t>
        </is>
      </c>
      <c r="B507" s="0" t="inlineStr">
        <is>
          <t xml:space="preserve">reporter_id</t>
        </is>
      </c>
      <c r="C507" s="0" t="inlineStr">
        <is>
          <t xml:space="preserve">BIGINT NOT NULL</t>
        </is>
      </c>
      <c r="D507" s="0" t="inlineStr">
        <is>
          <t xml:space="preserve">database/schema.sql:935</t>
        </is>
      </c>
      <c r="E507" s="0" t="inlineStr">
        <is>
          <t xml:space="preserve">report</t>
        </is>
      </c>
    </row>
    <row r="508" ht="70" customHeight="1">
      <c r="A508" s="2" t="inlineStr">
        <is>
          <t xml:space="preserve">reports</t>
        </is>
      </c>
      <c r="B508" s="2" t="inlineStr">
        <is>
          <t xml:space="preserve">type</t>
        </is>
      </c>
      <c r="C508" s="2" t="inlineStr">
        <is>
          <t xml:space="preserve">VARCHAR(40) NOT NULL</t>
        </is>
      </c>
      <c r="D508" s="2" t="inlineStr">
        <is>
          <t xml:space="preserve">database/schema.sql:935</t>
        </is>
      </c>
      <c r="E508" s="2" t="inlineStr">
        <is>
          <t xml:space="preserve">report</t>
        </is>
      </c>
    </row>
    <row r="509" ht="70" customHeight="1">
      <c r="A509" s="0" t="inlineStr">
        <is>
          <t xml:space="preserve">reports</t>
        </is>
      </c>
      <c r="B509" s="0" t="inlineStr">
        <is>
          <t xml:space="preserve">reported_user_id</t>
        </is>
      </c>
      <c r="C509" s="0" t="inlineStr">
        <is>
          <t xml:space="preserve">BIGINT</t>
        </is>
      </c>
      <c r="D509" s="0" t="inlineStr">
        <is>
          <t xml:space="preserve">database/schema.sql:935</t>
        </is>
      </c>
      <c r="E509" s="0" t="inlineStr">
        <is>
          <t xml:space="preserve">report</t>
        </is>
      </c>
    </row>
    <row r="510" ht="70" customHeight="1">
      <c r="A510" s="2" t="inlineStr">
        <is>
          <t xml:space="preserve">reports</t>
        </is>
      </c>
      <c r="B510" s="2" t="inlineStr">
        <is>
          <t xml:space="preserve">reported_post_id</t>
        </is>
      </c>
      <c r="C510" s="2" t="inlineStr">
        <is>
          <t xml:space="preserve">BIGINT</t>
        </is>
      </c>
      <c r="D510" s="2" t="inlineStr">
        <is>
          <t xml:space="preserve">database/schema.sql:935</t>
        </is>
      </c>
      <c r="E510" s="2" t="inlineStr">
        <is>
          <t xml:space="preserve">report</t>
        </is>
      </c>
    </row>
    <row r="511" ht="70" customHeight="1">
      <c r="A511" s="0" t="inlineStr">
        <is>
          <t xml:space="preserve">reports</t>
        </is>
      </c>
      <c r="B511" s="0" t="inlineStr">
        <is>
          <t xml:space="preserve">contract_id</t>
        </is>
      </c>
      <c r="C511" s="0" t="inlineStr">
        <is>
          <t xml:space="preserve">BIGINT</t>
        </is>
      </c>
      <c r="D511" s="0" t="inlineStr">
        <is>
          <t xml:space="preserve">database/schema.sql:935</t>
        </is>
      </c>
      <c r="E511" s="0" t="inlineStr">
        <is>
          <t xml:space="preserve">report</t>
        </is>
      </c>
    </row>
    <row r="512" ht="70" customHeight="1">
      <c r="A512" s="2" t="inlineStr">
        <is>
          <t xml:space="preserve">reports</t>
        </is>
      </c>
      <c r="B512" s="2" t="inlineStr">
        <is>
          <t xml:space="preserve">roommate_request_id</t>
        </is>
      </c>
      <c r="C512" s="2" t="inlineStr">
        <is>
          <t xml:space="preserve">BIGINT</t>
        </is>
      </c>
      <c r="D512" s="2" t="inlineStr">
        <is>
          <t xml:space="preserve">database/schema.sql:935</t>
        </is>
      </c>
      <c r="E512" s="2" t="inlineStr">
        <is>
          <t xml:space="preserve">report</t>
        </is>
      </c>
    </row>
    <row r="513" ht="70" customHeight="1">
      <c r="A513" s="0" t="inlineStr">
        <is>
          <t xml:space="preserve">reports</t>
        </is>
      </c>
      <c r="B513" s="0" t="inlineStr">
        <is>
          <t xml:space="preserve">reason</t>
        </is>
      </c>
      <c r="C513" s="0" t="inlineStr">
        <is>
          <t xml:space="preserve">TEXT NOT NULL</t>
        </is>
      </c>
      <c r="D513" s="0" t="inlineStr">
        <is>
          <t xml:space="preserve">database/schema.sql:935</t>
        </is>
      </c>
      <c r="E513" s="0" t="inlineStr">
        <is>
          <t xml:space="preserve">report</t>
        </is>
      </c>
    </row>
    <row r="514" ht="70" customHeight="1">
      <c r="A514" s="2" t="inlineStr">
        <is>
          <t xml:space="preserve">reports</t>
        </is>
      </c>
      <c r="B514" s="2" t="inlineStr">
        <is>
          <t xml:space="preserve">status</t>
        </is>
      </c>
      <c r="C514" s="2" t="inlineStr">
        <is>
          <t xml:space="preserve">VARCHAR(40) NOT NULL DEFAULT 'PENDING'</t>
        </is>
      </c>
      <c r="D514" s="2" t="inlineStr">
        <is>
          <t xml:space="preserve">database/schema.sql:935</t>
        </is>
      </c>
      <c r="E514" s="2" t="inlineStr">
        <is>
          <t xml:space="preserve">report</t>
        </is>
      </c>
    </row>
    <row r="515" ht="70" customHeight="1">
      <c r="A515" s="0" t="inlineStr">
        <is>
          <t xml:space="preserve">reports</t>
        </is>
      </c>
      <c r="B515" s="0" t="inlineStr">
        <is>
          <t xml:space="preserve">resolution</t>
        </is>
      </c>
      <c r="C515" s="0" t="inlineStr">
        <is>
          <t xml:space="preserve">TEXT</t>
        </is>
      </c>
      <c r="D515" s="0" t="inlineStr">
        <is>
          <t xml:space="preserve">database/schema.sql:935</t>
        </is>
      </c>
      <c r="E515" s="0" t="inlineStr">
        <is>
          <t xml:space="preserve">report</t>
        </is>
      </c>
    </row>
    <row r="516" ht="70" customHeight="1">
      <c r="A516" s="2" t="inlineStr">
        <is>
          <t xml:space="preserve">reports</t>
        </is>
      </c>
      <c r="B516" s="2" t="inlineStr">
        <is>
          <t xml:space="preserve">handled_by_id</t>
        </is>
      </c>
      <c r="C516" s="2" t="inlineStr">
        <is>
          <t xml:space="preserve">BIGINT</t>
        </is>
      </c>
      <c r="D516" s="2" t="inlineStr">
        <is>
          <t xml:space="preserve">database/schema.sql:935</t>
        </is>
      </c>
      <c r="E516" s="2" t="inlineStr">
        <is>
          <t xml:space="preserve">report</t>
        </is>
      </c>
    </row>
    <row r="517" ht="70" customHeight="1">
      <c r="A517" s="0" t="inlineStr">
        <is>
          <t xml:space="preserve">reports</t>
        </is>
      </c>
      <c r="B517" s="0" t="inlineStr">
        <is>
          <t xml:space="preserve">handled_at</t>
        </is>
      </c>
      <c r="C517" s="0" t="inlineStr">
        <is>
          <t xml:space="preserve">DATETIME(6)</t>
        </is>
      </c>
      <c r="D517" s="0" t="inlineStr">
        <is>
          <t xml:space="preserve">database/schema.sql:935</t>
        </is>
      </c>
      <c r="E517" s="0" t="inlineStr">
        <is>
          <t xml:space="preserve">report</t>
        </is>
      </c>
    </row>
    <row r="518" ht="70" customHeight="1">
      <c r="A518" s="2" t="inlineStr">
        <is>
          <t xml:space="preserve">reports</t>
        </is>
      </c>
      <c r="B518" s="2" t="inlineStr">
        <is>
          <t xml:space="preserve">created_at</t>
        </is>
      </c>
      <c r="C518" s="2" t="inlineStr">
        <is>
          <t xml:space="preserve">DATETIME(6) NOT NULL DEFAULT CURRENT_TIMESTAMP(6)</t>
        </is>
      </c>
      <c r="D518" s="2" t="inlineStr">
        <is>
          <t xml:space="preserve">database/schema.sql:935</t>
        </is>
      </c>
      <c r="E518" s="2" t="inlineStr">
        <is>
          <t xml:space="preserve">report</t>
        </is>
      </c>
    </row>
    <row r="519" ht="70" customHeight="1">
      <c r="A519" s="0" t="inlineStr">
        <is>
          <t xml:space="preserve">reports</t>
        </is>
      </c>
      <c r="B519" s="0" t="inlineStr">
        <is>
          <t xml:space="preserve">updated_at</t>
        </is>
      </c>
      <c r="C519" s="0" t="inlineStr">
        <is>
          <t xml:space="preserve">DATETIME(6) NOT NULL DEFAULT CURRENT_TIMESTAMP(6)</t>
        </is>
      </c>
      <c r="D519" s="0" t="inlineStr">
        <is>
          <t xml:space="preserve">database/schema.sql:935</t>
        </is>
      </c>
      <c r="E519" s="0" t="inlineStr">
        <is>
          <t xml:space="preserve">report</t>
        </is>
      </c>
    </row>
    <row r="520" ht="70" customHeight="1">
      <c r="A520" s="2" t="inlineStr">
        <is>
          <t xml:space="preserve">moderation_actions</t>
        </is>
      </c>
      <c r="B520" s="2" t="inlineStr">
        <is>
          <t xml:space="preserve">id</t>
        </is>
      </c>
      <c r="C520" s="2" t="inlineStr">
        <is>
          <t xml:space="preserve">BIGINT NOT NULL AUTO_INCREMENT PRIMARY KEY</t>
        </is>
      </c>
      <c r="D520" s="2" t="inlineStr">
        <is>
          <t xml:space="preserve">database/schema.sql:959</t>
        </is>
      </c>
      <c r="E520" s="2" t="inlineStr">
        <is>
          <t xml:space="preserve">identity, house-proof, moderate-post, report, lock-account, audit</t>
        </is>
      </c>
    </row>
    <row r="521" ht="70" customHeight="1">
      <c r="A521" s="0" t="inlineStr">
        <is>
          <t xml:space="preserve">moderation_actions</t>
        </is>
      </c>
      <c r="B521" s="0" t="inlineStr">
        <is>
          <t xml:space="preserve">actor_user_id</t>
        </is>
      </c>
      <c r="C521" s="0" t="inlineStr">
        <is>
          <t xml:space="preserve">BIGINT NOT NULL</t>
        </is>
      </c>
      <c r="D521" s="0" t="inlineStr">
        <is>
          <t xml:space="preserve">database/schema.sql:959</t>
        </is>
      </c>
      <c r="E521" s="0" t="inlineStr">
        <is>
          <t xml:space="preserve">identity, house-proof, moderate-post, report, lock-account, audit</t>
        </is>
      </c>
    </row>
    <row r="522" ht="70" customHeight="1">
      <c r="A522" s="2" t="inlineStr">
        <is>
          <t xml:space="preserve">moderation_actions</t>
        </is>
      </c>
      <c r="B522" s="2" t="inlineStr">
        <is>
          <t xml:space="preserve">target_user_id</t>
        </is>
      </c>
      <c r="C522" s="2" t="inlineStr">
        <is>
          <t xml:space="preserve">BIGINT</t>
        </is>
      </c>
      <c r="D522" s="2" t="inlineStr">
        <is>
          <t xml:space="preserve">database/schema.sql:959</t>
        </is>
      </c>
      <c r="E522" s="2" t="inlineStr">
        <is>
          <t xml:space="preserve">identity, house-proof, moderate-post, report, lock-account, audit</t>
        </is>
      </c>
    </row>
    <row r="523" ht="70" customHeight="1">
      <c r="A523" s="0" t="inlineStr">
        <is>
          <t xml:space="preserve">moderation_actions</t>
        </is>
      </c>
      <c r="B523" s="0" t="inlineStr">
        <is>
          <t xml:space="preserve">target_post_id</t>
        </is>
      </c>
      <c r="C523" s="0" t="inlineStr">
        <is>
          <t xml:space="preserve">BIGINT</t>
        </is>
      </c>
      <c r="D523" s="0" t="inlineStr">
        <is>
          <t xml:space="preserve">database/schema.sql:959</t>
        </is>
      </c>
      <c r="E523" s="0" t="inlineStr">
        <is>
          <t xml:space="preserve">identity, house-proof, moderate-post, report, lock-account, audit</t>
        </is>
      </c>
    </row>
    <row r="524" ht="70" customHeight="1">
      <c r="A524" s="2" t="inlineStr">
        <is>
          <t xml:space="preserve">moderation_actions</t>
        </is>
      </c>
      <c r="B524" s="2" t="inlineStr">
        <is>
          <t xml:space="preserve">target_report_id</t>
        </is>
      </c>
      <c r="C524" s="2" t="inlineStr">
        <is>
          <t xml:space="preserve">BIGINT</t>
        </is>
      </c>
      <c r="D524" s="2" t="inlineStr">
        <is>
          <t xml:space="preserve">database/schema.sql:959</t>
        </is>
      </c>
      <c r="E524" s="2" t="inlineStr">
        <is>
          <t xml:space="preserve">identity, house-proof, moderate-post, report, lock-account, audit</t>
        </is>
      </c>
    </row>
    <row r="525" ht="70" customHeight="1">
      <c r="A525" s="0" t="inlineStr">
        <is>
          <t xml:space="preserve">moderation_actions</t>
        </is>
      </c>
      <c r="B525" s="0" t="inlineStr">
        <is>
          <t xml:space="preserve">target_landlord_verification_id</t>
        </is>
      </c>
      <c r="C525" s="0" t="inlineStr">
        <is>
          <t xml:space="preserve">BIGINT</t>
        </is>
      </c>
      <c r="D525" s="0" t="inlineStr">
        <is>
          <t xml:space="preserve">database/schema.sql:959</t>
        </is>
      </c>
      <c r="E525" s="0" t="inlineStr">
        <is>
          <t xml:space="preserve">identity, house-proof, moderate-post, report, lock-account, audit</t>
        </is>
      </c>
    </row>
    <row r="526" ht="70" customHeight="1">
      <c r="A526" s="2" t="inlineStr">
        <is>
          <t xml:space="preserve">moderation_actions</t>
        </is>
      </c>
      <c r="B526" s="2" t="inlineStr">
        <is>
          <t xml:space="preserve">target_tenant_verification_id</t>
        </is>
      </c>
      <c r="C526" s="2" t="inlineStr">
        <is>
          <t xml:space="preserve">BIGINT</t>
        </is>
      </c>
      <c r="D526" s="2" t="inlineStr">
        <is>
          <t xml:space="preserve">database/schema.sql:959</t>
        </is>
      </c>
      <c r="E526" s="2" t="inlineStr">
        <is>
          <t xml:space="preserve">identity, house-proof, moderate-post, report, lock-account, audit</t>
        </is>
      </c>
    </row>
    <row r="527" ht="70" customHeight="1">
      <c r="A527" s="0" t="inlineStr">
        <is>
          <t xml:space="preserve">moderation_actions</t>
        </is>
      </c>
      <c r="B527" s="0" t="inlineStr">
        <is>
          <t xml:space="preserve">related_report_id</t>
        </is>
      </c>
      <c r="C527" s="0" t="inlineStr">
        <is>
          <t xml:space="preserve">BIGINT</t>
        </is>
      </c>
      <c r="D527" s="0" t="inlineStr">
        <is>
          <t xml:space="preserve">database/schema.sql:959</t>
        </is>
      </c>
      <c r="E527" s="0" t="inlineStr">
        <is>
          <t xml:space="preserve">identity, house-proof, moderate-post, report, lock-account, audit</t>
        </is>
      </c>
    </row>
    <row r="528" ht="70" customHeight="1">
      <c r="A528" s="2" t="inlineStr">
        <is>
          <t xml:space="preserve">moderation_actions</t>
        </is>
      </c>
      <c r="B528" s="2" t="inlineStr">
        <is>
          <t xml:space="preserve">action</t>
        </is>
      </c>
      <c r="C528" s="2" t="inlineStr">
        <is>
          <t xml:space="preserve">VARCHAR(80) NOT NULL</t>
        </is>
      </c>
      <c r="D528" s="2" t="inlineStr">
        <is>
          <t xml:space="preserve">database/schema.sql:959</t>
        </is>
      </c>
      <c r="E528" s="2" t="inlineStr">
        <is>
          <t xml:space="preserve">identity, house-proof, moderate-post, report, lock-account, audit</t>
        </is>
      </c>
    </row>
    <row r="529" ht="70" customHeight="1">
      <c r="A529" s="0" t="inlineStr">
        <is>
          <t xml:space="preserve">moderation_actions</t>
        </is>
      </c>
      <c r="B529" s="0" t="inlineStr">
        <is>
          <t xml:space="preserve">reason</t>
        </is>
      </c>
      <c r="C529" s="0" t="inlineStr">
        <is>
          <t xml:space="preserve">TEXT NOT NULL</t>
        </is>
      </c>
      <c r="D529" s="0" t="inlineStr">
        <is>
          <t xml:space="preserve">database/schema.sql:959</t>
        </is>
      </c>
      <c r="E529" s="0" t="inlineStr">
        <is>
          <t xml:space="preserve">identity, house-proof, moderate-post, report, lock-account, audit</t>
        </is>
      </c>
    </row>
    <row r="530" ht="70" customHeight="1">
      <c r="A530" s="2" t="inlineStr">
        <is>
          <t xml:space="preserve">moderation_actions</t>
        </is>
      </c>
      <c r="B530" s="2" t="inlineStr">
        <is>
          <t xml:space="preserve">before_snapshot</t>
        </is>
      </c>
      <c r="C530" s="2" t="inlineStr">
        <is>
          <t xml:space="preserve">JSON</t>
        </is>
      </c>
      <c r="D530" s="2" t="inlineStr">
        <is>
          <t xml:space="preserve">database/schema.sql:959</t>
        </is>
      </c>
      <c r="E530" s="2" t="inlineStr">
        <is>
          <t xml:space="preserve">identity, house-proof, moderate-post, report, lock-account, audit</t>
        </is>
      </c>
    </row>
    <row r="531" ht="70" customHeight="1">
      <c r="A531" s="0" t="inlineStr">
        <is>
          <t xml:space="preserve">moderation_actions</t>
        </is>
      </c>
      <c r="B531" s="0" t="inlineStr">
        <is>
          <t xml:space="preserve">after_snapshot</t>
        </is>
      </c>
      <c r="C531" s="0" t="inlineStr">
        <is>
          <t xml:space="preserve">JSON</t>
        </is>
      </c>
      <c r="D531" s="0" t="inlineStr">
        <is>
          <t xml:space="preserve">database/schema.sql:959</t>
        </is>
      </c>
      <c r="E531" s="0" t="inlineStr">
        <is>
          <t xml:space="preserve">identity, house-proof, moderate-post, report, lock-account, audit</t>
        </is>
      </c>
    </row>
    <row r="532" ht="70" customHeight="1">
      <c r="A532" s="2" t="inlineStr">
        <is>
          <t xml:space="preserve">moderation_actions</t>
        </is>
      </c>
      <c r="B532" s="2" t="inlineStr">
        <is>
          <t xml:space="preserve">occurred_at</t>
        </is>
      </c>
      <c r="C532" s="2" t="inlineStr">
        <is>
          <t xml:space="preserve">DATETIME(6) NOT NULL</t>
        </is>
      </c>
      <c r="D532" s="2" t="inlineStr">
        <is>
          <t xml:space="preserve">database/schema.sql:959</t>
        </is>
      </c>
      <c r="E532" s="2" t="inlineStr">
        <is>
          <t xml:space="preserve">identity, house-proof, moderate-post, report, lock-account, audit</t>
        </is>
      </c>
    </row>
    <row r="533" ht="70" customHeight="1">
      <c r="A533" s="0" t="inlineStr">
        <is>
          <t xml:space="preserve">moderation_actions</t>
        </is>
      </c>
      <c r="B533" s="0" t="inlineStr">
        <is>
          <t xml:space="preserve">created_at</t>
        </is>
      </c>
      <c r="C533" s="0" t="inlineStr">
        <is>
          <t xml:space="preserve">DATETIME(6) NOT NULL DEFAULT CURRENT_TIMESTAMP(6)</t>
        </is>
      </c>
      <c r="D533" s="0" t="inlineStr">
        <is>
          <t xml:space="preserve">database/schema.sql:959</t>
        </is>
      </c>
      <c r="E533" s="0" t="inlineStr">
        <is>
          <t xml:space="preserve">identity, house-proof, moderate-post, report, lock-account, audit</t>
        </is>
      </c>
    </row>
    <row r="534" ht="70" customHeight="1">
      <c r="A534" s="2" t="inlineStr">
        <is>
          <t xml:space="preserve">moderation_actions</t>
        </is>
      </c>
      <c r="B534" s="2" t="inlineStr">
        <is>
          <t xml:space="preserve">updated_at</t>
        </is>
      </c>
      <c r="C534" s="2" t="inlineStr">
        <is>
          <t xml:space="preserve">DATETIME(6) NOT NULL DEFAULT CURRENT_TIMESTAMP(6)</t>
        </is>
      </c>
      <c r="D534" s="2" t="inlineStr">
        <is>
          <t xml:space="preserve">database/schema.sql:959</t>
        </is>
      </c>
      <c r="E534" s="2" t="inlineStr">
        <is>
          <t xml:space="preserve">identity, house-proof, moderate-post, report, lock-account, audit</t>
        </is>
      </c>
    </row>
    <row r="535" ht="70" customHeight="1">
      <c r="A535" s="0" t="inlineStr">
        <is>
          <t xml:space="preserve">room_viewing_proposals</t>
        </is>
      </c>
      <c r="B535" s="0" t="inlineStr">
        <is>
          <t xml:space="preserve">id</t>
        </is>
      </c>
      <c r="C535" s="0" t="inlineStr">
        <is>
          <t xml:space="preserve">BIGINT NOT NULL AUTO_INCREMENT PRIMARY KEY</t>
        </is>
      </c>
      <c r="D535" s="0" t="inlineStr">
        <is>
          <t xml:space="preserve">database/schema.sql:2132</t>
        </is>
      </c>
      <c r="E535" s="0" t="inlineStr">
        <is>
          <t xml:space="preserve">propose-viewing, reserve-cleanup</t>
        </is>
      </c>
    </row>
    <row r="536" ht="70" customHeight="1">
      <c r="A536" s="2" t="inlineStr">
        <is>
          <t xml:space="preserve">room_viewing_proposals</t>
        </is>
      </c>
      <c r="B536" s="2" t="inlineStr">
        <is>
          <t xml:space="preserve">room_id</t>
        </is>
      </c>
      <c r="C536" s="2" t="inlineStr">
        <is>
          <t xml:space="preserve">BIGINT NOT NULL</t>
        </is>
      </c>
      <c r="D536" s="2" t="inlineStr">
        <is>
          <t xml:space="preserve">database/schema.sql:2132</t>
        </is>
      </c>
      <c r="E536" s="2" t="inlineStr">
        <is>
          <t xml:space="preserve">propose-viewing, reserve-cleanup</t>
        </is>
      </c>
    </row>
    <row r="537" ht="70" customHeight="1">
      <c r="A537" s="0" t="inlineStr">
        <is>
          <t xml:space="preserve">room_viewing_proposals</t>
        </is>
      </c>
      <c r="B537" s="0" t="inlineStr">
        <is>
          <t xml:space="preserve">house_id</t>
        </is>
      </c>
      <c r="C537" s="0" t="inlineStr">
        <is>
          <t xml:space="preserve">BIGINT NOT NULL</t>
        </is>
      </c>
      <c r="D537" s="0" t="inlineStr">
        <is>
          <t xml:space="preserve">database/schema.sql:2132</t>
        </is>
      </c>
      <c r="E537" s="0" t="inlineStr">
        <is>
          <t xml:space="preserve">propose-viewing, reserve-cleanup</t>
        </is>
      </c>
    </row>
    <row r="538" ht="70" customHeight="1">
      <c r="A538" s="2" t="inlineStr">
        <is>
          <t xml:space="preserve">room_viewing_proposals</t>
        </is>
      </c>
      <c r="B538" s="2" t="inlineStr">
        <is>
          <t xml:space="preserve">conversation_id</t>
        </is>
      </c>
      <c r="C538" s="2" t="inlineStr">
        <is>
          <t xml:space="preserve">BIGINT NOT NULL</t>
        </is>
      </c>
      <c r="D538" s="2" t="inlineStr">
        <is>
          <t xml:space="preserve">database/schema.sql:2132</t>
        </is>
      </c>
      <c r="E538" s="2" t="inlineStr">
        <is>
          <t xml:space="preserve">propose-viewing, reserve-cleanup</t>
        </is>
      </c>
    </row>
    <row r="539" ht="70" customHeight="1">
      <c r="A539" s="0" t="inlineStr">
        <is>
          <t xml:space="preserve">room_viewing_proposals</t>
        </is>
      </c>
      <c r="B539" s="0" t="inlineStr">
        <is>
          <t xml:space="preserve">tenant_id</t>
        </is>
      </c>
      <c r="C539" s="0" t="inlineStr">
        <is>
          <t xml:space="preserve">BIGINT NOT NULL</t>
        </is>
      </c>
      <c r="D539" s="0" t="inlineStr">
        <is>
          <t xml:space="preserve">database/schema.sql:2132</t>
        </is>
      </c>
      <c r="E539" s="0" t="inlineStr">
        <is>
          <t xml:space="preserve">propose-viewing, reserve-cleanup</t>
        </is>
      </c>
    </row>
    <row r="540" ht="70" customHeight="1">
      <c r="A540" s="2" t="inlineStr">
        <is>
          <t xml:space="preserve">room_viewing_proposals</t>
        </is>
      </c>
      <c r="B540" s="2" t="inlineStr">
        <is>
          <t xml:space="preserve">landlord_id</t>
        </is>
      </c>
      <c r="C540" s="2" t="inlineStr">
        <is>
          <t xml:space="preserve">BIGINT NOT NULL</t>
        </is>
      </c>
      <c r="D540" s="2" t="inlineStr">
        <is>
          <t xml:space="preserve">database/schema.sql:2132</t>
        </is>
      </c>
      <c r="E540" s="2" t="inlineStr">
        <is>
          <t xml:space="preserve">propose-viewing, reserve-cleanup</t>
        </is>
      </c>
    </row>
    <row r="541" ht="70" customHeight="1">
      <c r="A541" s="0" t="inlineStr">
        <is>
          <t xml:space="preserve">room_viewing_proposals</t>
        </is>
      </c>
      <c r="B541" s="0" t="inlineStr">
        <is>
          <t xml:space="preserve">client_request_key</t>
        </is>
      </c>
      <c r="C541" s="0" t="inlineStr">
        <is>
          <t xml:space="preserve">CHAR(36) NOT NULL</t>
        </is>
      </c>
      <c r="D541" s="0" t="inlineStr">
        <is>
          <t xml:space="preserve">database/schema.sql:2132</t>
        </is>
      </c>
      <c r="E541" s="0" t="inlineStr">
        <is>
          <t xml:space="preserve">propose-viewing, reserve-cleanup</t>
        </is>
      </c>
    </row>
    <row r="542" ht="70" customHeight="1">
      <c r="A542" s="2" t="inlineStr">
        <is>
          <t xml:space="preserve">room_viewing_proposals</t>
        </is>
      </c>
      <c r="B542" s="2" t="inlineStr">
        <is>
          <t xml:space="preserve">starts_at</t>
        </is>
      </c>
      <c r="C542" s="2" t="inlineStr">
        <is>
          <t xml:space="preserve">DATETIME(6) NOT NULL</t>
        </is>
      </c>
      <c r="D542" s="2" t="inlineStr">
        <is>
          <t xml:space="preserve">database/schema.sql:2132</t>
        </is>
      </c>
      <c r="E542" s="2" t="inlineStr">
        <is>
          <t xml:space="preserve">propose-viewing, reserve-cleanup</t>
        </is>
      </c>
    </row>
    <row r="543" ht="70" customHeight="1">
      <c r="A543" s="0" t="inlineStr">
        <is>
          <t xml:space="preserve">room_viewing_proposals</t>
        </is>
      </c>
      <c r="B543" s="0" t="inlineStr">
        <is>
          <t xml:space="preserve">ends_at</t>
        </is>
      </c>
      <c r="C543" s="0" t="inlineStr">
        <is>
          <t xml:space="preserve">DATETIME(6) NOT NULL</t>
        </is>
      </c>
      <c r="D543" s="0" t="inlineStr">
        <is>
          <t xml:space="preserve">database/schema.sql:2132</t>
        </is>
      </c>
      <c r="E543" s="0" t="inlineStr">
        <is>
          <t xml:space="preserve">propose-viewing, reserve-cleanup</t>
        </is>
      </c>
    </row>
    <row r="544" ht="70" customHeight="1">
      <c r="A544" s="2" t="inlineStr">
        <is>
          <t xml:space="preserve">room_viewing_proposals</t>
        </is>
      </c>
      <c r="B544" s="2" t="inlineStr">
        <is>
          <t xml:space="preserve">notes</t>
        </is>
      </c>
      <c r="C544" s="2" t="inlineStr">
        <is>
          <t xml:space="preserve">VARCHAR(2000)</t>
        </is>
      </c>
      <c r="D544" s="2" t="inlineStr">
        <is>
          <t xml:space="preserve">database/schema.sql:2132</t>
        </is>
      </c>
      <c r="E544" s="2" t="inlineStr">
        <is>
          <t xml:space="preserve">propose-viewing, reserve-cleanup</t>
        </is>
      </c>
    </row>
    <row r="545" ht="70" customHeight="1">
      <c r="A545" s="0" t="inlineStr">
        <is>
          <t xml:space="preserve">room_viewing_proposals</t>
        </is>
      </c>
      <c r="B545" s="0" t="inlineStr">
        <is>
          <t xml:space="preserve">status</t>
        </is>
      </c>
      <c r="C545" s="0" t="inlineStr">
        <is>
          <t xml:space="preserve">VARCHAR(40) NOT NULL DEFAULT 'PENDING'</t>
        </is>
      </c>
      <c r="D545" s="0" t="inlineStr">
        <is>
          <t xml:space="preserve">database/schema.sql:2132</t>
        </is>
      </c>
      <c r="E545" s="0" t="inlineStr">
        <is>
          <t xml:space="preserve">propose-viewing, reserve-cleanup</t>
        </is>
      </c>
    </row>
    <row r="546" ht="70" customHeight="1">
      <c r="A546" s="2" t="inlineStr">
        <is>
          <t xml:space="preserve">room_viewing_proposals</t>
        </is>
      </c>
      <c r="B546" s="2" t="inlineStr">
        <is>
          <t xml:space="preserve">reviewed_by_id</t>
        </is>
      </c>
      <c r="C546" s="2" t="inlineStr">
        <is>
          <t xml:space="preserve">BIGINT</t>
        </is>
      </c>
      <c r="D546" s="2" t="inlineStr">
        <is>
          <t xml:space="preserve">database/schema.sql:2132</t>
        </is>
      </c>
      <c r="E546" s="2" t="inlineStr">
        <is>
          <t xml:space="preserve">propose-viewing, reserve-cleanup</t>
        </is>
      </c>
    </row>
    <row r="547" ht="70" customHeight="1">
      <c r="A547" s="0" t="inlineStr">
        <is>
          <t xml:space="preserve">room_viewing_proposals</t>
        </is>
      </c>
      <c r="B547" s="0" t="inlineStr">
        <is>
          <t xml:space="preserve">reviewed_at</t>
        </is>
      </c>
      <c r="C547" s="0" t="inlineStr">
        <is>
          <t xml:space="preserve">DATETIME(6)</t>
        </is>
      </c>
      <c r="D547" s="0" t="inlineStr">
        <is>
          <t xml:space="preserve">database/schema.sql:2132</t>
        </is>
      </c>
      <c r="E547" s="0" t="inlineStr">
        <is>
          <t xml:space="preserve">propose-viewing, reserve-cleanup</t>
        </is>
      </c>
    </row>
    <row r="548" ht="70" customHeight="1">
      <c r="A548" s="2" t="inlineStr">
        <is>
          <t xml:space="preserve">room_viewing_proposals</t>
        </is>
      </c>
      <c r="B548" s="2" t="inlineStr">
        <is>
          <t xml:space="preserve">rejection_reason</t>
        </is>
      </c>
      <c r="C548" s="2" t="inlineStr">
        <is>
          <t xml:space="preserve">VARCHAR(1000)</t>
        </is>
      </c>
      <c r="D548" s="2" t="inlineStr">
        <is>
          <t xml:space="preserve">database/schema.sql:2132</t>
        </is>
      </c>
      <c r="E548" s="2" t="inlineStr">
        <is>
          <t xml:space="preserve">propose-viewing, reserve-cleanup</t>
        </is>
      </c>
    </row>
    <row r="549" ht="70" customHeight="1">
      <c r="A549" s="0" t="inlineStr">
        <is>
          <t xml:space="preserve">room_viewing_proposals</t>
        </is>
      </c>
      <c r="B549" s="0" t="inlineStr">
        <is>
          <t xml:space="preserve">withdrawn_by_id</t>
        </is>
      </c>
      <c r="C549" s="0" t="inlineStr">
        <is>
          <t xml:space="preserve">BIGINT</t>
        </is>
      </c>
      <c r="D549" s="0" t="inlineStr">
        <is>
          <t xml:space="preserve">database/schema.sql:2132</t>
        </is>
      </c>
      <c r="E549" s="0" t="inlineStr">
        <is>
          <t xml:space="preserve">propose-viewing, reserve-cleanup</t>
        </is>
      </c>
    </row>
    <row r="550" ht="70" customHeight="1">
      <c r="A550" s="2" t="inlineStr">
        <is>
          <t xml:space="preserve">room_viewing_proposals</t>
        </is>
      </c>
      <c r="B550" s="2" t="inlineStr">
        <is>
          <t xml:space="preserve">withdrawn_at</t>
        </is>
      </c>
      <c r="C550" s="2" t="inlineStr">
        <is>
          <t xml:space="preserve">DATETIME(6)</t>
        </is>
      </c>
      <c r="D550" s="2" t="inlineStr">
        <is>
          <t xml:space="preserve">database/schema.sql:2132</t>
        </is>
      </c>
      <c r="E550" s="2" t="inlineStr">
        <is>
          <t xml:space="preserve">propose-viewing, reserve-cleanup</t>
        </is>
      </c>
    </row>
    <row r="551" ht="70" customHeight="1">
      <c r="A551" s="0" t="inlineStr">
        <is>
          <t xml:space="preserve">room_viewing_proposals</t>
        </is>
      </c>
      <c r="B551" s="0" t="inlineStr">
        <is>
          <t xml:space="preserve">expired_at</t>
        </is>
      </c>
      <c r="C551" s="0" t="inlineStr">
        <is>
          <t xml:space="preserve">DATETIME(6)</t>
        </is>
      </c>
      <c r="D551" s="0" t="inlineStr">
        <is>
          <t xml:space="preserve">database/schema.sql:2132</t>
        </is>
      </c>
      <c r="E551" s="0" t="inlineStr">
        <is>
          <t xml:space="preserve">propose-viewing, reserve-cleanup</t>
        </is>
      </c>
    </row>
    <row r="552" ht="70" customHeight="1">
      <c r="A552" s="2" t="inlineStr">
        <is>
          <t xml:space="preserve">room_viewing_proposals</t>
        </is>
      </c>
      <c r="B552" s="2" t="inlineStr">
        <is>
          <t xml:space="preserve">scheduled_viewing_id</t>
        </is>
      </c>
      <c r="C552" s="2" t="inlineStr">
        <is>
          <t xml:space="preserve">BIGINT</t>
        </is>
      </c>
      <c r="D552" s="2" t="inlineStr">
        <is>
          <t xml:space="preserve">database/schema.sql:2132</t>
        </is>
      </c>
      <c r="E552" s="2" t="inlineStr">
        <is>
          <t xml:space="preserve">propose-viewing, reserve-cleanup</t>
        </is>
      </c>
    </row>
    <row r="553" ht="70" customHeight="1">
      <c r="A553" s="0" t="inlineStr">
        <is>
          <t xml:space="preserve">room_viewing_proposals</t>
        </is>
      </c>
      <c r="B553" s="0" t="inlineStr">
        <is>
          <t xml:space="preserve">created_at</t>
        </is>
      </c>
      <c r="C553" s="0" t="inlineStr">
        <is>
          <t xml:space="preserve">DATETIME(6) NOT NULL DEFAULT CURRENT_TIMESTAMP(6)</t>
        </is>
      </c>
      <c r="D553" s="0" t="inlineStr">
        <is>
          <t xml:space="preserve">database/schema.sql:2132</t>
        </is>
      </c>
      <c r="E553" s="0" t="inlineStr">
        <is>
          <t xml:space="preserve">propose-viewing, reserve-cleanup</t>
        </is>
      </c>
    </row>
    <row r="554" ht="70" customHeight="1">
      <c r="A554" s="2" t="inlineStr">
        <is>
          <t xml:space="preserve">room_viewing_proposals</t>
        </is>
      </c>
      <c r="B554" s="2" t="inlineStr">
        <is>
          <t xml:space="preserve">updated_at</t>
        </is>
      </c>
      <c r="C554" s="2" t="inlineStr">
        <is>
          <t xml:space="preserve">DATETIME(6) NOT NULL DEFAULT CURRENT_TIMESTAMP(6)</t>
        </is>
      </c>
      <c r="D554" s="2" t="inlineStr">
        <is>
          <t xml:space="preserve">database/schema.sql:2132</t>
        </is>
      </c>
      <c r="E554" s="2" t="inlineStr">
        <is>
          <t xml:space="preserve">propose-viewing, reserve-cleanup</t>
        </is>
      </c>
    </row>
    <row r="555" ht="70" customHeight="1">
      <c r="A555" s="0" t="inlineStr">
        <is>
          <t xml:space="preserve">room_viewing_proposals</t>
        </is>
      </c>
      <c r="B555" s="0" t="inlineStr">
        <is>
          <t xml:space="preserve">pending_tenant_id</t>
        </is>
      </c>
      <c r="C555" s="0" t="inlineStr">
        <is>
          <t xml:space="preserve">BIGINT GENERATED ALWAYS AS (CASE WHEN status='PENDING' THEN tenant_id ELSE NULL END) STORED</t>
        </is>
      </c>
      <c r="D555" s="0" t="inlineStr">
        <is>
          <t xml:space="preserve">database/schema.sql:2132</t>
        </is>
      </c>
      <c r="E555" s="0" t="inlineStr">
        <is>
          <t xml:space="preserve">propose-viewing, reserve-cleanup</t>
        </is>
      </c>
    </row>
    <row r="556" ht="70" customHeight="1">
      <c r="A556" s="2" t="inlineStr">
        <is>
          <t xml:space="preserve">rental_house_verifications</t>
        </is>
      </c>
      <c r="B556" s="2" t="inlineStr">
        <is>
          <t xml:space="preserve">id</t>
        </is>
      </c>
      <c r="C556" s="2" t="inlineStr">
        <is>
          <t xml:space="preserve">BIGINT NOT NULL AUTO_INCREMENT PRIMARY KEY</t>
        </is>
      </c>
      <c r="D556" s="2" t="inlineStr">
        <is>
          <t xml:space="preserve">database/schema.sql:2528</t>
        </is>
      </c>
      <c r="E556" s="2" t="inlineStr">
        <is>
          <t xml:space="preserve">house-proof, house-rights-expiry, moderate-post, migration</t>
        </is>
      </c>
    </row>
    <row r="557" ht="70" customHeight="1">
      <c r="A557" s="0" t="inlineStr">
        <is>
          <t xml:space="preserve">rental_house_verifications</t>
        </is>
      </c>
      <c r="B557" s="0" t="inlineStr">
        <is>
          <t xml:space="preserve">house_id</t>
        </is>
      </c>
      <c r="C557" s="0" t="inlineStr">
        <is>
          <t xml:space="preserve">BIGINT NOT NULL</t>
        </is>
      </c>
      <c r="D557" s="0" t="inlineStr">
        <is>
          <t xml:space="preserve">database/schema.sql:2528</t>
        </is>
      </c>
      <c r="E557" s="0" t="inlineStr">
        <is>
          <t xml:space="preserve">house-proof, house-rights-expiry, moderate-post, migration</t>
        </is>
      </c>
    </row>
    <row r="558" ht="70" customHeight="1">
      <c r="A558" s="2" t="inlineStr">
        <is>
          <t xml:space="preserve">rental_house_verifications</t>
        </is>
      </c>
      <c r="B558" s="2" t="inlineStr">
        <is>
          <t xml:space="preserve">applicant_landlord_id</t>
        </is>
      </c>
      <c r="C558" s="2" t="inlineStr">
        <is>
          <t xml:space="preserve">BIGINT NOT NULL</t>
        </is>
      </c>
      <c r="D558" s="2" t="inlineStr">
        <is>
          <t xml:space="preserve">database/schema.sql:2528</t>
        </is>
      </c>
      <c r="E558" s="2" t="inlineStr">
        <is>
          <t xml:space="preserve">house-proof, house-rights-expiry, moderate-post, migration</t>
        </is>
      </c>
    </row>
    <row r="559" ht="70" customHeight="1">
      <c r="A559" s="0" t="inlineStr">
        <is>
          <t xml:space="preserve">rental_house_verifications</t>
        </is>
      </c>
      <c r="B559" s="0" t="inlineStr">
        <is>
          <t xml:space="preserve">house_version</t>
        </is>
      </c>
      <c r="C559" s="0" t="inlineStr">
        <is>
          <t xml:space="preserve">BIGINT NOT NULL</t>
        </is>
      </c>
      <c r="D559" s="0" t="inlineStr">
        <is>
          <t xml:space="preserve">database/schema.sql:2528</t>
        </is>
      </c>
      <c r="E559" s="0" t="inlineStr">
        <is>
          <t xml:space="preserve">house-proof, house-rights-expiry, moderate-post, migration</t>
        </is>
      </c>
    </row>
    <row r="560" ht="70" customHeight="1">
      <c r="A560" s="2" t="inlineStr">
        <is>
          <t xml:space="preserve">rental_house_verifications</t>
        </is>
      </c>
      <c r="B560" s="2" t="inlineStr">
        <is>
          <t xml:space="preserve">house_snapshot</t>
        </is>
      </c>
      <c r="C560" s="2" t="inlineStr">
        <is>
          <t xml:space="preserve">JSON NOT NULL</t>
        </is>
      </c>
      <c r="D560" s="2" t="inlineStr">
        <is>
          <t xml:space="preserve">database/schema.sql:2528</t>
        </is>
      </c>
      <c r="E560" s="2" t="inlineStr">
        <is>
          <t xml:space="preserve">house-proof, house-rights-expiry, moderate-post, migration</t>
        </is>
      </c>
    </row>
    <row r="561" ht="70" customHeight="1">
      <c r="A561" s="0" t="inlineStr">
        <is>
          <t xml:space="preserve">rental_house_verifications</t>
        </is>
      </c>
      <c r="B561" s="0" t="inlineStr">
        <is>
          <t xml:space="preserve">right_type</t>
        </is>
      </c>
      <c r="C561" s="0" t="inlineStr">
        <is>
          <t xml:space="preserve">VARCHAR(30) NOT NULL</t>
        </is>
      </c>
      <c r="D561" s="0" t="inlineStr">
        <is>
          <t xml:space="preserve">database/schema.sql:2528</t>
        </is>
      </c>
      <c r="E561" s="0" t="inlineStr">
        <is>
          <t xml:space="preserve">house-proof, house-rights-expiry, moderate-post, migration</t>
        </is>
      </c>
    </row>
    <row r="562" ht="70" customHeight="1">
      <c r="A562" s="2" t="inlineStr">
        <is>
          <t xml:space="preserve">rental_house_verifications</t>
        </is>
      </c>
      <c r="B562" s="2" t="inlineStr">
        <is>
          <t xml:space="preserve">scope_description</t>
        </is>
      </c>
      <c r="C562" s="2" t="inlineStr">
        <is>
          <t xml:space="preserve">VARCHAR(2000) NOT NULL</t>
        </is>
      </c>
      <c r="D562" s="2" t="inlineStr">
        <is>
          <t xml:space="preserve">database/schema.sql:2528</t>
        </is>
      </c>
      <c r="E562" s="2" t="inlineStr">
        <is>
          <t xml:space="preserve">house-proof, house-rights-expiry, moderate-post, migration</t>
        </is>
      </c>
    </row>
    <row r="563" ht="70" customHeight="1">
      <c r="A563" s="0" t="inlineStr">
        <is>
          <t xml:space="preserve">rental_house_verifications</t>
        </is>
      </c>
      <c r="B563" s="0" t="inlineStr">
        <is>
          <t xml:space="preserve">valid_from</t>
        </is>
      </c>
      <c r="C563" s="0" t="inlineStr">
        <is>
          <t xml:space="preserve">DATE NOT NULL</t>
        </is>
      </c>
      <c r="D563" s="0" t="inlineStr">
        <is>
          <t xml:space="preserve">database/schema.sql:2528</t>
        </is>
      </c>
      <c r="E563" s="0" t="inlineStr">
        <is>
          <t xml:space="preserve">house-proof, house-rights-expiry, moderate-post, migration</t>
        </is>
      </c>
    </row>
    <row r="564" ht="70" customHeight="1">
      <c r="A564" s="2" t="inlineStr">
        <is>
          <t xml:space="preserve">rental_house_verifications</t>
        </is>
      </c>
      <c r="B564" s="2" t="inlineStr">
        <is>
          <t xml:space="preserve">valid_until</t>
        </is>
      </c>
      <c r="C564" s="2" t="inlineStr">
        <is>
          <t xml:space="preserve">DATE</t>
        </is>
      </c>
      <c r="D564" s="2" t="inlineStr">
        <is>
          <t xml:space="preserve">database/schema.sql:2528</t>
        </is>
      </c>
      <c r="E564" s="2" t="inlineStr">
        <is>
          <t xml:space="preserve">house-proof, house-rights-expiry, moderate-post, migration</t>
        </is>
      </c>
    </row>
    <row r="565" ht="70" customHeight="1">
      <c r="A565" s="0" t="inlineStr">
        <is>
          <t xml:space="preserve">rental_house_verifications</t>
        </is>
      </c>
      <c r="B565" s="0" t="inlineStr">
        <is>
          <t xml:space="preserve">status</t>
        </is>
      </c>
      <c r="C565" s="0" t="inlineStr">
        <is>
          <t xml:space="preserve">VARCHAR(30) NOT NULL DEFAULT 'PENDING'</t>
        </is>
      </c>
      <c r="D565" s="0" t="inlineStr">
        <is>
          <t xml:space="preserve">database/schema.sql:2528</t>
        </is>
      </c>
      <c r="E565" s="0" t="inlineStr">
        <is>
          <t xml:space="preserve">house-proof, house-rights-expiry, moderate-post, migration</t>
        </is>
      </c>
    </row>
    <row r="566" ht="70" customHeight="1">
      <c r="A566" s="2" t="inlineStr">
        <is>
          <t xml:space="preserve">rental_house_verifications</t>
        </is>
      </c>
      <c r="B566" s="2" t="inlineStr">
        <is>
          <t xml:space="preserve">submitted_at</t>
        </is>
      </c>
      <c r="C566" s="2" t="inlineStr">
        <is>
          <t xml:space="preserve">DATETIME(6) NOT NULL DEFAULT CURRENT_TIMESTAMP(6)</t>
        </is>
      </c>
      <c r="D566" s="2" t="inlineStr">
        <is>
          <t xml:space="preserve">database/schema.sql:2528</t>
        </is>
      </c>
      <c r="E566" s="2" t="inlineStr">
        <is>
          <t xml:space="preserve">house-proof, house-rights-expiry, moderate-post, migration</t>
        </is>
      </c>
    </row>
    <row r="567" ht="70" customHeight="1">
      <c r="A567" s="0" t="inlineStr">
        <is>
          <t xml:space="preserve">rental_house_verifications</t>
        </is>
      </c>
      <c r="B567" s="0" t="inlineStr">
        <is>
          <t xml:space="preserve">reviewed_by_id</t>
        </is>
      </c>
      <c r="C567" s="0" t="inlineStr">
        <is>
          <t xml:space="preserve">BIGINT</t>
        </is>
      </c>
      <c r="D567" s="0" t="inlineStr">
        <is>
          <t xml:space="preserve">database/schema.sql:2528</t>
        </is>
      </c>
      <c r="E567" s="0" t="inlineStr">
        <is>
          <t xml:space="preserve">house-proof, house-rights-expiry, moderate-post, migration</t>
        </is>
      </c>
    </row>
    <row r="568" ht="70" customHeight="1">
      <c r="A568" s="2" t="inlineStr">
        <is>
          <t xml:space="preserve">rental_house_verifications</t>
        </is>
      </c>
      <c r="B568" s="2" t="inlineStr">
        <is>
          <t xml:space="preserve">reviewed_at</t>
        </is>
      </c>
      <c r="C568" s="2" t="inlineStr">
        <is>
          <t xml:space="preserve">DATETIME(6)</t>
        </is>
      </c>
      <c r="D568" s="2" t="inlineStr">
        <is>
          <t xml:space="preserve">database/schema.sql:2528</t>
        </is>
      </c>
      <c r="E568" s="2" t="inlineStr">
        <is>
          <t xml:space="preserve">house-proof, house-rights-expiry, moderate-post, migration</t>
        </is>
      </c>
    </row>
    <row r="569" ht="70" customHeight="1">
      <c r="A569" s="0" t="inlineStr">
        <is>
          <t xml:space="preserve">rental_house_verifications</t>
        </is>
      </c>
      <c r="B569" s="0" t="inlineStr">
        <is>
          <t xml:space="preserve">evidence_checked_at</t>
        </is>
      </c>
      <c r="C569" s="0" t="inlineStr">
        <is>
          <t xml:space="preserve">DATETIME(6)</t>
        </is>
      </c>
      <c r="D569" s="0" t="inlineStr">
        <is>
          <t xml:space="preserve">database/schema.sql:2528</t>
        </is>
      </c>
      <c r="E569" s="0" t="inlineStr">
        <is>
          <t xml:space="preserve">house-proof, house-rights-expiry, moderate-post, migration</t>
        </is>
      </c>
    </row>
    <row r="570" ht="70" customHeight="1">
      <c r="A570" s="2" t="inlineStr">
        <is>
          <t xml:space="preserve">rental_house_verifications</t>
        </is>
      </c>
      <c r="B570" s="2" t="inlineStr">
        <is>
          <t xml:space="preserve">rejection_reason</t>
        </is>
      </c>
      <c r="C570" s="2" t="inlineStr">
        <is>
          <t xml:space="preserve">VARCHAR(1000)</t>
        </is>
      </c>
      <c r="D570" s="2" t="inlineStr">
        <is>
          <t xml:space="preserve">database/schema.sql:2528</t>
        </is>
      </c>
      <c r="E570" s="2" t="inlineStr">
        <is>
          <t xml:space="preserve">house-proof, house-rights-expiry, moderate-post, migration</t>
        </is>
      </c>
    </row>
    <row r="571" ht="70" customHeight="1">
      <c r="A571" s="0" t="inlineStr">
        <is>
          <t xml:space="preserve">rental_house_verifications</t>
        </is>
      </c>
      <c r="B571" s="0" t="inlineStr">
        <is>
          <t xml:space="preserve">revoked_by_id</t>
        </is>
      </c>
      <c r="C571" s="0" t="inlineStr">
        <is>
          <t xml:space="preserve">BIGINT</t>
        </is>
      </c>
      <c r="D571" s="0" t="inlineStr">
        <is>
          <t xml:space="preserve">database/schema.sql:2528</t>
        </is>
      </c>
      <c r="E571" s="0" t="inlineStr">
        <is>
          <t xml:space="preserve">house-proof, house-rights-expiry, moderate-post, migration</t>
        </is>
      </c>
    </row>
    <row r="572" ht="70" customHeight="1">
      <c r="A572" s="2" t="inlineStr">
        <is>
          <t xml:space="preserve">rental_house_verifications</t>
        </is>
      </c>
      <c r="B572" s="2" t="inlineStr">
        <is>
          <t xml:space="preserve">revoked_at</t>
        </is>
      </c>
      <c r="C572" s="2" t="inlineStr">
        <is>
          <t xml:space="preserve">DATETIME(6)</t>
        </is>
      </c>
      <c r="D572" s="2" t="inlineStr">
        <is>
          <t xml:space="preserve">database/schema.sql:2528</t>
        </is>
      </c>
      <c r="E572" s="2" t="inlineStr">
        <is>
          <t xml:space="preserve">house-proof, house-rights-expiry, moderate-post, migration</t>
        </is>
      </c>
    </row>
    <row r="573" ht="70" customHeight="1">
      <c r="A573" s="0" t="inlineStr">
        <is>
          <t xml:space="preserve">rental_house_verifications</t>
        </is>
      </c>
      <c r="B573" s="0" t="inlineStr">
        <is>
          <t xml:space="preserve">revocation_reason</t>
        </is>
      </c>
      <c r="C573" s="0" t="inlineStr">
        <is>
          <t xml:space="preserve">VARCHAR(1000)</t>
        </is>
      </c>
      <c r="D573" s="0" t="inlineStr">
        <is>
          <t xml:space="preserve">database/schema.sql:2528</t>
        </is>
      </c>
      <c r="E573" s="0" t="inlineStr">
        <is>
          <t xml:space="preserve">house-proof, house-rights-expiry, moderate-post, migration</t>
        </is>
      </c>
    </row>
    <row r="574" ht="70" customHeight="1">
      <c r="A574" s="2" t="inlineStr">
        <is>
          <t xml:space="preserve">rental_house_verifications</t>
        </is>
      </c>
      <c r="B574" s="2" t="inlineStr">
        <is>
          <t xml:space="preserve">withdrawn_at</t>
        </is>
      </c>
      <c r="C574" s="2" t="inlineStr">
        <is>
          <t xml:space="preserve">DATETIME(6)</t>
        </is>
      </c>
      <c r="D574" s="2" t="inlineStr">
        <is>
          <t xml:space="preserve">database/schema.sql:2528</t>
        </is>
      </c>
      <c r="E574" s="2" t="inlineStr">
        <is>
          <t xml:space="preserve">house-proof, house-rights-expiry, moderate-post, migration</t>
        </is>
      </c>
    </row>
    <row r="575" ht="70" customHeight="1">
      <c r="A575" s="0" t="inlineStr">
        <is>
          <t xml:space="preserve">rental_house_verifications</t>
        </is>
      </c>
      <c r="B575" s="0" t="inlineStr">
        <is>
          <t xml:space="preserve">withdrawal_reason</t>
        </is>
      </c>
      <c r="C575" s="0" t="inlineStr">
        <is>
          <t xml:space="preserve">VARCHAR(1000)</t>
        </is>
      </c>
      <c r="D575" s="0" t="inlineStr">
        <is>
          <t xml:space="preserve">database/schema.sql:2528</t>
        </is>
      </c>
      <c r="E575" s="0" t="inlineStr">
        <is>
          <t xml:space="preserve">house-proof, house-rights-expiry, moderate-post, migration</t>
        </is>
      </c>
    </row>
    <row r="576" ht="70" customHeight="1">
      <c r="A576" s="2" t="inlineStr">
        <is>
          <t xml:space="preserve">rental_house_verifications</t>
        </is>
      </c>
      <c r="B576" s="2" t="inlineStr">
        <is>
          <t xml:space="preserve">created_at</t>
        </is>
      </c>
      <c r="C576" s="2" t="inlineStr">
        <is>
          <t xml:space="preserve">DATETIME(6) NOT NULL DEFAULT CURRENT_TIMESTAMP(6)</t>
        </is>
      </c>
      <c r="D576" s="2" t="inlineStr">
        <is>
          <t xml:space="preserve">database/schema.sql:2528</t>
        </is>
      </c>
      <c r="E576" s="2" t="inlineStr">
        <is>
          <t xml:space="preserve">house-proof, house-rights-expiry, moderate-post, migration</t>
        </is>
      </c>
    </row>
    <row r="577" ht="70" customHeight="1">
      <c r="A577" s="0" t="inlineStr">
        <is>
          <t xml:space="preserve">rental_house_verifications</t>
        </is>
      </c>
      <c r="B577" s="0" t="inlineStr">
        <is>
          <t xml:space="preserve">updated_at</t>
        </is>
      </c>
      <c r="C577" s="0" t="inlineStr">
        <is>
          <t xml:space="preserve">DATETIME(6) NOT NULL DEFAULT CURRENT_TIMESTAMP(6)</t>
        </is>
      </c>
      <c r="D577" s="0" t="inlineStr">
        <is>
          <t xml:space="preserve">database/schema.sql:2528</t>
        </is>
      </c>
      <c r="E577" s="0" t="inlineStr">
        <is>
          <t xml:space="preserve">house-proof, house-rights-expiry, moderate-post, migration</t>
        </is>
      </c>
    </row>
    <row r="578" ht="70" customHeight="1">
      <c r="A578" s="2" t="inlineStr">
        <is>
          <t xml:space="preserve">rental_house_verifications</t>
        </is>
      </c>
      <c r="B578" s="2" t="inlineStr">
        <is>
          <t xml:space="preserve">pending_house_id</t>
        </is>
      </c>
      <c r="C578" s="2" t="inlineStr">
        <is>
          <t xml:space="preserve">BIGINT GENERATED ALWAYS AS (CASE WHEN status='PENDING' THEN house_id ELSE NULL END) STORED</t>
        </is>
      </c>
      <c r="D578" s="2" t="inlineStr">
        <is>
          <t xml:space="preserve">database/schema.sql:2528</t>
        </is>
      </c>
      <c r="E578" s="2" t="inlineStr">
        <is>
          <t xml:space="preserve">house-proof, house-rights-expiry, moderate-post, migration</t>
        </is>
      </c>
    </row>
    <row r="579" ht="70" customHeight="1">
      <c r="A579" s="0" t="inlineStr">
        <is>
          <t xml:space="preserve">rental_house_verifications</t>
        </is>
      </c>
      <c r="B579" s="0" t="inlineStr">
        <is>
          <t xml:space="preserve">approved_house_id</t>
        </is>
      </c>
      <c r="C579" s="0" t="inlineStr">
        <is>
          <t xml:space="preserve">BIGINT GENERATED ALWAYS AS (CASE WHEN status='APPROVED' THEN house_id ELSE NULL END) STORED</t>
        </is>
      </c>
      <c r="D579" s="0" t="inlineStr">
        <is>
          <t xml:space="preserve">database/schema.sql:2528</t>
        </is>
      </c>
      <c r="E579" s="0" t="inlineStr">
        <is>
          <t xml:space="preserve">house-proof, house-rights-expiry, moderate-post, migration</t>
        </is>
      </c>
    </row>
    <row r="580" ht="70" customHeight="1">
      <c r="A580" s="2" t="inlineStr">
        <is>
          <t xml:space="preserve">house_verification_documents</t>
        </is>
      </c>
      <c r="B580" s="2" t="inlineStr">
        <is>
          <t xml:space="preserve">id</t>
        </is>
      </c>
      <c r="C580" s="2" t="inlineStr">
        <is>
          <t xml:space="preserve">BIGINT NOT NULL AUTO_INCREMENT PRIMARY KEY</t>
        </is>
      </c>
      <c r="D580" s="2" t="inlineStr">
        <is>
          <t xml:space="preserve">database/schema.sql:2571</t>
        </is>
      </c>
      <c r="E580" s="2" t="inlineStr">
        <is>
          <t xml:space="preserve">house-proof, file-storage</t>
        </is>
      </c>
    </row>
    <row r="581" ht="70" customHeight="1">
      <c r="A581" s="0" t="inlineStr">
        <is>
          <t xml:space="preserve">house_verification_documents</t>
        </is>
      </c>
      <c r="B581" s="0" t="inlineStr">
        <is>
          <t xml:space="preserve">verification_id</t>
        </is>
      </c>
      <c r="C581" s="0" t="inlineStr">
        <is>
          <t xml:space="preserve">BIGINT NOT NULL</t>
        </is>
      </c>
      <c r="D581" s="0" t="inlineStr">
        <is>
          <t xml:space="preserve">database/schema.sql:2571</t>
        </is>
      </c>
      <c r="E581" s="0" t="inlineStr">
        <is>
          <t xml:space="preserve">house-proof, file-storage</t>
        </is>
      </c>
    </row>
    <row r="582" ht="70" customHeight="1">
      <c r="A582" s="2" t="inlineStr">
        <is>
          <t xml:space="preserve">house_verification_documents</t>
        </is>
      </c>
      <c r="B582" s="2" t="inlineStr">
        <is>
          <t xml:space="preserve">file_id</t>
        </is>
      </c>
      <c r="C582" s="2" t="inlineStr">
        <is>
          <t xml:space="preserve">BIGINT NOT NULL</t>
        </is>
      </c>
      <c r="D582" s="2" t="inlineStr">
        <is>
          <t xml:space="preserve">database/schema.sql:2571</t>
        </is>
      </c>
      <c r="E582" s="2" t="inlineStr">
        <is>
          <t xml:space="preserve">house-proof, file-storage</t>
        </is>
      </c>
    </row>
    <row r="583" ht="70" customHeight="1">
      <c r="A583" s="0" t="inlineStr">
        <is>
          <t xml:space="preserve">house_verification_documents</t>
        </is>
      </c>
      <c r="B583" s="0" t="inlineStr">
        <is>
          <t xml:space="preserve">document_type</t>
        </is>
      </c>
      <c r="C583" s="0" t="inlineStr">
        <is>
          <t xml:space="preserve">VARCHAR(40) NOT NULL</t>
        </is>
      </c>
      <c r="D583" s="0" t="inlineStr">
        <is>
          <t xml:space="preserve">database/schema.sql:2571</t>
        </is>
      </c>
      <c r="E583" s="0" t="inlineStr">
        <is>
          <t xml:space="preserve">house-proof, file-storage</t>
        </is>
      </c>
    </row>
    <row r="584" ht="70" customHeight="1">
      <c r="A584" s="2" t="inlineStr">
        <is>
          <t xml:space="preserve">house_verification_documents</t>
        </is>
      </c>
      <c r="B584" s="2" t="inlineStr">
        <is>
          <t xml:space="preserve">created_at</t>
        </is>
      </c>
      <c r="C584" s="2" t="inlineStr">
        <is>
          <t xml:space="preserve">DATETIME(6) NOT NULL DEFAULT CURRENT_TIMESTAMP(6)</t>
        </is>
      </c>
      <c r="D584" s="2" t="inlineStr">
        <is>
          <t xml:space="preserve">database/schema.sql:2571</t>
        </is>
      </c>
      <c r="E584" s="2" t="inlineStr">
        <is>
          <t xml:space="preserve">house-proof, file-storage</t>
        </is>
      </c>
    </row>
  </sheetData>
  <autoFilter ref="A1:E584"/>
  <pageMargins left="0.25" right="0.25" top="0.5" bottom="0.5" header="0.2" footer="0.2"/>
  <pageSetup orientation="landscape" paperSize="9"/>
</worksheet>
</file>

<file path=xl/worksheets/sheet8.xml><?xml version="1.0" encoding="utf-8"?>
<worksheet xmlns="http://schemas.openxmlformats.org/spreadsheetml/2006/main" xmlns:r="http://schemas.openxmlformats.org/officeDocument/2006/relationships">
  <dimension ref="A1:I16"/>
  <sheetViews>
    <sheetView workbookViewId="0">
      <pane xSplit="0" ySplit="1" topLeftCell="A2" activePane="bottomRight" state="frozen"/>
    </sheetView>
  </sheetViews>
  <sheetFormatPr defaultRowHeight="20"/>
  <cols>
    <col min="1" max="1" width="24" customWidth="1"/>
    <col min="2" max="2" width="42" customWidth="1"/>
    <col min="3" max="3" width="24" customWidth="1"/>
    <col min="4" max="4" width="28" customWidth="1"/>
    <col min="5" max="5" width="100" customWidth="1"/>
    <col min="6" max="6" width="32" customWidth="1"/>
    <col min="7" max="7" width="24" customWidth="1"/>
    <col min="8" max="8" width="24" customWidth="1"/>
    <col min="9" max="9" width="24" customWidth="1"/>
  </cols>
  <sheetData>
    <row r="1" ht="36" customHeight="1">
      <c r="A1" s="1" t="inlineStr">
        <is>
          <t xml:space="preserve">ID</t>
        </is>
      </c>
      <c r="B1" s="1" t="inlineStr">
        <is>
          <t xml:space="preserve">Vấn đề</t>
        </is>
      </c>
      <c r="C1" s="1" t="inlineStr">
        <is>
          <t xml:space="preserve">Ưu tiên</t>
        </is>
      </c>
      <c r="D1" s="1" t="inlineStr">
        <is>
          <t xml:space="preserve">Tình trạng thiết kế</t>
        </is>
      </c>
      <c r="E1" s="1" t="inlineStr">
        <is>
          <t xml:space="preserve">Nội dung cần chốt</t>
        </is>
      </c>
      <c r="F1" s="1" t="inlineStr">
        <is>
          <t xml:space="preserve">Vai trò phụ trách</t>
        </is>
      </c>
      <c r="G1" s="1" t="inlineStr">
        <is>
          <t xml:space="preserve">Theo dõi</t>
        </is>
      </c>
      <c r="H1" s="1" t="inlineStr">
        <is>
          <t xml:space="preserve">Quyết định / ngày</t>
        </is>
      </c>
      <c r="I1" s="1" t="inlineStr">
        <is>
          <t xml:space="preserve">Người chốt</t>
        </is>
      </c>
    </row>
    <row r="2" ht="70" customHeight="1">
      <c r="A2" s="2" t="inlineStr">
        <is>
          <t xml:space="preserve">D01</t>
        </is>
      </c>
      <c r="B2" s="2" t="inlineStr">
        <is>
          <t xml:space="preserve">Chính sách xác thực</t>
        </is>
      </c>
      <c r="C2" s="2" t="inlineStr">
        <is>
          <t xml:space="preserve">P0</t>
        </is>
      </c>
      <c r="D2" s="2" t="inlineStr">
        <is>
          <t xml:space="preserve">Cần chốt</t>
        </is>
      </c>
      <c r="E2" s="2" t="inlineStr">
        <is>
          <t xml:space="preserve">TTL access/refresh/OTP, giới hạn gửi/thử, mật khẩu, provider email/SMS. SQL có expires_at/max_attempts; chưa có cấu hình vận hành.</t>
        </is>
      </c>
      <c r="F2" s="2" t="inlineStr">
        <is>
          <t xml:space="preserve">Backend + chủ sản phẩm</t>
        </is>
      </c>
      <c r="G2" s="2" t="inlineStr">
        <is>
          <t xml:space="preserve">Chưa chốt</t>
        </is>
      </c>
      <c r="H2" s="2" t="inlineStr">
        <is>
          <t xml:space="preserve"/>
        </is>
      </c>
      <c r="I2" s="2" t="inlineStr">
        <is>
          <t xml:space="preserve"/>
        </is>
      </c>
    </row>
    <row r="3" ht="70" customHeight="1">
      <c r="A3" s="0" t="inlineStr">
        <is>
          <t xml:space="preserve">D02</t>
        </is>
      </c>
      <c r="B3" s="0" t="inlineStr">
        <is>
          <t xml:space="preserve">Thuật toán ghép cặp</t>
        </is>
      </c>
      <c r="C3" s="0" t="inlineStr">
        <is>
          <t xml:space="preserve">P1</t>
        </is>
      </c>
      <c r="D3" s="0" t="inlineStr">
        <is>
          <t xml:space="preserve">Cần chốt</t>
        </is>
      </c>
      <c r="E3" s="0" t="inlineStr">
        <is>
          <t xml:space="preserve">Điểm số, trọng số, tiêu chí bắt buộc, xử lý thiếu dữ liệu và phiên bản thuật toán; chưa có thuật toán thật.</t>
        </is>
      </c>
      <c r="F3" s="0" t="inlineStr">
        <is>
          <t xml:space="preserve">Chủ sản phẩm</t>
        </is>
      </c>
      <c r="G3" s="0" t="inlineStr">
        <is>
          <t xml:space="preserve">Chưa chốt</t>
        </is>
      </c>
      <c r="H3" s="0" t="inlineStr">
        <is>
          <t xml:space="preserve"/>
        </is>
      </c>
      <c r="I3" s="0" t="inlineStr">
        <is>
          <t xml:space="preserve"/>
        </is>
      </c>
    </row>
    <row r="4" ht="70" customHeight="1">
      <c r="A4" s="2" t="inlineStr">
        <is>
          <t xml:space="preserve">D03</t>
        </is>
      </c>
      <c r="B4" s="2" t="inlineStr">
        <is>
          <t xml:space="preserve">Đọc chat sau kết thúc kết nối</t>
        </is>
      </c>
      <c r="C4" s="2" t="inlineStr">
        <is>
          <t xml:space="preserve">P1</t>
        </is>
      </c>
      <c r="D4" s="2" t="inlineStr">
        <is>
          <t xml:space="preserve">Cần chốt</t>
        </is>
      </c>
      <c r="E4" s="2" t="inlineStr">
        <is>
          <t xml:space="preserve">Wireframe chỉ mở/gửi khi kết nối còn hiệu lực; đề xuất giữ lịch sử đọc cho hai bên sau ended, chặn gửi. Chưa coi đề xuất là rule đã duyệt.</t>
        </is>
      </c>
      <c r="F4" s="2" t="inlineStr">
        <is>
          <t xml:space="preserve">Chủ sản phẩm</t>
        </is>
      </c>
      <c r="G4" s="2" t="inlineStr">
        <is>
          <t xml:space="preserve">Chưa chốt</t>
        </is>
      </c>
      <c r="H4" s="2" t="inlineStr">
        <is>
          <t xml:space="preserve"/>
        </is>
      </c>
      <c r="I4" s="2" t="inlineStr">
        <is>
          <t xml:space="preserve"/>
        </is>
      </c>
    </row>
    <row r="5" ht="70" customHeight="1">
      <c r="A5" s="0" t="inlineStr">
        <is>
          <t xml:space="preserve">D04</t>
        </is>
      </c>
      <c r="B5" s="0" t="inlineStr">
        <is>
          <t xml:space="preserve">Kênh email/push</t>
        </is>
      </c>
      <c r="C5" s="0" t="inlineStr">
        <is>
          <t xml:space="preserve">P2</t>
        </is>
      </c>
      <c r="D5" s="0" t="inlineStr">
        <is>
          <t xml:space="preserve">Phụ thuộc hạ tầng</t>
        </is>
      </c>
      <c r="E5" s="0" t="inlineStr">
        <is>
          <t xml:space="preserve">users có flags nhưng chưa có provider, device token registry hoặc delivery ledger; chỉ bảo đảm in-app trước.</t>
        </is>
      </c>
      <c r="F5" s="0" t="inlineStr">
        <is>
          <t xml:space="preserve">Backend</t>
        </is>
      </c>
      <c r="G5" s="0" t="inlineStr">
        <is>
          <t xml:space="preserve">Chưa chốt</t>
        </is>
      </c>
      <c r="H5" s="0" t="inlineStr">
        <is>
          <t xml:space="preserve"/>
        </is>
      </c>
      <c r="I5" s="0" t="inlineStr">
        <is>
          <t xml:space="preserve"/>
        </is>
      </c>
    </row>
    <row r="6" ht="70" customHeight="1">
      <c r="A6" s="2" t="inlineStr">
        <is>
          <t xml:space="preserve">D05</t>
        </is>
      </c>
      <c r="B6" s="2" t="inlineStr">
        <is>
          <t xml:space="preserve">Kho tệp và hạn lưu</t>
        </is>
      </c>
      <c r="C6" s="2" t="inlineStr">
        <is>
          <t xml:space="preserve">P0</t>
        </is>
      </c>
      <c r="D6" s="2" t="inlineStr">
        <is>
          <t xml:space="preserve">Cần chốt</t>
        </is>
      </c>
      <c r="E6" s="2" t="inlineStr">
        <is>
          <t xml:space="preserve">Proof nhà có giới hạn rõ 8×5 MB; giới hạn mục đích khác, quét nội dung, TTL link, hạn lưu CCCD/hợp đồng và xóa object cần chính sách.</t>
        </is>
      </c>
      <c r="F6" s="2" t="inlineStr">
        <is>
          <t xml:space="preserve">Chủ sản phẩm + Backend</t>
        </is>
      </c>
      <c r="G6" s="2" t="inlineStr">
        <is>
          <t xml:space="preserve">Chưa chốt</t>
        </is>
      </c>
      <c r="H6" s="2" t="inlineStr">
        <is>
          <t xml:space="preserve"/>
        </is>
      </c>
      <c r="I6" s="2" t="inlineStr">
        <is>
          <t xml:space="preserve"/>
        </is>
      </c>
    </row>
    <row r="7" ht="70" customHeight="1">
      <c r="A7" s="0" t="inlineStr">
        <is>
          <t xml:space="preserve">D06</t>
        </is>
      </c>
      <c r="B7" s="0" t="inlineStr">
        <is>
          <t xml:space="preserve">Liên kết cư dân với tài khoản</t>
        </is>
      </c>
      <c r="C7" s="0" t="inlineStr">
        <is>
          <t xml:space="preserve">P1</t>
        </is>
      </c>
      <c r="D7" s="0" t="inlineStr">
        <is>
          <t xml:space="preserve">Cần chốt</t>
        </is>
      </c>
      <c r="E7" s="0" t="inlineStr">
        <is>
          <t xml:space="preserve">Xác minh đúng người nhận token OCCUPANT_LINK, kênh gửi và xử lý danh tính không khớp; không ghép theo tên tự khai.</t>
        </is>
      </c>
      <c r="F7" s="0" t="inlineStr">
        <is>
          <t xml:space="preserve">Chủ sản phẩm</t>
        </is>
      </c>
      <c r="G7" s="0" t="inlineStr">
        <is>
          <t xml:space="preserve">Chưa chốt</t>
        </is>
      </c>
      <c r="H7" s="0" t="inlineStr">
        <is>
          <t xml:space="preserve"/>
        </is>
      </c>
      <c r="I7" s="0" t="inlineStr">
        <is>
          <t xml:space="preserve"/>
        </is>
      </c>
    </row>
    <row r="8" ht="70" customHeight="1">
      <c r="A8" s="2" t="inlineStr">
        <is>
          <t xml:space="preserve">D07</t>
        </is>
      </c>
      <c r="B8" s="2" t="inlineStr">
        <is>
          <t xml:space="preserve">Gửi tin kèm nhiều ảnh atomically</t>
        </is>
      </c>
      <c r="C8" s="2" t="inlineStr">
        <is>
          <t xml:space="preserve">P0</t>
        </is>
      </c>
      <c r="D8" s="2" t="inlineStr">
        <is>
          <t xml:space="preserve">Cần mở rộng SQL</t>
        </is>
      </c>
      <c r="E8" s="2" t="inlineStr">
        <is>
          <t xml:space="preserve">sp_submit_post chỉ ghi posts và tự COMMIT. Muốn gửi imageFileIds/amenities cùng transaction phải mở rộng procedure/DTO; không bọc CALL trong transaction ngoài.</t>
        </is>
      </c>
      <c r="F8" s="2" t="inlineStr">
        <is>
          <t xml:space="preserve">Backend + DBA</t>
        </is>
      </c>
      <c r="G8" s="2" t="inlineStr">
        <is>
          <t xml:space="preserve">Chưa chốt</t>
        </is>
      </c>
      <c r="H8" s="2" t="inlineStr">
        <is>
          <t xml:space="preserve"/>
        </is>
      </c>
      <c r="I8" s="2" t="inlineStr">
        <is>
          <t xml:space="preserve"/>
        </is>
      </c>
    </row>
    <row r="9" ht="70" customHeight="1">
      <c r="A9" s="0" t="inlineStr">
        <is>
          <t xml:space="preserve">D08</t>
        </is>
      </c>
      <c r="B9" s="0" t="inlineStr">
        <is>
          <t xml:space="preserve">Get-or-create chat hỏi phòng</t>
        </is>
      </c>
      <c r="C9" s="0" t="inlineStr">
        <is>
          <t xml:space="preserve">P1</t>
        </is>
      </c>
      <c r="D9" s="0" t="inlineStr">
        <is>
          <t xml:space="preserve">Cần thiết kế</t>
        </is>
      </c>
      <c r="E9" s="0" t="inlineStr">
        <is>
          <t xml:space="preserve">Giữ một conversation/room/post ở lớp ghi; gộp nhiều context theo peer ở lớp đọc. Cần unique/khóa cho cặp inquiry để chống trùng đồng thời.</t>
        </is>
      </c>
      <c r="F9" s="0" t="inlineStr">
        <is>
          <t xml:space="preserve">Backend + DBA</t>
        </is>
      </c>
      <c r="G9" s="0" t="inlineStr">
        <is>
          <t xml:space="preserve">Chưa chốt</t>
        </is>
      </c>
      <c r="H9" s="0" t="inlineStr">
        <is>
          <t xml:space="preserve"/>
        </is>
      </c>
      <c r="I9" s="0" t="inlineStr">
        <is>
          <t xml:space="preserve"/>
        </is>
      </c>
    </row>
    <row r="10" ht="70" customHeight="1">
      <c r="A10" s="2" t="inlineStr">
        <is>
          <t xml:space="preserve">D09</t>
        </is>
      </c>
      <c r="B10" s="2" t="inlineStr">
        <is>
          <t xml:space="preserve">Idempotency và realtime bền vững</t>
        </is>
      </c>
      <c r="C10" s="2" t="inlineStr">
        <is>
          <t xml:space="preserve">P0</t>
        </is>
      </c>
      <c r="D10" s="2" t="inlineStr">
        <is>
          <t xml:space="preserve">Cần hạ tầng bổ sung</t>
        </is>
      </c>
      <c r="E10" s="2" t="inlineStr">
        <is>
          <t xml:space="preserve">Chỉ nhà/proposal/chat có khóa riêng hiện hữu; các POST khác cần idempotency store, request hash và response cache. Replay SSE bền vững cần outbox/event store, không có bảng sẵn.</t>
        </is>
      </c>
      <c r="F10" s="2" t="inlineStr">
        <is>
          <t xml:space="preserve">Backend + DBA</t>
        </is>
      </c>
      <c r="G10" s="2" t="inlineStr">
        <is>
          <t xml:space="preserve">Chưa chốt</t>
        </is>
      </c>
      <c r="H10" s="2" t="inlineStr">
        <is>
          <t xml:space="preserve"/>
        </is>
      </c>
      <c r="I10" s="2" t="inlineStr">
        <is>
          <t xml:space="preserve"/>
        </is>
      </c>
    </row>
    <row r="11" ht="70" customHeight="1">
      <c r="A11" s="0" t="inlineStr">
        <is>
          <t xml:space="preserve">D10</t>
        </is>
      </c>
      <c r="B11" s="0" t="inlineStr">
        <is>
          <t xml:space="preserve">Xác nhận đúng phiên bản</t>
        </is>
      </c>
      <c r="C11" s="0" t="inlineStr">
        <is>
          <t xml:space="preserve">P0</t>
        </is>
      </c>
      <c r="D11" s="0" t="inlineStr">
        <is>
          <t xml:space="preserve">Cần mở rộng procedure</t>
        </is>
      </c>
      <c r="E11" s="0" t="inlineStr">
        <is>
          <t xml:space="preserve">sp_confirm_contract nhận contract+tenant, không nhận expected revision; cần so revisionId dưới cùng khóa transaction trước xác nhận để tránh TOCTOU.</t>
        </is>
      </c>
      <c r="F11" s="0" t="inlineStr">
        <is>
          <t xml:space="preserve">Backend + DBA</t>
        </is>
      </c>
      <c r="G11" s="0" t="inlineStr">
        <is>
          <t xml:space="preserve">Chưa chốt</t>
        </is>
      </c>
      <c r="H11" s="0" t="inlineStr">
        <is>
          <t xml:space="preserve"/>
        </is>
      </c>
      <c r="I11" s="0" t="inlineStr">
        <is>
          <t xml:space="preserve"/>
        </is>
      </c>
    </row>
    <row r="12" ht="70" customHeight="1">
      <c r="A12" s="2" t="inlineStr">
        <is>
          <t xml:space="preserve">D11</t>
        </is>
      </c>
      <c r="B12" s="2" t="inlineStr">
        <is>
          <t xml:space="preserve">Nhập hợp đồng giấy</t>
        </is>
      </c>
      <c r="C12" s="2" t="inlineStr">
        <is>
          <t xml:space="preserve">P2</t>
        </is>
      </c>
      <c r="D12" s="2" t="inlineStr">
        <is>
          <t xml:space="preserve">Cần thiết kế</t>
        </is>
      </c>
      <c r="E12" s="2" t="inlineStr">
        <is>
          <t xml:space="preserve">Source PAPER_IMPORT có trong SQL nhưng chưa có import transaction đầy đủ; yêu cầu quyền riêng, chứng cứ đã ký và JSON member/state/date. Chưa tính route này sẵn sàng coding ngay.</t>
        </is>
      </c>
      <c r="F12" s="2" t="inlineStr">
        <is>
          <t xml:space="preserve">Backend + chủ sản phẩm</t>
        </is>
      </c>
      <c r="G12" s="2" t="inlineStr">
        <is>
          <t xml:space="preserve">Chưa chốt</t>
        </is>
      </c>
      <c r="H12" s="2" t="inlineStr">
        <is>
          <t xml:space="preserve"/>
        </is>
      </c>
      <c r="I12" s="2" t="inlineStr">
        <is>
          <t xml:space="preserve"/>
        </is>
      </c>
    </row>
    <row r="13" ht="70" customHeight="1">
      <c r="A13" s="0" t="inlineStr">
        <is>
          <t xml:space="preserve">D12</t>
        </is>
      </c>
      <c r="B13" s="0" t="inlineStr">
        <is>
          <t xml:space="preserve">Thanh toán và trường người ghi nhận</t>
        </is>
      </c>
      <c r="C13" s="0" t="inlineStr">
        <is>
          <t xml:space="preserve">P1</t>
        </is>
      </c>
      <c r="D13" s="0" t="inlineStr">
        <is>
          <t xml:space="preserve">Giới hạn phạm vi</t>
        </is>
      </c>
      <c r="E13" s="0" t="inlineStr">
        <is>
          <t xml:space="preserve">Chỉ thu toàn bộ do chủ ghi nhận; kiểm tra paid_by_id/payer theo schema. Thanh toán online, trả một phần, hoàn cọc và đối soát cần bảng giao dịch mới, không thuộc API cơ sở.</t>
        </is>
      </c>
      <c r="F13" s="0" t="inlineStr">
        <is>
          <t xml:space="preserve">Chủ sản phẩm</t>
        </is>
      </c>
      <c r="G13" s="0" t="inlineStr">
        <is>
          <t xml:space="preserve">Chưa chốt</t>
        </is>
      </c>
      <c r="H13" s="0" t="inlineStr">
        <is>
          <t xml:space="preserve"/>
        </is>
      </c>
      <c r="I13" s="0" t="inlineStr">
        <is>
          <t xml:space="preserve"/>
        </is>
      </c>
    </row>
    <row r="14" ht="70" customHeight="1">
      <c r="A14" s="2" t="inlineStr">
        <is>
          <t xml:space="preserve">D13</t>
        </is>
      </c>
      <c r="B14" s="2" t="inlineStr">
        <is>
          <t xml:space="preserve">Chính sách đánh giá</t>
        </is>
      </c>
      <c r="C14" s="2" t="inlineStr">
        <is>
          <t xml:space="preserve">P1</t>
        </is>
      </c>
      <c r="D14" s="2" t="inlineStr">
        <is>
          <t xml:space="preserve">Cần chốt</t>
        </is>
      </c>
      <c r="E14" s="2" t="inlineStr">
        <is>
          <t xml:space="preserve">SQL unique reviewer+room+contract và FK chứng cứ. Đề xuất đánh giá khi TERMINATED; hạn sửa/xóa, phản hồi chủ và thời hạn đánh giá chưa chốt.</t>
        </is>
      </c>
      <c r="F14" s="2" t="inlineStr">
        <is>
          <t xml:space="preserve">Chủ sản phẩm</t>
        </is>
      </c>
      <c r="G14" s="2" t="inlineStr">
        <is>
          <t xml:space="preserve">Chưa chốt</t>
        </is>
      </c>
      <c r="H14" s="2" t="inlineStr">
        <is>
          <t xml:space="preserve"/>
        </is>
      </c>
      <c r="I14" s="2" t="inlineStr">
        <is>
          <t xml:space="preserve"/>
        </is>
      </c>
    </row>
    <row r="15" ht="70" customHeight="1">
      <c r="A15" s="0" t="inlineStr">
        <is>
          <t xml:space="preserve">D14</t>
        </is>
      </c>
      <c r="B15" s="0" t="inlineStr">
        <is>
          <t xml:space="preserve">Audit cho đối tượng chưa có FK</t>
        </is>
      </c>
      <c r="C15" s="0" t="inlineStr">
        <is>
          <t xml:space="preserve">P1</t>
        </is>
      </c>
      <c r="D15" s="0" t="inlineStr">
        <is>
          <t xml:space="preserve">Cần thiết kế</t>
        </is>
      </c>
      <c r="E15" s="0" t="inlineStr">
        <is>
          <t xml:space="preserve">moderation_actions chưa có target review/template/criterion/service. Nếu audit các đối tượng này cần mở rộng mô hình hoặc event audit riêng; không gán nhầm target_post_id.</t>
        </is>
      </c>
      <c r="F15" s="0" t="inlineStr">
        <is>
          <t xml:space="preserve">Backend + DBA</t>
        </is>
      </c>
      <c r="G15" s="0" t="inlineStr">
        <is>
          <t xml:space="preserve">Chưa chốt</t>
        </is>
      </c>
      <c r="H15" s="0" t="inlineStr">
        <is>
          <t xml:space="preserve"/>
        </is>
      </c>
      <c r="I15" s="0" t="inlineStr">
        <is>
          <t xml:space="preserve"/>
        </is>
      </c>
    </row>
    <row r="16" ht="70" customHeight="1">
      <c r="A16" s="2" t="inlineStr">
        <is>
          <t xml:space="preserve">D15</t>
        </is>
      </c>
      <c r="B16" s="2" t="inlineStr">
        <is>
          <t xml:space="preserve">Phiên bản CRUD tổng quát</t>
        </is>
      </c>
      <c r="C16" s="2" t="inlineStr">
        <is>
          <t xml:space="preserve">P0</t>
        </is>
      </c>
      <c r="D16" s="2" t="inlineStr">
        <is>
          <t xml:space="preserve">Cần thiết kế</t>
        </is>
      </c>
      <c r="E16" s="2" t="inlineStr">
        <is>
          <t xml:space="preserve">Chỉ house.row_version, post.content_version, roommate.profile_version có sẵn. Các tài nguyên khác dùng revision ID/state/updated_at compare-and-swap trong service; không giả có row_version toàn hệ thống.</t>
        </is>
      </c>
      <c r="F16" s="2" t="inlineStr">
        <is>
          <t xml:space="preserve">Backend + DBA</t>
        </is>
      </c>
      <c r="G16" s="2" t="inlineStr">
        <is>
          <t xml:space="preserve">Chưa chốt</t>
        </is>
      </c>
      <c r="H16" s="2" t="inlineStr">
        <is>
          <t xml:space="preserve"/>
        </is>
      </c>
      <c r="I16" s="2" t="inlineStr">
        <is>
          <t xml:space="preserve"/>
        </is>
      </c>
    </row>
  </sheetData>
  <autoFilter ref="A1:I16"/>
  <dataValidations count="1">
    <dataValidation type="list" allowBlank="1" showErrorMessage="1" errorTitle="Giá trị không hợp lệ" error="Chọn một giá trị trong danh sách." sqref="G2:G16">
      <formula1>"Chưa chốt,Đang trao đổi,Đã chốt,Hoãn"</formula1>
    </dataValidation>
  </dataValidations>
  <pageMargins left="0.25" right="0.25" top="0.5" bottom="0.5" header="0.2" footer="0.2"/>
  <pageSetup orientation="landscape" paperSize="9"/>
</worksheet>
</file>

<file path=xl/worksheets/sheet9.xml><?xml version="1.0" encoding="utf-8"?>
<worksheet xmlns="http://schemas.openxmlformats.org/spreadsheetml/2006/main" xmlns:r="http://schemas.openxmlformats.org/officeDocument/2006/relationships">
  <dimension ref="A1:J10"/>
  <sheetViews>
    <sheetView workbookViewId="0">
      <pane xSplit="0" ySplit="1" topLeftCell="A2" activePane="bottomRight" state="frozen"/>
    </sheetView>
  </sheetViews>
  <sheetFormatPr defaultRowHeight="20"/>
  <cols>
    <col min="1" max="1" width="24" customWidth="1"/>
    <col min="2" max="2" width="42" customWidth="1"/>
    <col min="3" max="3" width="24" customWidth="1"/>
    <col min="4" max="4" width="42" customWidth="1"/>
    <col min="5" max="5" width="45" customWidth="1"/>
    <col min="6" max="6" width="95" customWidth="1"/>
    <col min="7" max="7" width="75" customWidth="1"/>
    <col min="8" max="8" width="24" customWidth="1"/>
    <col min="9" max="9" width="24" customWidth="1"/>
    <col min="10" max="10" width="24" customWidth="1"/>
  </cols>
  <sheetData>
    <row r="1" ht="36" customHeight="1">
      <c r="A1" s="1" t="inlineStr">
        <is>
          <t xml:space="preserve">ID</t>
        </is>
      </c>
      <c r="B1" s="1" t="inlineStr">
        <is>
          <t xml:space="preserve">Công việc</t>
        </is>
      </c>
      <c r="C1" s="1" t="inlineStr">
        <is>
          <t xml:space="preserve">Luồng</t>
        </is>
      </c>
      <c r="D1" s="1" t="inlineStr">
        <is>
          <t xml:space="preserve">Lịch chạy đề xuất</t>
        </is>
      </c>
      <c r="E1" s="1" t="inlineStr">
        <is>
          <t xml:space="preserve">Adapter</t>
        </is>
      </c>
      <c r="F1" s="1" t="inlineStr">
        <is>
          <t xml:space="preserve">Nghiệp vụ</t>
        </is>
      </c>
      <c r="G1" s="1" t="inlineStr">
        <is>
          <t xml:space="preserve">Nghiệm thu</t>
        </is>
      </c>
      <c r="H1" s="1" t="inlineStr">
        <is>
          <t xml:space="preserve">Owner</t>
        </is>
      </c>
      <c r="I1" s="1" t="inlineStr">
        <is>
          <t xml:space="preserve">Trạng thái</t>
        </is>
      </c>
      <c r="J1" s="1" t="inlineStr">
        <is>
          <t xml:space="preserve">Bằng chứng</t>
        </is>
      </c>
    </row>
    <row r="2" ht="70" customHeight="1">
      <c r="A2" s="2" t="inlineStr">
        <is>
          <t xml:space="preserve">JOB01</t>
        </is>
      </c>
      <c r="B2" s="2" t="inlineStr">
        <is>
          <t xml:space="preserve">Hết hạn đề nghị xem</t>
        </is>
      </c>
      <c r="C2" s="2" t="inlineStr">
        <is>
          <t xml:space="preserve">propose-viewing</t>
        </is>
      </c>
      <c r="D2" s="2" t="inlineStr">
        <is>
          <t xml:space="preserve">Theo phút (đề xuất)</t>
        </is>
      </c>
      <c r="E2" s="2" t="inlineStr">
        <is>
          <t xml:space="preserve">sp_expire_viewing_proposals</t>
        </is>
      </c>
      <c r="F2" s="2" t="inlineStr">
        <is>
          <t xml:space="preserve">PENDING có starts_at≤UTC now → EXPIRED. Read/write vẫn kiểm tra thời gian ngay cả khi job trễ.</t>
        </is>
      </c>
      <c r="G2" s="2" t="inlineStr">
        <is>
          <t xml:space="preserve">Retry không tạo thêm lịch; không công khai API job.</t>
        </is>
      </c>
      <c r="H2" s="2" t="inlineStr">
        <is>
          <t xml:space="preserve"/>
        </is>
      </c>
      <c r="I2" s="2" t="inlineStr">
        <is>
          <t xml:space="preserve">Chưa làm</t>
        </is>
      </c>
      <c r="J2" s="2" t="inlineStr">
        <is>
          <t xml:space="preserve"/>
        </is>
      </c>
    </row>
    <row r="3" ht="70" customHeight="1">
      <c r="A3" s="0" t="inlineStr">
        <is>
          <t xml:space="preserve">JOB02</t>
        </is>
      </c>
      <c r="B3" s="0" t="inlineStr">
        <is>
          <t xml:space="preserve">Hết hạn giữ chỗ thêm người</t>
        </is>
      </c>
      <c r="C3" s="0" t="inlineStr">
        <is>
          <t xml:space="preserve">join-hold</t>
        </is>
      </c>
      <c r="D3" s="0" t="inlineStr">
        <is>
          <t xml:space="preserve">Theo phút (đề xuất)</t>
        </is>
      </c>
      <c r="E3" s="0" t="inlineStr">
        <is>
          <t xml:space="preserve">SERVICE: transaction mới</t>
        </is>
      </c>
      <c r="F3" s="0" t="inlineStr">
        <is>
          <t xml:space="preserve">APPROVED hold_expires_at≤now → EXPIRED; không chạm COMPLETED/member đã tạo.</t>
        </is>
      </c>
      <c r="G3" s="0" t="inlineStr">
        <is>
          <t xml:space="preserve">Capacity không tính hold quá hạn kể cả job chưa chạy.</t>
        </is>
      </c>
      <c r="H3" s="0" t="inlineStr">
        <is>
          <t xml:space="preserve"/>
        </is>
      </c>
      <c r="I3" s="0" t="inlineStr">
        <is>
          <t xml:space="preserve">Chưa làm</t>
        </is>
      </c>
      <c r="J3" s="0" t="inlineStr">
        <is>
          <t xml:space="preserve"/>
        </is>
      </c>
    </row>
    <row r="4" ht="70" customHeight="1">
      <c r="A4" s="2" t="inlineStr">
        <is>
          <t xml:space="preserve">JOB03</t>
        </is>
      </c>
      <c r="B4" s="2" t="inlineStr">
        <is>
          <t xml:space="preserve">Quyền nhà quá hạn</t>
        </is>
      </c>
      <c r="C4" s="2" t="inlineStr">
        <is>
          <t xml:space="preserve">house-rights-expiry</t>
        </is>
      </c>
      <c r="D4" s="2" t="inlineStr">
        <is>
          <t xml:space="preserve">Hàng ngày theo Việt Nam (đề xuất)</t>
        </is>
      </c>
      <c r="E4" s="2" t="inlineStr">
        <is>
          <t xml:space="preserve">SERVICE: transaction mới</t>
        </is>
      </c>
      <c r="F4" s="2" t="inlineStr">
        <is>
          <t xml:space="preserve">APPROVED valid_until &lt; todayVN → EXPIRED, giữ hồ sơ/tệp; view hiệu lực chặn ngay.</t>
        </is>
      </c>
      <c r="G4" s="2" t="inlineStr">
        <is>
          <t xml:space="preserve">Không tự kết thúc hợp đồng cũ, không tự xóa tin.</t>
        </is>
      </c>
      <c r="H4" s="2" t="inlineStr">
        <is>
          <t xml:space="preserve"/>
        </is>
      </c>
      <c r="I4" s="2" t="inlineStr">
        <is>
          <t xml:space="preserve">Chưa làm</t>
        </is>
      </c>
      <c r="J4" s="2" t="inlineStr">
        <is>
          <t xml:space="preserve"/>
        </is>
      </c>
    </row>
    <row r="5" ht="70" customHeight="1">
      <c r="A5" s="0" t="inlineStr">
        <is>
          <t xml:space="preserve">JOB04</t>
        </is>
      </c>
      <c r="B5" s="0" t="inlineStr">
        <is>
          <t xml:space="preserve">Hóa đơn quá hạn</t>
        </is>
      </c>
      <c r="C5" s="0" t="inlineStr">
        <is>
          <t xml:space="preserve">pay-invoice</t>
        </is>
      </c>
      <c r="D5" s="0" t="inlineStr">
        <is>
          <t xml:space="preserve">Hàng ngày theo Việt Nam (đề xuất)</t>
        </is>
      </c>
      <c r="E5" s="0" t="inlineStr">
        <is>
          <t xml:space="preserve">SERVICE: transaction mới</t>
        </is>
      </c>
      <c r="F5" s="0" t="inlineStr">
        <is>
          <t xml:space="preserve">UNPAID có due_date&lt;todayVN → OVERDUE; không sửa PAID/CANCELLED.</t>
        </is>
      </c>
      <c r="G5" s="0" t="inlineStr">
        <is>
          <t xml:space="preserve">Lặp không gửi trùng nhắc nợ; event_key ổn định.</t>
        </is>
      </c>
      <c r="H5" s="0" t="inlineStr">
        <is>
          <t xml:space="preserve"/>
        </is>
      </c>
      <c r="I5" s="0" t="inlineStr">
        <is>
          <t xml:space="preserve">Chưa làm</t>
        </is>
      </c>
      <c r="J5" s="0" t="inlineStr">
        <is>
          <t xml:space="preserve"/>
        </is>
      </c>
    </row>
    <row r="6" ht="70" customHeight="1">
      <c r="A6" s="2" t="inlineStr">
        <is>
          <t xml:space="preserve">JOB05</t>
        </is>
      </c>
      <c r="B6" s="2" t="inlineStr">
        <is>
          <t xml:space="preserve">Dọn token/phiên/tệp staged</t>
        </is>
      </c>
      <c r="C6" s="2" t="inlineStr">
        <is>
          <t xml:space="preserve">sessions</t>
        </is>
      </c>
      <c r="D6" s="2" t="inlineStr">
        <is>
          <t xml:space="preserve">Hàng ngày (đề xuất)</t>
        </is>
      </c>
      <c r="E6" s="2" t="inlineStr">
        <is>
          <t xml:space="preserve">SERVICE: retention worker</t>
        </is>
      </c>
      <c r="F6" s="2" t="inlineStr">
        <is>
          <t xml:space="preserve">Thu hồi/xóa theo chính sách D01/D05, không xóa tệp proof/hợp đồng đang được giữ.</t>
        </is>
      </c>
      <c r="G6" s="2" t="inlineStr">
        <is>
          <t xml:space="preserve">Kiểm tra tham chiếu trước khi xóa object; không log OTP.</t>
        </is>
      </c>
      <c r="H6" s="2" t="inlineStr">
        <is>
          <t xml:space="preserve"/>
        </is>
      </c>
      <c r="I6" s="2" t="inlineStr">
        <is>
          <t xml:space="preserve">Chưa làm</t>
        </is>
      </c>
      <c r="J6" s="2" t="inlineStr">
        <is>
          <t xml:space="preserve"/>
        </is>
      </c>
    </row>
    <row r="7" ht="70" customHeight="1">
      <c r="A7" s="0" t="inlineStr">
        <is>
          <t xml:space="preserve">JOB06</t>
        </is>
      </c>
      <c r="B7" s="0" t="inlineStr">
        <is>
          <t xml:space="preserve">Phát sự kiện sau commit</t>
        </is>
      </c>
      <c r="C7" s="0" t="inlineStr">
        <is>
          <t xml:space="preserve">notifications</t>
        </is>
      </c>
      <c r="D7" s="0" t="inlineStr">
        <is>
          <t xml:space="preserve">Liên tục (đề xuất)</t>
        </is>
      </c>
      <c r="E7" s="0" t="inlineStr">
        <is>
          <t xml:space="preserve">OUTBOX/queue cần bổ sung</t>
        </is>
      </c>
      <c r="F7" s="0" t="inlineStr">
        <is>
          <t xml:space="preserve">Delivery theo eventId/recipient, retry/backoff/dedupe; chỉ phát dữ liệu tối thiểu.</t>
        </is>
      </c>
      <c r="G7" s="0" t="inlineStr">
        <is>
          <t xml:space="preserve">Giữ nghiệp vụ đúng nếu kênh SSE mất kết nối; client fetch lại.</t>
        </is>
      </c>
      <c r="H7" s="0" t="inlineStr">
        <is>
          <t xml:space="preserve"/>
        </is>
      </c>
      <c r="I7" s="0" t="inlineStr">
        <is>
          <t xml:space="preserve">Chưa làm</t>
        </is>
      </c>
      <c r="J7" s="0" t="inlineStr">
        <is>
          <t xml:space="preserve"/>
        </is>
      </c>
    </row>
    <row r="8" ht="70" customHeight="1">
      <c r="A8" s="2" t="inlineStr">
        <is>
          <t xml:space="preserve">OPS01</t>
        </is>
      </c>
      <c r="B8" s="2" t="inlineStr">
        <is>
          <t xml:space="preserve">Triển khai schema/migration</t>
        </is>
      </c>
      <c r="C8" s="2" t="inlineStr">
        <is>
          <t xml:space="preserve">migration</t>
        </is>
      </c>
      <c r="D8" s="2" t="inlineStr">
        <is>
          <t xml:space="preserve">Một lần theo phiên bản</t>
        </is>
      </c>
      <c r="E8" s="2" t="inlineStr">
        <is>
          <t xml:space="preserve">database/schema.sql hoặc migrations</t>
        </is>
      </c>
      <c r="F8" s="2" t="inlineStr">
        <is>
          <t xml:space="preserve">Tạo mới HOẶC nâng cấp theo thứ tự README; dừng khi preflight lỗi; không có HTTP endpoint chạy SQL.</t>
        </is>
      </c>
      <c r="G8" s="2" t="inlineStr">
        <is>
          <t xml:space="preserve">Sao lưu + dry run trên DB tạm; không dùng --force.</t>
        </is>
      </c>
      <c r="H8" s="2" t="inlineStr">
        <is>
          <t xml:space="preserve"/>
        </is>
      </c>
      <c r="I8" s="2" t="inlineStr">
        <is>
          <t xml:space="preserve">Chưa làm</t>
        </is>
      </c>
      <c r="J8" s="2" t="inlineStr">
        <is>
          <t xml:space="preserve"/>
        </is>
      </c>
    </row>
    <row r="9" ht="70" customHeight="1">
      <c r="A9" s="0" t="inlineStr">
        <is>
          <t xml:space="preserve">OPS02</t>
        </is>
      </c>
      <c r="B9" s="0" t="inlineStr">
        <is>
          <t xml:space="preserve">Đối soát dữ liệu cư trú</t>
        </is>
      </c>
      <c r="C9" s="0" t="inlineStr">
        <is>
          <t xml:space="preserve">data-safety</t>
        </is>
      </c>
      <c r="D9" s="0" t="inlineStr">
        <is>
          <t xml:space="preserve">Khi có cảnh báo (đề xuất)</t>
        </is>
      </c>
      <c r="E9" s="0" t="inlineStr">
        <is>
          <t xml:space="preserve">Read-only report + xử lý có phê duyệt nghiệp vụ</t>
        </is>
      </c>
      <c r="F9" s="0" t="inlineStr">
        <is>
          <t xml:space="preserve">ACTIVE trên contract đóng vẫn tính tải; báo cáo lỗi thay vì đoán ngày rời/nhận đại diện.</t>
        </is>
      </c>
      <c r="G9" s="0" t="inlineStr">
        <is>
          <t xml:space="preserve">Không tự mở lại hợp đồng, không xóa lịch sử.</t>
        </is>
      </c>
      <c r="H9" s="0" t="inlineStr">
        <is>
          <t xml:space="preserve"/>
        </is>
      </c>
      <c r="I9" s="0" t="inlineStr">
        <is>
          <t xml:space="preserve">Chưa làm</t>
        </is>
      </c>
      <c r="J9" s="0" t="inlineStr">
        <is>
          <t xml:space="preserve"/>
        </is>
      </c>
    </row>
    <row r="10" ht="70" customHeight="1">
      <c r="A10" s="2" t="inlineStr">
        <is>
          <t xml:space="preserve">OPS03</t>
        </is>
      </c>
      <c r="B10" s="2" t="inlineStr">
        <is>
          <t xml:space="preserve">Hợp đồng hết ngày kết thúc</t>
        </is>
      </c>
      <c r="C10" s="2" t="inlineStr">
        <is>
          <t xml:space="preserve">end-lease</t>
        </is>
      </c>
      <c r="D10" s="2" t="inlineStr">
        <is>
          <t xml:space="preserve">Cần chốt chính sách</t>
        </is>
      </c>
      <c r="E10" s="2" t="inlineStr">
        <is>
          <t xml:space="preserve">Chưa có worker tự kết thúc</t>
        </is>
      </c>
      <c r="F10" s="2" t="inlineStr">
        <is>
          <t xml:space="preserve">Không tự đóng hợp đồng bỏ lại cư dân ACTIVE. EXPIRED có trong schema; cần quy trình bàn giao/kết thúc/đối soát rõ.</t>
        </is>
      </c>
      <c r="G10" s="2" t="inlineStr">
        <is>
          <t xml:space="preserve">Giữ nghĩa vụ hóa đơn và người ở, không suy đoán đã rời.</t>
        </is>
      </c>
      <c r="H10" s="2" t="inlineStr">
        <is>
          <t xml:space="preserve"/>
        </is>
      </c>
      <c r="I10" s="2" t="inlineStr">
        <is>
          <t xml:space="preserve">Chưa làm</t>
        </is>
      </c>
      <c r="J10" s="2" t="inlineStr">
        <is>
          <t xml:space="preserve"/>
        </is>
      </c>
    </row>
  </sheetData>
  <autoFilter ref="A1:J10"/>
  <dataValidations count="1">
    <dataValidation type="list" allowBlank="1" showErrorMessage="1" errorTitle="Giá trị không hợp lệ" error="Chọn một giá trị trong danh sách." sqref="I2:I10">
      <formula1>"Chưa làm,Đang làm,Bị chặn,Hoàn thành"</formula1>
    </dataValidation>
  </dataValidations>
  <pageMargins left="0.25" right="0.25" top="0.5" bottom="0.5" header="0.2" footer="0.2"/>
  <pageSetup orientation="landscape" paperSize="9"/>
</worksheet>
</file>

<file path=xl/worksheets/sheet10.xml><?xml version="1.0" encoding="utf-8"?>
<worksheet xmlns="http://schemas.openxmlformats.org/spreadsheetml/2006/main" xmlns:r="http://schemas.openxmlformats.org/officeDocument/2006/relationships">
  <dimension ref="A1:G17"/>
  <sheetViews>
    <sheetView workbookViewId="0">
      <pane xSplit="0" ySplit="1" topLeftCell="A2" activePane="bottomRight" state="frozen"/>
    </sheetView>
  </sheetViews>
  <sheetFormatPr defaultRowHeight="20"/>
  <cols>
    <col min="1" max="1" width="24" customWidth="1"/>
    <col min="2" max="2" width="42" customWidth="1"/>
    <col min="3" max="3" width="24" customWidth="1"/>
    <col min="4" max="4" width="115" customWidth="1"/>
    <col min="5" max="5" width="24" customWidth="1"/>
    <col min="6" max="6" width="24" customWidth="1"/>
    <col min="7" max="7" width="55" customWidth="1"/>
  </cols>
  <sheetData>
    <row r="1" ht="36" customHeight="1">
      <c r="A1" s="1" t="inlineStr">
        <is>
          <t xml:space="preserve">ID</t>
        </is>
      </c>
      <c r="B1" s="1" t="inlineStr">
        <is>
          <t xml:space="preserve">Ca kiểm thử</t>
        </is>
      </c>
      <c r="C1" s="1" t="inlineStr">
        <is>
          <t xml:space="preserve">Luồng</t>
        </is>
      </c>
      <c r="D1" s="1" t="inlineStr">
        <is>
          <t xml:space="preserve">Kịch bản / kỳ vọng</t>
        </is>
      </c>
      <c r="E1" s="1" t="inlineStr">
        <is>
          <t xml:space="preserve">Kết quả</t>
        </is>
      </c>
      <c r="F1" s="1" t="inlineStr">
        <is>
          <t xml:space="preserve">Người kiểm thử</t>
        </is>
      </c>
      <c r="G1" s="1" t="inlineStr">
        <is>
          <t xml:space="preserve">Bằng chứng / lỗi</t>
        </is>
      </c>
    </row>
    <row r="2" ht="70" customHeight="1">
      <c r="A2" s="2" t="inlineStr">
        <is>
          <t xml:space="preserve">QA01</t>
        </is>
      </c>
      <c r="B2" s="2" t="inlineStr">
        <is>
          <t xml:space="preserve">Giới hạn tin chờ</t>
        </is>
      </c>
      <c r="C2" s="2" t="inlineStr">
        <is>
          <t xml:space="preserve">submit-post</t>
        </is>
      </c>
      <c r="D2" s="2" t="inlineStr">
        <is>
          <t xml:space="preserve">4 submit đồng thời cùng room: tối đa 3 PENDING; sửa một tin PENDING không chiếm slot mới.</t>
        </is>
      </c>
      <c r="E2" s="2" t="inlineStr">
        <is>
          <t xml:space="preserve">Chưa chạy</t>
        </is>
      </c>
      <c r="F2" s="2" t="inlineStr">
        <is>
          <t xml:space="preserve"/>
        </is>
      </c>
      <c r="G2" s="2" t="inlineStr">
        <is>
          <t xml:space="preserve"/>
        </is>
      </c>
    </row>
    <row r="3" ht="70" customHeight="1">
      <c r="A3" s="0" t="inlineStr">
        <is>
          <t xml:space="preserve">QA02</t>
        </is>
      </c>
      <c r="B3" s="0" t="inlineStr">
        <is>
          <t xml:space="preserve">Tranh cùng khoảng giờ</t>
        </is>
      </c>
      <c r="C3" s="0" t="inlineStr">
        <is>
          <t xml:space="preserve">schedule-viewing</t>
        </is>
      </c>
      <c r="D3" s="0" t="inlineStr">
        <is>
          <t xml:space="preserve">2 accept/propose khác nhau cùng khoảng giờ: chỉ một SCHEDULED; hai lịch liền kề được phép.</t>
        </is>
      </c>
      <c r="E3" s="0" t="inlineStr">
        <is>
          <t xml:space="preserve">Chưa chạy</t>
        </is>
      </c>
      <c r="F3" s="0" t="inlineStr">
        <is>
          <t xml:space="preserve"/>
        </is>
      </c>
      <c r="G3" s="0" t="inlineStr">
        <is>
          <t xml:space="preserve"/>
        </is>
      </c>
    </row>
    <row r="4" ht="70" customHeight="1">
      <c r="A4" s="2" t="inlineStr">
        <is>
          <t xml:space="preserve">QA03</t>
        </is>
      </c>
      <c r="B4" s="2" t="inlineStr">
        <is>
          <t xml:space="preserve">Tranh giữ phòng</t>
        </is>
      </c>
      <c r="C4" s="2" t="inlineStr">
        <is>
          <t xml:space="preserve">create-contract</t>
        </is>
      </c>
      <c r="D4" s="2" t="inlineStr">
        <is>
          <t xml:space="preserve">2 lịch COMPLETED+AGREED cùng room tạo hợp đồng: chỉ một open contract; rollback mọi side effect bên thua.</t>
        </is>
      </c>
      <c r="E4" s="2" t="inlineStr">
        <is>
          <t xml:space="preserve">Chưa chạy</t>
        </is>
      </c>
      <c r="F4" s="2" t="inlineStr">
        <is>
          <t xml:space="preserve"/>
        </is>
      </c>
      <c r="G4" s="2" t="inlineStr">
        <is>
          <t xml:space="preserve"/>
        </is>
      </c>
    </row>
    <row r="5" ht="70" customHeight="1">
      <c r="A5" s="0" t="inlineStr">
        <is>
          <t xml:space="preserve">QA04</t>
        </is>
      </c>
      <c r="B5" s="0" t="inlineStr">
        <is>
          <t xml:space="preserve">Đóng lịch khi giữ phòng</t>
        </is>
      </c>
      <c r="C5" s="0" t="inlineStr">
        <is>
          <t xml:space="preserve">reserve-cleanup</t>
        </is>
      </c>
      <c r="D5" s="0" t="inlineStr">
        <is>
          <t xml:space="preserve">Hủy SCHEDULED tương lai và reject pending còn hạn trên tất cả bài cùng room; giữ lịch đang diễn ra/đã kết thúc. Hủy contract không hồi lịch.</t>
        </is>
      </c>
      <c r="E5" s="0" t="inlineStr">
        <is>
          <t xml:space="preserve">Chưa chạy</t>
        </is>
      </c>
      <c r="F5" s="0" t="inlineStr">
        <is>
          <t xml:space="preserve"/>
        </is>
      </c>
      <c r="G5" s="0" t="inlineStr">
        <is>
          <t xml:space="preserve"/>
        </is>
      </c>
    </row>
    <row r="6" ht="70" customHeight="1">
      <c r="A6" s="2" t="inlineStr">
        <is>
          <t xml:space="preserve">QA05</t>
        </is>
      </c>
      <c r="B6" s="2" t="inlineStr">
        <is>
          <t xml:space="preserve">Giới hạn người ở</t>
        </is>
      </c>
      <c r="C6" s="2" t="inlineStr">
        <is>
          <t xml:space="preserve">join-hold</t>
        </is>
      </c>
      <c r="D6" s="2" t="inlineStr">
        <is>
          <t xml:space="preserve">2 approve tranh chỗ cuối: chỉ một giữ được. Hold quá 48h không tính capacity/không complete dù job chưa chạy.</t>
        </is>
      </c>
      <c r="E6" s="2" t="inlineStr">
        <is>
          <t xml:space="preserve">Chưa chạy</t>
        </is>
      </c>
      <c r="F6" s="2" t="inlineStr">
        <is>
          <t xml:space="preserve"/>
        </is>
      </c>
      <c r="G6" s="2" t="inlineStr">
        <is>
          <t xml:space="preserve"/>
        </is>
      </c>
    </row>
    <row r="7" ht="70" customHeight="1">
      <c r="A7" s="0" t="inlineStr">
        <is>
          <t xml:space="preserve">QA06</t>
        </is>
      </c>
      <c r="B7" s="0" t="inlineStr">
        <is>
          <t xml:space="preserve">Xác nhận revision cũ</t>
        </is>
      </c>
      <c r="C7" s="0" t="inlineStr">
        <is>
          <t xml:space="preserve">contract-revision</t>
        </is>
      </c>
      <c r="D7" s="0" t="inlineStr">
        <is>
          <t xml:space="preserve">Đại diện mở revision A, chủ gửi B trước confirm: request A phải 409, không xác nhận B ngoài ý muốn (D10).</t>
        </is>
      </c>
      <c r="E7" s="0" t="inlineStr">
        <is>
          <t xml:space="preserve">Chưa chạy</t>
        </is>
      </c>
      <c r="F7" s="0" t="inlineStr">
        <is>
          <t xml:space="preserve"/>
        </is>
      </c>
      <c r="G7" s="0" t="inlineStr">
        <is>
          <t xml:space="preserve"/>
        </is>
      </c>
    </row>
    <row r="8" ht="70" customHeight="1">
      <c r="A8" s="2" t="inlineStr">
        <is>
          <t xml:space="preserve">QA07</t>
        </is>
      </c>
      <c r="B8" s="2" t="inlineStr">
        <is>
          <t xml:space="preserve">Bàn giao đại diện</t>
        </is>
      </c>
      <c r="C8" s="2" t="inlineStr">
        <is>
          <t xml:space="preserve">handover</t>
        </is>
      </c>
      <c r="D8" s="2" t="inlineStr">
        <is>
          <t xml:space="preserve">Người cũ LEFT, người mới cùng hợp đồng ACTIVE, history đúng; request cũ hủy; payer/viewing/giá/ngày hợp đồng cũ giữ.</t>
        </is>
      </c>
      <c r="E8" s="2" t="inlineStr">
        <is>
          <t xml:space="preserve">Chưa chạy</t>
        </is>
      </c>
      <c r="F8" s="2" t="inlineStr">
        <is>
          <t xml:space="preserve"/>
        </is>
      </c>
      <c r="G8" s="2" t="inlineStr">
        <is>
          <t xml:space="preserve"/>
        </is>
      </c>
    </row>
    <row r="9" ht="70" customHeight="1">
      <c r="A9" s="0" t="inlineStr">
        <is>
          <t xml:space="preserve">QA08</t>
        </is>
      </c>
      <c r="B9" s="0" t="inlineStr">
        <is>
          <t xml:space="preserve">Rollback đổi phòng</t>
        </is>
      </c>
      <c r="C9" s="0" t="inlineStr">
        <is>
          <t xml:space="preserve">transfer</t>
        </is>
      </c>
      <c r="D9" s="0" t="inlineStr">
        <is>
          <t xml:space="preserve">Đích mất chỗ/quyền trước apply: không đóng nguồn. Thành công chuyển đủ ACTIVE+PLANNED, đích PLANNED chờ move-in.</t>
        </is>
      </c>
      <c r="E9" s="0" t="inlineStr">
        <is>
          <t xml:space="preserve">Chưa chạy</t>
        </is>
      </c>
      <c r="F9" s="0" t="inlineStr">
        <is>
          <t xml:space="preserve"/>
        </is>
      </c>
      <c r="G9" s="0" t="inlineStr">
        <is>
          <t xml:space="preserve"/>
        </is>
      </c>
    </row>
    <row r="10" ht="70" customHeight="1">
      <c r="A10" s="2" t="inlineStr">
        <is>
          <t xml:space="preserve">QA09</t>
        </is>
      </c>
      <c r="B10" s="2" t="inlineStr">
        <is>
          <t xml:space="preserve">Mất quyền nhà</t>
        </is>
      </c>
      <c r="C10" s="2" t="inlineStr">
        <is>
          <t xml:space="preserve">house-rights-expiry</t>
        </is>
      </c>
      <c r="D10" s="2" t="inlineStr">
        <is>
          <t xml:space="preserve">Hết hạn/thu hồi/đổi định danh/khóa landlord: public ẩn ngay, thuê mới/gia hạn/đích bị chặn, rời/kết thúc cũ vẫn hoạt động.</t>
        </is>
      </c>
      <c r="E10" s="2" t="inlineStr">
        <is>
          <t xml:space="preserve">Chưa chạy</t>
        </is>
      </c>
      <c r="F10" s="2" t="inlineStr">
        <is>
          <t xml:space="preserve"/>
        </is>
      </c>
      <c r="G10" s="2" t="inlineStr">
        <is>
          <t xml:space="preserve"/>
        </is>
      </c>
    </row>
    <row r="11" ht="70" customHeight="1">
      <c r="A11" s="0" t="inlineStr">
        <is>
          <t xml:space="preserve">QA10</t>
        </is>
      </c>
      <c r="B11" s="0" t="inlineStr">
        <is>
          <t xml:space="preserve">Hóa đơn bất biến</t>
        </is>
      </c>
      <c r="C11" s="0" t="inlineStr">
        <is>
          <t xml:space="preserve">pay-invoice</t>
        </is>
      </c>
      <c r="D11" s="0" t="inlineStr">
        <is>
          <t xml:space="preserve">Đổi giá dịch vụ/đại diện sau phát hành: invoice cũ không đổi. Kỳ trùng bị chặn; override=0 giữ 0; meter cuối&lt;đầu bị chặn.</t>
        </is>
      </c>
      <c r="E11" s="0" t="inlineStr">
        <is>
          <t xml:space="preserve">Chưa chạy</t>
        </is>
      </c>
      <c r="F11" s="0" t="inlineStr">
        <is>
          <t xml:space="preserve"/>
        </is>
      </c>
      <c r="G11" s="0" t="inlineStr">
        <is>
          <t xml:space="preserve"/>
        </is>
      </c>
    </row>
    <row r="12" ht="70" customHeight="1">
      <c r="A12" s="2" t="inlineStr">
        <is>
          <t xml:space="preserve">QA11</t>
        </is>
      </c>
      <c r="B12" s="2" t="inlineStr">
        <is>
          <t xml:space="preserve">Phân quyền chéo tài khoản</t>
        </is>
      </c>
      <c r="C12" s="2" t="inlineStr">
        <is>
          <t xml:space="preserve">data-safety</t>
        </is>
      </c>
      <c r="D12" s="2" t="inlineStr">
        <is>
          <t xml:space="preserve">Thử ID nhà/contract/member/file/chat/invoice của người khác, bao gồm nested route không khớp parent; không lộ PII.</t>
        </is>
      </c>
      <c r="E12" s="2" t="inlineStr">
        <is>
          <t xml:space="preserve">Chưa chạy</t>
        </is>
      </c>
      <c r="F12" s="2" t="inlineStr">
        <is>
          <t xml:space="preserve"/>
        </is>
      </c>
      <c r="G12" s="2" t="inlineStr">
        <is>
          <t xml:space="preserve"/>
        </is>
      </c>
    </row>
    <row r="13" ht="70" customHeight="1">
      <c r="A13" s="0" t="inlineStr">
        <is>
          <t xml:space="preserve">QA12</t>
        </is>
      </c>
      <c r="B13" s="0" t="inlineStr">
        <is>
          <t xml:space="preserve">Idempotency và mất mạng</t>
        </is>
      </c>
      <c r="C13" s="0" t="inlineStr">
        <is>
          <t xml:space="preserve">data-safety</t>
        </is>
      </c>
      <c r="D13" s="0" t="inlineStr">
        <is>
          <t xml:space="preserve">Retry sau commit/trả response lỗi: cùng key/payload nhận kết quả cũ; khác payload 409; không lặp member/invoice/notification.</t>
        </is>
      </c>
      <c r="E13" s="0" t="inlineStr">
        <is>
          <t xml:space="preserve">Chưa chạy</t>
        </is>
      </c>
      <c r="F13" s="0" t="inlineStr">
        <is>
          <t xml:space="preserve"/>
        </is>
      </c>
      <c r="G13" s="0" t="inlineStr">
        <is>
          <t xml:space="preserve"/>
        </is>
      </c>
    </row>
    <row r="14" ht="70" customHeight="1">
      <c r="A14" s="2" t="inlineStr">
        <is>
          <t xml:space="preserve">QA13</t>
        </is>
      </c>
      <c r="B14" s="2" t="inlineStr">
        <is>
          <t xml:space="preserve">Thẻ bài chia sẻ bị ẩn</t>
        </is>
      </c>
      <c r="C14" s="2" t="inlineStr">
        <is>
          <t xml:space="preserve">share-post</t>
        </is>
      </c>
      <c r="D14" s="2" t="inlineStr">
        <is>
          <t xml:space="preserve">Ẩn đúng postId đã share: sharedPost null/unavailable, không lộ ảnh/tiêu đề hoặc tự đổi sang tin khác của phòng.</t>
        </is>
      </c>
      <c r="E14" s="2" t="inlineStr">
        <is>
          <t xml:space="preserve">Chưa chạy</t>
        </is>
      </c>
      <c r="F14" s="2" t="inlineStr">
        <is>
          <t xml:space="preserve"/>
        </is>
      </c>
      <c r="G14" s="2" t="inlineStr">
        <is>
          <t xml:space="preserve"/>
        </is>
      </c>
    </row>
    <row r="15" ht="70" customHeight="1">
      <c r="A15" s="0" t="inlineStr">
        <is>
          <t xml:space="preserve">QA14</t>
        </is>
      </c>
      <c r="B15" s="0" t="inlineStr">
        <is>
          <t xml:space="preserve">Ngày giờ Việt Nam</t>
        </is>
      </c>
      <c r="C15" s="0" t="inlineStr">
        <is>
          <t xml:space="preserve">schedule-viewing</t>
        </is>
      </c>
      <c r="D15" s="0" t="inlineStr">
        <is>
          <t xml:space="preserve">Thiết bị timezone khác, lịch vẫn đúng UTC+7; kiểm thử sát 00:00, expiredAt và endDate inclusive.</t>
        </is>
      </c>
      <c r="E15" s="0" t="inlineStr">
        <is>
          <t xml:space="preserve">Chưa chạy</t>
        </is>
      </c>
      <c r="F15" s="0" t="inlineStr">
        <is>
          <t xml:space="preserve"/>
        </is>
      </c>
      <c r="G15" s="0" t="inlineStr">
        <is>
          <t xml:space="preserve"/>
        </is>
      </c>
    </row>
    <row r="16" ht="70" customHeight="1">
      <c r="A16" s="2" t="inlineStr">
        <is>
          <t xml:space="preserve">QA15</t>
        </is>
      </c>
      <c r="B16" s="2" t="inlineStr">
        <is>
          <t xml:space="preserve">Chứng cứ tệp</t>
        </is>
      </c>
      <c r="C16" s="2" t="inlineStr">
        <is>
          <t xml:space="preserve">file-storage</t>
        </is>
      </c>
      <c r="D16" s="2" t="inlineStr">
        <is>
          <t xml:space="preserve">MIME giả, size vượt, file của người khác, PRIVATE đổi PUBLIC, file proof đã nộp bị xóa/đổi bytes: đều bị từ chối.</t>
        </is>
      </c>
      <c r="E16" s="2" t="inlineStr">
        <is>
          <t xml:space="preserve">Chưa chạy</t>
        </is>
      </c>
      <c r="F16" s="2" t="inlineStr">
        <is>
          <t xml:space="preserve"/>
        </is>
      </c>
      <c r="G16" s="2" t="inlineStr">
        <is>
          <t xml:space="preserve"/>
        </is>
      </c>
    </row>
    <row r="17" ht="70" customHeight="1">
      <c r="A17" s="0" t="inlineStr">
        <is>
          <t xml:space="preserve">QA16</t>
        </is>
      </c>
      <c r="B17" s="0" t="inlineStr">
        <is>
          <t xml:space="preserve">Tài khoản nhiều vai trò/phiên</t>
        </is>
      </c>
      <c r="C17" s="0" t="inlineStr">
        <is>
          <t xml:space="preserve">account-access</t>
        </is>
      </c>
      <c r="D17" s="0" t="inlineStr">
        <is>
          <t xml:space="preserve">Role demo không cấp quyền; users.role không thay bảng role; JWT phiên revoked/LOCKED bị chặn trên mọi endpoint riêng tư.</t>
        </is>
      </c>
      <c r="E17" s="0" t="inlineStr">
        <is>
          <t xml:space="preserve">Chưa chạy</t>
        </is>
      </c>
      <c r="F17" s="0" t="inlineStr">
        <is>
          <t xml:space="preserve"/>
        </is>
      </c>
      <c r="G17" s="0" t="inlineStr">
        <is>
          <t xml:space="preserve"/>
        </is>
      </c>
    </row>
  </sheetData>
  <autoFilter ref="A1:G17"/>
  <dataValidations count="1">
    <dataValidation type="list" allowBlank="1" showErrorMessage="1" errorTitle="Giá trị không hợp lệ" error="Chọn một giá trị trong danh sách." sqref="E2:E17">
      <formula1>"Chưa chạy,Pass,Fail,Bị chặn"</formula1>
    </dataValidation>
  </dataValidations>
  <pageMargins left="0.25" right="0.25" top="0.5" bottom="0.5" header="0.2" footer="0.2"/>
  <pageSetup orientation="landscape" paperSize="9"/>
</worksheet>
</file>