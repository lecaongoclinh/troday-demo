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1"/>
  </bookViews>
  <sheets>
    <sheet name="Huong_dan" sheetId="1" r:id="rId1"/>
    <sheet name="Tong_quan" sheetId="2" r:id="rId2"/>
    <sheet name="BE_Tasks" sheetId="3" r:id="rId3"/>
    <sheet name="API_176" sheetId="4" r:id="rId4"/>
    <sheet name="Owner_Files" sheetId="5" r:id="rId5"/>
    <sheet name="Giai_doan" sheetId="6" r:id="rId6"/>
    <sheet name="Ban_giao" sheetId="7" r:id="rId7"/>
    <sheet name="Quyet_dinh" sheetId="8" r:id="rId8"/>
    <sheet name="Worker_OPS" sheetId="9" r:id="rId9"/>
    <sheet name="QA" sheetId="10" r:id="rId10"/>
    <sheet name="FE" sheetId="11" r:id="rId11"/>
    <sheet name="AI" sheetId="12" r:id="rId12"/>
  </sheets>
  <calcPr calcId="191029" fullCalcOnLoad="1" forceFullCalc="1"/>
</workbook>
</file>

<file path=xl/styles.xml><?xml version="1.0" encoding="utf-8"?>
<styleSheet xmlns="http://schemas.openxmlformats.org/spreadsheetml/2006/main">
  <numFmts count="1">
    <numFmt numFmtId="164" formatCode="yyyy-mm-dd"/>
  </numFmts>
  <fonts count="3">
    <font>
      <sz val="11"/>
      <name val="Calibri"/>
      <color rgb="FF213338"/>
    </font>
    <font>
      <b/>
      <sz val="11"/>
      <name val="Calibri"/>
      <color rgb="FFFFFFFF"/>
    </font>
    <font>
      <u/>
      <sz val="11"/>
      <name val="Calibri"/>
      <color rgb="FF087D72"/>
    </font>
  </fonts>
  <fills count="7">
    <fill>
      <patternFill patternType="none"/>
    </fill>
    <fill>
      <patternFill patternType="gray125"/>
    </fill>
    <fill>
      <patternFill patternType="solid">
        <fgColor rgb="FFF0F5F3"/>
        <bgColor indexed="64"/>
      </patternFill>
    </fill>
    <fill>
      <patternFill patternType="solid">
        <fgColor rgb="FF193536"/>
        <bgColor indexed="64"/>
      </patternFill>
    </fill>
    <fill>
      <patternFill patternType="solid">
        <fgColor rgb="FFE2F3EA"/>
        <bgColor indexed="64"/>
      </patternFill>
    </fill>
    <fill>
      <patternFill patternType="solid">
        <fgColor rgb="FFE8F0FC"/>
        <bgColor indexed="64"/>
      </patternFill>
    </fill>
    <fill>
      <patternFill patternType="solid">
        <fgColor rgb="FFFFF0DA"/>
        <bgColor indexed="64"/>
      </patternFill>
    </fill>
  </fills>
  <borders count="1">
    <border>
      <left/>
      <right/>
      <top/>
      <bottom/>
      <diagonal/>
    </border>
  </borders>
  <cellStyleXfs count="1">
    <xf numFmtId="0" fontId="0" fillId="0" borderId="0"/>
  </cellStyleXfs>
  <cellXfs count="9">
    <xf numFmtId="0" fontId="0" fillId="0" borderId="0" xfId="0">
      <alignment vertical="top" wrapText="1"/>
    </xf>
    <xf numFmtId="0" fontId="1" fillId="3" borderId="0" xfId="0">
      <alignment vertical="center" wrapText="1"/>
    </xf>
    <xf numFmtId="0" fontId="0" fillId="2" borderId="0" xfId="0">
      <alignment vertical="top" wrapText="1"/>
    </xf>
    <xf numFmtId="10" fontId="0" fillId="0" borderId="0" xfId="0" applyNumberFormat="1">
      <alignment vertical="top"/>
    </xf>
    <xf numFmtId="164" fontId="0" fillId="0" borderId="0" xfId="0" applyNumberFormat="1">
      <alignment vertical="top"/>
    </xf>
    <xf numFmtId="0" fontId="2" fillId="0" borderId="0" xfId="0">
      <alignment vertical="top"/>
    </xf>
    <xf numFmtId="0" fontId="0" fillId="4" borderId="0" xfId="0">
      <alignment vertical="top" wrapText="1"/>
    </xf>
    <xf numFmtId="0" fontId="0" fillId="5" borderId="0" xfId="0">
      <alignment vertical="top" wrapText="1"/>
    </xf>
    <xf numFmtId="0" fontId="0" fillId="6" borderId="0" xfId="0">
      <alignment vertical="top" wrapText="1"/>
    </xf>
  </cellXfs>
  <cellStyles count="1">
    <cellStyle name="Normal" xfId="0" builtinId="0"/>
  </cellStyles>
  <dxfs count="0"/>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tyles" Target="styles.xml"/></Relationships>
</file>

<file path=xl/worksheets/_rels/sheet3.xml.rels><Relationships xmlns="http://schemas.openxmlformats.org/package/2006/relationships"><Relationship Id="rId1" Type="http://schemas.openxmlformats.org/officeDocument/2006/relationships/hyperlink" Target="../work-plan.html#BE-A01" TargetMode="External"/><Relationship Id="rId2" Type="http://schemas.openxmlformats.org/officeDocument/2006/relationships/hyperlink" Target="../work-plan.html#BE-A02" TargetMode="External"/><Relationship Id="rId3" Type="http://schemas.openxmlformats.org/officeDocument/2006/relationships/hyperlink" Target="../work-plan.html#BE-A03" TargetMode="External"/><Relationship Id="rId4" Type="http://schemas.openxmlformats.org/officeDocument/2006/relationships/hyperlink" Target="../work-plan.html#BE-A04" TargetMode="External"/><Relationship Id="rId5" Type="http://schemas.openxmlformats.org/officeDocument/2006/relationships/hyperlink" Target="../work-plan.html#BE-A05" TargetMode="External"/><Relationship Id="rId6" Type="http://schemas.openxmlformats.org/officeDocument/2006/relationships/hyperlink" Target="../work-plan.html#BE-A06" TargetMode="External"/><Relationship Id="rId7" Type="http://schemas.openxmlformats.org/officeDocument/2006/relationships/hyperlink" Target="../work-plan.html#BE-A07" TargetMode="External"/><Relationship Id="rId8" Type="http://schemas.openxmlformats.org/officeDocument/2006/relationships/hyperlink" Target="../work-plan.html#BE-A08" TargetMode="External"/><Relationship Id="rId9" Type="http://schemas.openxmlformats.org/officeDocument/2006/relationships/hyperlink" Target="../work-plan.html#BE-A09" TargetMode="External"/><Relationship Id="rId10" Type="http://schemas.openxmlformats.org/officeDocument/2006/relationships/hyperlink" Target="../work-plan.html#BE-A10" TargetMode="External"/><Relationship Id="rId11" Type="http://schemas.openxmlformats.org/officeDocument/2006/relationships/hyperlink" Target="../work-plan.html#BE-A11" TargetMode="External"/><Relationship Id="rId12" Type="http://schemas.openxmlformats.org/officeDocument/2006/relationships/hyperlink" Target="../work-plan.html#BE-A12" TargetMode="External"/><Relationship Id="rId13" Type="http://schemas.openxmlformats.org/officeDocument/2006/relationships/hyperlink" Target="../work-plan.html#BE-A13" TargetMode="External"/><Relationship Id="rId14" Type="http://schemas.openxmlformats.org/officeDocument/2006/relationships/hyperlink" Target="../work-plan.html#BE-A14" TargetMode="External"/><Relationship Id="rId15" Type="http://schemas.openxmlformats.org/officeDocument/2006/relationships/hyperlink" Target="../work-plan.html#BE-A15" TargetMode="External"/><Relationship Id="rId16" Type="http://schemas.openxmlformats.org/officeDocument/2006/relationships/hyperlink" Target="../work-plan.html#BE-A16" TargetMode="External"/><Relationship Id="rId17" Type="http://schemas.openxmlformats.org/officeDocument/2006/relationships/hyperlink" Target="../work-plan.html#BE-A17" TargetMode="External"/><Relationship Id="rId18" Type="http://schemas.openxmlformats.org/officeDocument/2006/relationships/hyperlink" Target="../work-plan.html#BE-B01" TargetMode="External"/><Relationship Id="rId19" Type="http://schemas.openxmlformats.org/officeDocument/2006/relationships/hyperlink" Target="../work-plan.html#BE-B02" TargetMode="External"/><Relationship Id="rId20" Type="http://schemas.openxmlformats.org/officeDocument/2006/relationships/hyperlink" Target="../work-plan.html#BE-B03" TargetMode="External"/><Relationship Id="rId21" Type="http://schemas.openxmlformats.org/officeDocument/2006/relationships/hyperlink" Target="../work-plan.html#BE-B04" TargetMode="External"/><Relationship Id="rId22" Type="http://schemas.openxmlformats.org/officeDocument/2006/relationships/hyperlink" Target="../work-plan.html#BE-B05" TargetMode="External"/><Relationship Id="rId23" Type="http://schemas.openxmlformats.org/officeDocument/2006/relationships/hyperlink" Target="../work-plan.html#BE-B06" TargetMode="External"/><Relationship Id="rId24" Type="http://schemas.openxmlformats.org/officeDocument/2006/relationships/hyperlink" Target="../work-plan.html#BE-B07" TargetMode="External"/><Relationship Id="rId25" Type="http://schemas.openxmlformats.org/officeDocument/2006/relationships/hyperlink" Target="../work-plan.html#BE-B08" TargetMode="External"/><Relationship Id="rId26" Type="http://schemas.openxmlformats.org/officeDocument/2006/relationships/hyperlink" Target="../work-plan.html#BE-B09" TargetMode="External"/><Relationship Id="rId27" Type="http://schemas.openxmlformats.org/officeDocument/2006/relationships/hyperlink" Target="../work-plan.html#BE-B10" TargetMode="External"/><Relationship Id="rId28" Type="http://schemas.openxmlformats.org/officeDocument/2006/relationships/hyperlink" Target="../work-plan.html#BE-B11" TargetMode="External"/><Relationship Id="rId29" Type="http://schemas.openxmlformats.org/officeDocument/2006/relationships/hyperlink" Target="../work-plan.html#BE-B12" TargetMode="External"/><Relationship Id="rId30" Type="http://schemas.openxmlformats.org/officeDocument/2006/relationships/hyperlink" Target="../work-plan.html#BE-B13" TargetMode="External"/><Relationship Id="rId31" Type="http://schemas.openxmlformats.org/officeDocument/2006/relationships/hyperlink" Target="../work-plan.html#BE-B14" TargetMode="External"/><Relationship Id="rId32" Type="http://schemas.openxmlformats.org/officeDocument/2006/relationships/hyperlink" Target="../work-plan.html#BE-B15" TargetMode="External"/><Relationship Id="rId33" Type="http://schemas.openxmlformats.org/officeDocument/2006/relationships/hyperlink" Target="../work-plan.html#BE-B16" TargetMode="External"/><Relationship Id="rId34" Type="http://schemas.openxmlformats.org/officeDocument/2006/relationships/hyperlink" Target="../work-plan.html#BE-B17" TargetMode="External"/><Relationship Id="rId35" Type="http://schemas.openxmlformats.org/officeDocument/2006/relationships/hyperlink" Target="../work-plan.html#BE-B18" TargetMode="External"/><Relationship Id="rId36" Type="http://schemas.openxmlformats.org/officeDocument/2006/relationships/hyperlink" Target="../work-plan.html#BE-B19" TargetMode="External"/><Relationship Id="rId37" Type="http://schemas.openxmlformats.org/officeDocument/2006/relationships/hyperlink" Target="../work-plan.html#BE-C01" TargetMode="External"/><Relationship Id="rId38" Type="http://schemas.openxmlformats.org/officeDocument/2006/relationships/hyperlink" Target="../work-plan.html#BE-C02" TargetMode="External"/><Relationship Id="rId39" Type="http://schemas.openxmlformats.org/officeDocument/2006/relationships/hyperlink" Target="../work-plan.html#BE-C03" TargetMode="External"/><Relationship Id="rId40" Type="http://schemas.openxmlformats.org/officeDocument/2006/relationships/hyperlink" Target="../work-plan.html#BE-C04" TargetMode="External"/><Relationship Id="rId41" Type="http://schemas.openxmlformats.org/officeDocument/2006/relationships/hyperlink" Target="../work-plan.html#BE-C05" TargetMode="External"/><Relationship Id="rId42" Type="http://schemas.openxmlformats.org/officeDocument/2006/relationships/hyperlink" Target="../work-plan.html#BE-C06" TargetMode="External"/><Relationship Id="rId43" Type="http://schemas.openxmlformats.org/officeDocument/2006/relationships/hyperlink" Target="../work-plan.html#BE-C07" TargetMode="External"/><Relationship Id="rId44" Type="http://schemas.openxmlformats.org/officeDocument/2006/relationships/hyperlink" Target="../work-plan.html#BE-C08" TargetMode="External"/><Relationship Id="rId45" Type="http://schemas.openxmlformats.org/officeDocument/2006/relationships/hyperlink" Target="../work-plan.html#BE-C09" TargetMode="External"/><Relationship Id="rId46" Type="http://schemas.openxmlformats.org/officeDocument/2006/relationships/hyperlink" Target="../work-plan.html#BE-C10" TargetMode="External"/><Relationship Id="rId47" Type="http://schemas.openxmlformats.org/officeDocument/2006/relationships/hyperlink" Target="../work-plan.html#BE-C11" TargetMode="External"/><Relationship Id="rId48" Type="http://schemas.openxmlformats.org/officeDocument/2006/relationships/hyperlink" Target="../work-plan.html#BE-C12" TargetMode="External"/><Relationship Id="rId49" Type="http://schemas.openxmlformats.org/officeDocument/2006/relationships/hyperlink" Target="../work-plan.html#BE-C13" TargetMode="External"/><Relationship Id="rId50" Type="http://schemas.openxmlformats.org/officeDocument/2006/relationships/hyperlink" Target="../work-plan.html#BE-C14" TargetMode="External"/><Relationship Id="rId51" Type="http://schemas.openxmlformats.org/officeDocument/2006/relationships/hyperlink" Target="../work-plan.html#BE-C15" TargetMode="External"/><Relationship Id="rId52" Type="http://schemas.openxmlformats.org/officeDocument/2006/relationships/hyperlink" Target="../work-plan.html#BE-C16" TargetMode="External"/></Relationships>
</file>

<file path=xl/worksheets/_rels/sheet4.xml.rels><Relationships xmlns="http://schemas.openxmlformats.org/package/2006/relationships"><Relationship Id="rId1" Type="http://schemas.openxmlformats.org/officeDocument/2006/relationships/hyperlink" Target="../api-guide.html#API-001" TargetMode="External"/><Relationship Id="rId2" Type="http://schemas.openxmlformats.org/officeDocument/2006/relationships/hyperlink" Target="../work-plan.html#BE-A03" TargetMode="External"/><Relationship Id="rId3" Type="http://schemas.openxmlformats.org/officeDocument/2006/relationships/hyperlink" Target="../api-guide.html#API-002" TargetMode="External"/><Relationship Id="rId4" Type="http://schemas.openxmlformats.org/officeDocument/2006/relationships/hyperlink" Target="../work-plan.html#BE-A03" TargetMode="External"/><Relationship Id="rId5" Type="http://schemas.openxmlformats.org/officeDocument/2006/relationships/hyperlink" Target="../api-guide.html#API-003" TargetMode="External"/><Relationship Id="rId6" Type="http://schemas.openxmlformats.org/officeDocument/2006/relationships/hyperlink" Target="../work-plan.html#BE-A03" TargetMode="External"/><Relationship Id="rId7" Type="http://schemas.openxmlformats.org/officeDocument/2006/relationships/hyperlink" Target="../api-guide.html#API-004" TargetMode="External"/><Relationship Id="rId8" Type="http://schemas.openxmlformats.org/officeDocument/2006/relationships/hyperlink" Target="../work-plan.html#BE-A03" TargetMode="External"/><Relationship Id="rId9" Type="http://schemas.openxmlformats.org/officeDocument/2006/relationships/hyperlink" Target="../api-guide.html#API-005" TargetMode="External"/><Relationship Id="rId10" Type="http://schemas.openxmlformats.org/officeDocument/2006/relationships/hyperlink" Target="../work-plan.html#BE-A03" TargetMode="External"/><Relationship Id="rId11" Type="http://schemas.openxmlformats.org/officeDocument/2006/relationships/hyperlink" Target="../api-guide.html#API-006" TargetMode="External"/><Relationship Id="rId12" Type="http://schemas.openxmlformats.org/officeDocument/2006/relationships/hyperlink" Target="../work-plan.html#BE-A06" TargetMode="External"/><Relationship Id="rId13" Type="http://schemas.openxmlformats.org/officeDocument/2006/relationships/hyperlink" Target="../api-guide.html#API-007" TargetMode="External"/><Relationship Id="rId14" Type="http://schemas.openxmlformats.org/officeDocument/2006/relationships/hyperlink" Target="../work-plan.html#BE-A06" TargetMode="External"/><Relationship Id="rId15" Type="http://schemas.openxmlformats.org/officeDocument/2006/relationships/hyperlink" Target="../api-guide.html#API-008" TargetMode="External"/><Relationship Id="rId16" Type="http://schemas.openxmlformats.org/officeDocument/2006/relationships/hyperlink" Target="../work-plan.html#BE-A06" TargetMode="External"/><Relationship Id="rId17" Type="http://schemas.openxmlformats.org/officeDocument/2006/relationships/hyperlink" Target="../api-guide.html#API-009" TargetMode="External"/><Relationship Id="rId18" Type="http://schemas.openxmlformats.org/officeDocument/2006/relationships/hyperlink" Target="../work-plan.html#BE-A06" TargetMode="External"/><Relationship Id="rId19" Type="http://schemas.openxmlformats.org/officeDocument/2006/relationships/hyperlink" Target="../api-guide.html#API-010" TargetMode="External"/><Relationship Id="rId20" Type="http://schemas.openxmlformats.org/officeDocument/2006/relationships/hyperlink" Target="../work-plan.html#BE-A06" TargetMode="External"/><Relationship Id="rId21" Type="http://schemas.openxmlformats.org/officeDocument/2006/relationships/hyperlink" Target="../api-guide.html#API-011" TargetMode="External"/><Relationship Id="rId22" Type="http://schemas.openxmlformats.org/officeDocument/2006/relationships/hyperlink" Target="../work-plan.html#BE-A06" TargetMode="External"/><Relationship Id="rId23" Type="http://schemas.openxmlformats.org/officeDocument/2006/relationships/hyperlink" Target="../api-guide.html#API-012" TargetMode="External"/><Relationship Id="rId24" Type="http://schemas.openxmlformats.org/officeDocument/2006/relationships/hyperlink" Target="../work-plan.html#BE-A06" TargetMode="External"/><Relationship Id="rId25" Type="http://schemas.openxmlformats.org/officeDocument/2006/relationships/hyperlink" Target="../api-guide.html#API-013" TargetMode="External"/><Relationship Id="rId26" Type="http://schemas.openxmlformats.org/officeDocument/2006/relationships/hyperlink" Target="../work-plan.html#BE-A06" TargetMode="External"/><Relationship Id="rId27" Type="http://schemas.openxmlformats.org/officeDocument/2006/relationships/hyperlink" Target="../api-guide.html#API-014" TargetMode="External"/><Relationship Id="rId28" Type="http://schemas.openxmlformats.org/officeDocument/2006/relationships/hyperlink" Target="../work-plan.html#BE-A06" TargetMode="External"/><Relationship Id="rId29" Type="http://schemas.openxmlformats.org/officeDocument/2006/relationships/hyperlink" Target="../api-guide.html#API-015" TargetMode="External"/><Relationship Id="rId30" Type="http://schemas.openxmlformats.org/officeDocument/2006/relationships/hyperlink" Target="../work-plan.html#BE-A06" TargetMode="External"/><Relationship Id="rId31" Type="http://schemas.openxmlformats.org/officeDocument/2006/relationships/hyperlink" Target="../api-guide.html#API-016" TargetMode="External"/><Relationship Id="rId32" Type="http://schemas.openxmlformats.org/officeDocument/2006/relationships/hyperlink" Target="../work-plan.html#BE-A06" TargetMode="External"/><Relationship Id="rId33" Type="http://schemas.openxmlformats.org/officeDocument/2006/relationships/hyperlink" Target="../api-guide.html#API-017" TargetMode="External"/><Relationship Id="rId34" Type="http://schemas.openxmlformats.org/officeDocument/2006/relationships/hyperlink" Target="../work-plan.html#BE-A06" TargetMode="External"/><Relationship Id="rId35" Type="http://schemas.openxmlformats.org/officeDocument/2006/relationships/hyperlink" Target="../api-guide.html#API-018" TargetMode="External"/><Relationship Id="rId36" Type="http://schemas.openxmlformats.org/officeDocument/2006/relationships/hyperlink" Target="../work-plan.html#BE-A03" TargetMode="External"/><Relationship Id="rId37" Type="http://schemas.openxmlformats.org/officeDocument/2006/relationships/hyperlink" Target="../api-guide.html#API-019" TargetMode="External"/><Relationship Id="rId38" Type="http://schemas.openxmlformats.org/officeDocument/2006/relationships/hyperlink" Target="../work-plan.html#BE-A03" TargetMode="External"/><Relationship Id="rId39" Type="http://schemas.openxmlformats.org/officeDocument/2006/relationships/hyperlink" Target="../api-guide.html#API-020" TargetMode="External"/><Relationship Id="rId40" Type="http://schemas.openxmlformats.org/officeDocument/2006/relationships/hyperlink" Target="../work-plan.html#BE-A03" TargetMode="External"/><Relationship Id="rId41" Type="http://schemas.openxmlformats.org/officeDocument/2006/relationships/hyperlink" Target="../api-guide.html#API-021" TargetMode="External"/><Relationship Id="rId42" Type="http://schemas.openxmlformats.org/officeDocument/2006/relationships/hyperlink" Target="../work-plan.html#BE-A03" TargetMode="External"/><Relationship Id="rId43" Type="http://schemas.openxmlformats.org/officeDocument/2006/relationships/hyperlink" Target="../api-guide.html#API-022" TargetMode="External"/><Relationship Id="rId44" Type="http://schemas.openxmlformats.org/officeDocument/2006/relationships/hyperlink" Target="../work-plan.html#BE-A07" TargetMode="External"/><Relationship Id="rId45" Type="http://schemas.openxmlformats.org/officeDocument/2006/relationships/hyperlink" Target="../api-guide.html#API-023" TargetMode="External"/><Relationship Id="rId46" Type="http://schemas.openxmlformats.org/officeDocument/2006/relationships/hyperlink" Target="../work-plan.html#BE-A07" TargetMode="External"/><Relationship Id="rId47" Type="http://schemas.openxmlformats.org/officeDocument/2006/relationships/hyperlink" Target="../api-guide.html#API-024" TargetMode="External"/><Relationship Id="rId48" Type="http://schemas.openxmlformats.org/officeDocument/2006/relationships/hyperlink" Target="../work-plan.html#BE-A07" TargetMode="External"/><Relationship Id="rId49" Type="http://schemas.openxmlformats.org/officeDocument/2006/relationships/hyperlink" Target="../api-guide.html#API-025" TargetMode="External"/><Relationship Id="rId50" Type="http://schemas.openxmlformats.org/officeDocument/2006/relationships/hyperlink" Target="../work-plan.html#BE-A07" TargetMode="External"/><Relationship Id="rId51" Type="http://schemas.openxmlformats.org/officeDocument/2006/relationships/hyperlink" Target="../api-guide.html#API-026" TargetMode="External"/><Relationship Id="rId52" Type="http://schemas.openxmlformats.org/officeDocument/2006/relationships/hyperlink" Target="../work-plan.html#BE-A07" TargetMode="External"/><Relationship Id="rId53" Type="http://schemas.openxmlformats.org/officeDocument/2006/relationships/hyperlink" Target="../api-guide.html#API-027" TargetMode="External"/><Relationship Id="rId54" Type="http://schemas.openxmlformats.org/officeDocument/2006/relationships/hyperlink" Target="../work-plan.html#BE-C08" TargetMode="External"/><Relationship Id="rId55" Type="http://schemas.openxmlformats.org/officeDocument/2006/relationships/hyperlink" Target="../api-guide.html#API-028" TargetMode="External"/><Relationship Id="rId56" Type="http://schemas.openxmlformats.org/officeDocument/2006/relationships/hyperlink" Target="../work-plan.html#BE-C08" TargetMode="External"/><Relationship Id="rId57" Type="http://schemas.openxmlformats.org/officeDocument/2006/relationships/hyperlink" Target="../api-guide.html#API-029" TargetMode="External"/><Relationship Id="rId58" Type="http://schemas.openxmlformats.org/officeDocument/2006/relationships/hyperlink" Target="../work-plan.html#BE-B02" TargetMode="External"/><Relationship Id="rId59" Type="http://schemas.openxmlformats.org/officeDocument/2006/relationships/hyperlink" Target="../api-guide.html#API-030" TargetMode="External"/><Relationship Id="rId60" Type="http://schemas.openxmlformats.org/officeDocument/2006/relationships/hyperlink" Target="../work-plan.html#BE-B02" TargetMode="External"/><Relationship Id="rId61" Type="http://schemas.openxmlformats.org/officeDocument/2006/relationships/hyperlink" Target="../api-guide.html#API-031" TargetMode="External"/><Relationship Id="rId62" Type="http://schemas.openxmlformats.org/officeDocument/2006/relationships/hyperlink" Target="../work-plan.html#BE-B02" TargetMode="External"/><Relationship Id="rId63" Type="http://schemas.openxmlformats.org/officeDocument/2006/relationships/hyperlink" Target="../api-guide.html#API-032" TargetMode="External"/><Relationship Id="rId64" Type="http://schemas.openxmlformats.org/officeDocument/2006/relationships/hyperlink" Target="../work-plan.html#BE-B02" TargetMode="External"/><Relationship Id="rId65" Type="http://schemas.openxmlformats.org/officeDocument/2006/relationships/hyperlink" Target="../api-guide.html#API-033" TargetMode="External"/><Relationship Id="rId66" Type="http://schemas.openxmlformats.org/officeDocument/2006/relationships/hyperlink" Target="../work-plan.html#BE-B05" TargetMode="External"/><Relationship Id="rId67" Type="http://schemas.openxmlformats.org/officeDocument/2006/relationships/hyperlink" Target="../api-guide.html#API-034" TargetMode="External"/><Relationship Id="rId68" Type="http://schemas.openxmlformats.org/officeDocument/2006/relationships/hyperlink" Target="../work-plan.html#BE-B05" TargetMode="External"/><Relationship Id="rId69" Type="http://schemas.openxmlformats.org/officeDocument/2006/relationships/hyperlink" Target="../api-guide.html#API-035" TargetMode="External"/><Relationship Id="rId70" Type="http://schemas.openxmlformats.org/officeDocument/2006/relationships/hyperlink" Target="../work-plan.html#BE-B05" TargetMode="External"/><Relationship Id="rId71" Type="http://schemas.openxmlformats.org/officeDocument/2006/relationships/hyperlink" Target="../api-guide.html#API-036" TargetMode="External"/><Relationship Id="rId72" Type="http://schemas.openxmlformats.org/officeDocument/2006/relationships/hyperlink" Target="../work-plan.html#BE-B05" TargetMode="External"/><Relationship Id="rId73" Type="http://schemas.openxmlformats.org/officeDocument/2006/relationships/hyperlink" Target="../api-guide.html#API-037" TargetMode="External"/><Relationship Id="rId74" Type="http://schemas.openxmlformats.org/officeDocument/2006/relationships/hyperlink" Target="../work-plan.html#BE-B05" TargetMode="External"/><Relationship Id="rId75" Type="http://schemas.openxmlformats.org/officeDocument/2006/relationships/hyperlink" Target="../api-guide.html#API-038" TargetMode="External"/><Relationship Id="rId76" Type="http://schemas.openxmlformats.org/officeDocument/2006/relationships/hyperlink" Target="../work-plan.html#BE-B05" TargetMode="External"/><Relationship Id="rId77" Type="http://schemas.openxmlformats.org/officeDocument/2006/relationships/hyperlink" Target="../api-guide.html#API-039" TargetMode="External"/><Relationship Id="rId78" Type="http://schemas.openxmlformats.org/officeDocument/2006/relationships/hyperlink" Target="../work-plan.html#BE-B05" TargetMode="External"/><Relationship Id="rId79" Type="http://schemas.openxmlformats.org/officeDocument/2006/relationships/hyperlink" Target="../api-guide.html#API-040" TargetMode="External"/><Relationship Id="rId80" Type="http://schemas.openxmlformats.org/officeDocument/2006/relationships/hyperlink" Target="../work-plan.html#BE-B05" TargetMode="External"/><Relationship Id="rId81" Type="http://schemas.openxmlformats.org/officeDocument/2006/relationships/hyperlink" Target="../api-guide.html#API-041" TargetMode="External"/><Relationship Id="rId82" Type="http://schemas.openxmlformats.org/officeDocument/2006/relationships/hyperlink" Target="../work-plan.html#BE-B05" TargetMode="External"/><Relationship Id="rId83" Type="http://schemas.openxmlformats.org/officeDocument/2006/relationships/hyperlink" Target="../api-guide.html#API-042" TargetMode="External"/><Relationship Id="rId84" Type="http://schemas.openxmlformats.org/officeDocument/2006/relationships/hyperlink" Target="../work-plan.html#BE-B02" TargetMode="External"/><Relationship Id="rId85" Type="http://schemas.openxmlformats.org/officeDocument/2006/relationships/hyperlink" Target="../api-guide.html#API-043" TargetMode="External"/><Relationship Id="rId86" Type="http://schemas.openxmlformats.org/officeDocument/2006/relationships/hyperlink" Target="../work-plan.html#BE-B02" TargetMode="External"/><Relationship Id="rId87" Type="http://schemas.openxmlformats.org/officeDocument/2006/relationships/hyperlink" Target="../api-guide.html#API-044" TargetMode="External"/><Relationship Id="rId88" Type="http://schemas.openxmlformats.org/officeDocument/2006/relationships/hyperlink" Target="../work-plan.html#BE-B02" TargetMode="External"/><Relationship Id="rId89" Type="http://schemas.openxmlformats.org/officeDocument/2006/relationships/hyperlink" Target="../api-guide.html#API-045" TargetMode="External"/><Relationship Id="rId90" Type="http://schemas.openxmlformats.org/officeDocument/2006/relationships/hyperlink" Target="../work-plan.html#BE-B02" TargetMode="External"/><Relationship Id="rId91" Type="http://schemas.openxmlformats.org/officeDocument/2006/relationships/hyperlink" Target="../api-guide.html#API-046" TargetMode="External"/><Relationship Id="rId92" Type="http://schemas.openxmlformats.org/officeDocument/2006/relationships/hyperlink" Target="../work-plan.html#BE-B07" TargetMode="External"/><Relationship Id="rId93" Type="http://schemas.openxmlformats.org/officeDocument/2006/relationships/hyperlink" Target="../api-guide.html#API-047" TargetMode="External"/><Relationship Id="rId94" Type="http://schemas.openxmlformats.org/officeDocument/2006/relationships/hyperlink" Target="../work-plan.html#BE-B06" TargetMode="External"/><Relationship Id="rId95" Type="http://schemas.openxmlformats.org/officeDocument/2006/relationships/hyperlink" Target="../api-guide.html#API-048" TargetMode="External"/><Relationship Id="rId96" Type="http://schemas.openxmlformats.org/officeDocument/2006/relationships/hyperlink" Target="../work-plan.html#BE-C02" TargetMode="External"/><Relationship Id="rId97" Type="http://schemas.openxmlformats.org/officeDocument/2006/relationships/hyperlink" Target="../api-guide.html#API-049" TargetMode="External"/><Relationship Id="rId98" Type="http://schemas.openxmlformats.org/officeDocument/2006/relationships/hyperlink" Target="../work-plan.html#BE-B03" TargetMode="External"/><Relationship Id="rId99" Type="http://schemas.openxmlformats.org/officeDocument/2006/relationships/hyperlink" Target="../api-guide.html#API-050" TargetMode="External"/><Relationship Id="rId100" Type="http://schemas.openxmlformats.org/officeDocument/2006/relationships/hyperlink" Target="../work-plan.html#BE-B06" TargetMode="External"/><Relationship Id="rId101" Type="http://schemas.openxmlformats.org/officeDocument/2006/relationships/hyperlink" Target="../api-guide.html#API-051" TargetMode="External"/><Relationship Id="rId102" Type="http://schemas.openxmlformats.org/officeDocument/2006/relationships/hyperlink" Target="../work-plan.html#BE-B06" TargetMode="External"/><Relationship Id="rId103" Type="http://schemas.openxmlformats.org/officeDocument/2006/relationships/hyperlink" Target="../api-guide.html#API-052" TargetMode="External"/><Relationship Id="rId104" Type="http://schemas.openxmlformats.org/officeDocument/2006/relationships/hyperlink" Target="../work-plan.html#BE-B06" TargetMode="External"/><Relationship Id="rId105" Type="http://schemas.openxmlformats.org/officeDocument/2006/relationships/hyperlink" Target="../api-guide.html#API-053" TargetMode="External"/><Relationship Id="rId106" Type="http://schemas.openxmlformats.org/officeDocument/2006/relationships/hyperlink" Target="../work-plan.html#BE-B06" TargetMode="External"/><Relationship Id="rId107" Type="http://schemas.openxmlformats.org/officeDocument/2006/relationships/hyperlink" Target="../api-guide.html#API-054" TargetMode="External"/><Relationship Id="rId108" Type="http://schemas.openxmlformats.org/officeDocument/2006/relationships/hyperlink" Target="../work-plan.html#BE-B06" TargetMode="External"/><Relationship Id="rId109" Type="http://schemas.openxmlformats.org/officeDocument/2006/relationships/hyperlink" Target="../api-guide.html#API-055" TargetMode="External"/><Relationship Id="rId110" Type="http://schemas.openxmlformats.org/officeDocument/2006/relationships/hyperlink" Target="../work-plan.html#BE-B06" TargetMode="External"/><Relationship Id="rId111" Type="http://schemas.openxmlformats.org/officeDocument/2006/relationships/hyperlink" Target="../api-guide.html#API-056" TargetMode="External"/><Relationship Id="rId112" Type="http://schemas.openxmlformats.org/officeDocument/2006/relationships/hyperlink" Target="../work-plan.html#BE-B06" TargetMode="External"/><Relationship Id="rId113" Type="http://schemas.openxmlformats.org/officeDocument/2006/relationships/hyperlink" Target="../api-guide.html#API-057" TargetMode="External"/><Relationship Id="rId114" Type="http://schemas.openxmlformats.org/officeDocument/2006/relationships/hyperlink" Target="../work-plan.html#BE-B07" TargetMode="External"/><Relationship Id="rId115" Type="http://schemas.openxmlformats.org/officeDocument/2006/relationships/hyperlink" Target="../api-guide.html#API-058" TargetMode="External"/><Relationship Id="rId116" Type="http://schemas.openxmlformats.org/officeDocument/2006/relationships/hyperlink" Target="../work-plan.html#BE-B07" TargetMode="External"/><Relationship Id="rId117" Type="http://schemas.openxmlformats.org/officeDocument/2006/relationships/hyperlink" Target="../api-guide.html#API-059" TargetMode="External"/><Relationship Id="rId118" Type="http://schemas.openxmlformats.org/officeDocument/2006/relationships/hyperlink" Target="../work-plan.html#BE-B07" TargetMode="External"/><Relationship Id="rId119" Type="http://schemas.openxmlformats.org/officeDocument/2006/relationships/hyperlink" Target="../api-guide.html#API-060" TargetMode="External"/><Relationship Id="rId120" Type="http://schemas.openxmlformats.org/officeDocument/2006/relationships/hyperlink" Target="../work-plan.html#BE-B07" TargetMode="External"/><Relationship Id="rId121" Type="http://schemas.openxmlformats.org/officeDocument/2006/relationships/hyperlink" Target="../api-guide.html#API-061" TargetMode="External"/><Relationship Id="rId122" Type="http://schemas.openxmlformats.org/officeDocument/2006/relationships/hyperlink" Target="../work-plan.html#BE-B07" TargetMode="External"/><Relationship Id="rId123" Type="http://schemas.openxmlformats.org/officeDocument/2006/relationships/hyperlink" Target="../api-guide.html#API-062" TargetMode="External"/><Relationship Id="rId124" Type="http://schemas.openxmlformats.org/officeDocument/2006/relationships/hyperlink" Target="../work-plan.html#BE-B11" TargetMode="External"/><Relationship Id="rId125" Type="http://schemas.openxmlformats.org/officeDocument/2006/relationships/hyperlink" Target="../api-guide.html#API-063" TargetMode="External"/><Relationship Id="rId126" Type="http://schemas.openxmlformats.org/officeDocument/2006/relationships/hyperlink" Target="../work-plan.html#BE-B11" TargetMode="External"/><Relationship Id="rId127" Type="http://schemas.openxmlformats.org/officeDocument/2006/relationships/hyperlink" Target="../api-guide.html#API-064" TargetMode="External"/><Relationship Id="rId128" Type="http://schemas.openxmlformats.org/officeDocument/2006/relationships/hyperlink" Target="../work-plan.html#BE-B11" TargetMode="External"/><Relationship Id="rId129" Type="http://schemas.openxmlformats.org/officeDocument/2006/relationships/hyperlink" Target="../api-guide.html#API-065" TargetMode="External"/><Relationship Id="rId130" Type="http://schemas.openxmlformats.org/officeDocument/2006/relationships/hyperlink" Target="../work-plan.html#BE-B12" TargetMode="External"/><Relationship Id="rId131" Type="http://schemas.openxmlformats.org/officeDocument/2006/relationships/hyperlink" Target="../api-guide.html#API-066" TargetMode="External"/><Relationship Id="rId132" Type="http://schemas.openxmlformats.org/officeDocument/2006/relationships/hyperlink" Target="../work-plan.html#BE-B11" TargetMode="External"/><Relationship Id="rId133" Type="http://schemas.openxmlformats.org/officeDocument/2006/relationships/hyperlink" Target="../api-guide.html#API-067" TargetMode="External"/><Relationship Id="rId134" Type="http://schemas.openxmlformats.org/officeDocument/2006/relationships/hyperlink" Target="../work-plan.html#BE-B11" TargetMode="External"/><Relationship Id="rId135" Type="http://schemas.openxmlformats.org/officeDocument/2006/relationships/hyperlink" Target="../api-guide.html#API-068" TargetMode="External"/><Relationship Id="rId136" Type="http://schemas.openxmlformats.org/officeDocument/2006/relationships/hyperlink" Target="../work-plan.html#BE-B15" TargetMode="External"/><Relationship Id="rId137" Type="http://schemas.openxmlformats.org/officeDocument/2006/relationships/hyperlink" Target="../api-guide.html#API-069" TargetMode="External"/><Relationship Id="rId138" Type="http://schemas.openxmlformats.org/officeDocument/2006/relationships/hyperlink" Target="../work-plan.html#BE-B12" TargetMode="External"/><Relationship Id="rId139" Type="http://schemas.openxmlformats.org/officeDocument/2006/relationships/hyperlink" Target="../api-guide.html#API-070" TargetMode="External"/><Relationship Id="rId140" Type="http://schemas.openxmlformats.org/officeDocument/2006/relationships/hyperlink" Target="../work-plan.html#BE-B12" TargetMode="External"/><Relationship Id="rId141" Type="http://schemas.openxmlformats.org/officeDocument/2006/relationships/hyperlink" Target="../api-guide.html#API-071" TargetMode="External"/><Relationship Id="rId142" Type="http://schemas.openxmlformats.org/officeDocument/2006/relationships/hyperlink" Target="../work-plan.html#BE-B13" TargetMode="External"/><Relationship Id="rId143" Type="http://schemas.openxmlformats.org/officeDocument/2006/relationships/hyperlink" Target="../api-guide.html#API-072" TargetMode="External"/><Relationship Id="rId144" Type="http://schemas.openxmlformats.org/officeDocument/2006/relationships/hyperlink" Target="../work-plan.html#BE-B13" TargetMode="External"/><Relationship Id="rId145" Type="http://schemas.openxmlformats.org/officeDocument/2006/relationships/hyperlink" Target="../api-guide.html#API-073" TargetMode="External"/><Relationship Id="rId146" Type="http://schemas.openxmlformats.org/officeDocument/2006/relationships/hyperlink" Target="../work-plan.html#BE-B13" TargetMode="External"/><Relationship Id="rId147" Type="http://schemas.openxmlformats.org/officeDocument/2006/relationships/hyperlink" Target="../api-guide.html#API-074" TargetMode="External"/><Relationship Id="rId148" Type="http://schemas.openxmlformats.org/officeDocument/2006/relationships/hyperlink" Target="../work-plan.html#BE-B13" TargetMode="External"/><Relationship Id="rId149" Type="http://schemas.openxmlformats.org/officeDocument/2006/relationships/hyperlink" Target="../api-guide.html#API-075" TargetMode="External"/><Relationship Id="rId150" Type="http://schemas.openxmlformats.org/officeDocument/2006/relationships/hyperlink" Target="../work-plan.html#BE-B13" TargetMode="External"/><Relationship Id="rId151" Type="http://schemas.openxmlformats.org/officeDocument/2006/relationships/hyperlink" Target="../api-guide.html#API-076" TargetMode="External"/><Relationship Id="rId152" Type="http://schemas.openxmlformats.org/officeDocument/2006/relationships/hyperlink" Target="../work-plan.html#BE-A08" TargetMode="External"/><Relationship Id="rId153" Type="http://schemas.openxmlformats.org/officeDocument/2006/relationships/hyperlink" Target="../api-guide.html#API-077" TargetMode="External"/><Relationship Id="rId154" Type="http://schemas.openxmlformats.org/officeDocument/2006/relationships/hyperlink" Target="../work-plan.html#BE-A08" TargetMode="External"/><Relationship Id="rId155" Type="http://schemas.openxmlformats.org/officeDocument/2006/relationships/hyperlink" Target="../api-guide.html#API-078" TargetMode="External"/><Relationship Id="rId156" Type="http://schemas.openxmlformats.org/officeDocument/2006/relationships/hyperlink" Target="../work-plan.html#BE-A08" TargetMode="External"/><Relationship Id="rId157" Type="http://schemas.openxmlformats.org/officeDocument/2006/relationships/hyperlink" Target="../api-guide.html#API-079" TargetMode="External"/><Relationship Id="rId158" Type="http://schemas.openxmlformats.org/officeDocument/2006/relationships/hyperlink" Target="../work-plan.html#BE-A08" TargetMode="External"/><Relationship Id="rId159" Type="http://schemas.openxmlformats.org/officeDocument/2006/relationships/hyperlink" Target="../api-guide.html#API-080" TargetMode="External"/><Relationship Id="rId160" Type="http://schemas.openxmlformats.org/officeDocument/2006/relationships/hyperlink" Target="../work-plan.html#BE-A08" TargetMode="External"/><Relationship Id="rId161" Type="http://schemas.openxmlformats.org/officeDocument/2006/relationships/hyperlink" Target="../api-guide.html#API-081" TargetMode="External"/><Relationship Id="rId162" Type="http://schemas.openxmlformats.org/officeDocument/2006/relationships/hyperlink" Target="../work-plan.html#BE-A08" TargetMode="External"/><Relationship Id="rId163" Type="http://schemas.openxmlformats.org/officeDocument/2006/relationships/hyperlink" Target="../api-guide.html#API-082" TargetMode="External"/><Relationship Id="rId164" Type="http://schemas.openxmlformats.org/officeDocument/2006/relationships/hyperlink" Target="../work-plan.html#BE-A08" TargetMode="External"/><Relationship Id="rId165" Type="http://schemas.openxmlformats.org/officeDocument/2006/relationships/hyperlink" Target="../api-guide.html#API-083" TargetMode="External"/><Relationship Id="rId166" Type="http://schemas.openxmlformats.org/officeDocument/2006/relationships/hyperlink" Target="../work-plan.html#BE-A11" TargetMode="External"/><Relationship Id="rId167" Type="http://schemas.openxmlformats.org/officeDocument/2006/relationships/hyperlink" Target="../api-guide.html#API-084" TargetMode="External"/><Relationship Id="rId168" Type="http://schemas.openxmlformats.org/officeDocument/2006/relationships/hyperlink" Target="../work-plan.html#BE-A11" TargetMode="External"/><Relationship Id="rId169" Type="http://schemas.openxmlformats.org/officeDocument/2006/relationships/hyperlink" Target="../api-guide.html#API-085" TargetMode="External"/><Relationship Id="rId170" Type="http://schemas.openxmlformats.org/officeDocument/2006/relationships/hyperlink" Target="../work-plan.html#BE-A11" TargetMode="External"/><Relationship Id="rId171" Type="http://schemas.openxmlformats.org/officeDocument/2006/relationships/hyperlink" Target="../api-guide.html#API-086" TargetMode="External"/><Relationship Id="rId172" Type="http://schemas.openxmlformats.org/officeDocument/2006/relationships/hyperlink" Target="../work-plan.html#BE-A09" TargetMode="External"/><Relationship Id="rId173" Type="http://schemas.openxmlformats.org/officeDocument/2006/relationships/hyperlink" Target="../api-guide.html#API-087" TargetMode="External"/><Relationship Id="rId174" Type="http://schemas.openxmlformats.org/officeDocument/2006/relationships/hyperlink" Target="../work-plan.html#BE-A09" TargetMode="External"/><Relationship Id="rId175" Type="http://schemas.openxmlformats.org/officeDocument/2006/relationships/hyperlink" Target="../api-guide.html#API-088" TargetMode="External"/><Relationship Id="rId176" Type="http://schemas.openxmlformats.org/officeDocument/2006/relationships/hyperlink" Target="../work-plan.html#BE-A09" TargetMode="External"/><Relationship Id="rId177" Type="http://schemas.openxmlformats.org/officeDocument/2006/relationships/hyperlink" Target="../api-guide.html#API-089" TargetMode="External"/><Relationship Id="rId178" Type="http://schemas.openxmlformats.org/officeDocument/2006/relationships/hyperlink" Target="../work-plan.html#BE-A09" TargetMode="External"/><Relationship Id="rId179" Type="http://schemas.openxmlformats.org/officeDocument/2006/relationships/hyperlink" Target="../api-guide.html#API-090" TargetMode="External"/><Relationship Id="rId180" Type="http://schemas.openxmlformats.org/officeDocument/2006/relationships/hyperlink" Target="../work-plan.html#BE-A14" TargetMode="External"/><Relationship Id="rId181" Type="http://schemas.openxmlformats.org/officeDocument/2006/relationships/hyperlink" Target="../api-guide.html#API-091" TargetMode="External"/><Relationship Id="rId182" Type="http://schemas.openxmlformats.org/officeDocument/2006/relationships/hyperlink" Target="../work-plan.html#BE-B08" TargetMode="External"/><Relationship Id="rId183" Type="http://schemas.openxmlformats.org/officeDocument/2006/relationships/hyperlink" Target="../api-guide.html#API-092" TargetMode="External"/><Relationship Id="rId184" Type="http://schemas.openxmlformats.org/officeDocument/2006/relationships/hyperlink" Target="../work-plan.html#BE-B08" TargetMode="External"/><Relationship Id="rId185" Type="http://schemas.openxmlformats.org/officeDocument/2006/relationships/hyperlink" Target="../api-guide.html#API-093" TargetMode="External"/><Relationship Id="rId186" Type="http://schemas.openxmlformats.org/officeDocument/2006/relationships/hyperlink" Target="../work-plan.html#BE-B08" TargetMode="External"/><Relationship Id="rId187" Type="http://schemas.openxmlformats.org/officeDocument/2006/relationships/hyperlink" Target="../api-guide.html#API-094" TargetMode="External"/><Relationship Id="rId188" Type="http://schemas.openxmlformats.org/officeDocument/2006/relationships/hyperlink" Target="../work-plan.html#BE-B08" TargetMode="External"/><Relationship Id="rId189" Type="http://schemas.openxmlformats.org/officeDocument/2006/relationships/hyperlink" Target="../api-guide.html#API-095" TargetMode="External"/><Relationship Id="rId190" Type="http://schemas.openxmlformats.org/officeDocument/2006/relationships/hyperlink" Target="../work-plan.html#BE-B09" TargetMode="External"/><Relationship Id="rId191" Type="http://schemas.openxmlformats.org/officeDocument/2006/relationships/hyperlink" Target="../api-guide.html#API-096" TargetMode="External"/><Relationship Id="rId192" Type="http://schemas.openxmlformats.org/officeDocument/2006/relationships/hyperlink" Target="../work-plan.html#BE-B09" TargetMode="External"/><Relationship Id="rId193" Type="http://schemas.openxmlformats.org/officeDocument/2006/relationships/hyperlink" Target="../api-guide.html#API-097" TargetMode="External"/><Relationship Id="rId194" Type="http://schemas.openxmlformats.org/officeDocument/2006/relationships/hyperlink" Target="../work-plan.html#BE-B09" TargetMode="External"/><Relationship Id="rId195" Type="http://schemas.openxmlformats.org/officeDocument/2006/relationships/hyperlink" Target="../api-guide.html#API-098" TargetMode="External"/><Relationship Id="rId196" Type="http://schemas.openxmlformats.org/officeDocument/2006/relationships/hyperlink" Target="../work-plan.html#BE-B09" TargetMode="External"/><Relationship Id="rId197" Type="http://schemas.openxmlformats.org/officeDocument/2006/relationships/hyperlink" Target="../api-guide.html#API-099" TargetMode="External"/><Relationship Id="rId198" Type="http://schemas.openxmlformats.org/officeDocument/2006/relationships/hyperlink" Target="../work-plan.html#BE-B09" TargetMode="External"/><Relationship Id="rId199" Type="http://schemas.openxmlformats.org/officeDocument/2006/relationships/hyperlink" Target="../api-guide.html#API-100" TargetMode="External"/><Relationship Id="rId200" Type="http://schemas.openxmlformats.org/officeDocument/2006/relationships/hyperlink" Target="../work-plan.html#BE-B09" TargetMode="External"/><Relationship Id="rId201" Type="http://schemas.openxmlformats.org/officeDocument/2006/relationships/hyperlink" Target="../api-guide.html#API-101" TargetMode="External"/><Relationship Id="rId202" Type="http://schemas.openxmlformats.org/officeDocument/2006/relationships/hyperlink" Target="../work-plan.html#BE-C02" TargetMode="External"/><Relationship Id="rId203" Type="http://schemas.openxmlformats.org/officeDocument/2006/relationships/hyperlink" Target="../api-guide.html#API-102" TargetMode="External"/><Relationship Id="rId204" Type="http://schemas.openxmlformats.org/officeDocument/2006/relationships/hyperlink" Target="../work-plan.html#BE-C02" TargetMode="External"/><Relationship Id="rId205" Type="http://schemas.openxmlformats.org/officeDocument/2006/relationships/hyperlink" Target="../api-guide.html#API-103" TargetMode="External"/><Relationship Id="rId206" Type="http://schemas.openxmlformats.org/officeDocument/2006/relationships/hyperlink" Target="../work-plan.html#BE-C05" TargetMode="External"/><Relationship Id="rId207" Type="http://schemas.openxmlformats.org/officeDocument/2006/relationships/hyperlink" Target="../api-guide.html#API-104" TargetMode="External"/><Relationship Id="rId208" Type="http://schemas.openxmlformats.org/officeDocument/2006/relationships/hyperlink" Target="../work-plan.html#BE-C05" TargetMode="External"/><Relationship Id="rId209" Type="http://schemas.openxmlformats.org/officeDocument/2006/relationships/hyperlink" Target="../api-guide.html#API-105" TargetMode="External"/><Relationship Id="rId210" Type="http://schemas.openxmlformats.org/officeDocument/2006/relationships/hyperlink" Target="../work-plan.html#BE-C02" TargetMode="External"/><Relationship Id="rId211" Type="http://schemas.openxmlformats.org/officeDocument/2006/relationships/hyperlink" Target="../api-guide.html#API-106" TargetMode="External"/><Relationship Id="rId212" Type="http://schemas.openxmlformats.org/officeDocument/2006/relationships/hyperlink" Target="../work-plan.html#BE-C06" TargetMode="External"/><Relationship Id="rId213" Type="http://schemas.openxmlformats.org/officeDocument/2006/relationships/hyperlink" Target="../api-guide.html#API-107" TargetMode="External"/><Relationship Id="rId214" Type="http://schemas.openxmlformats.org/officeDocument/2006/relationships/hyperlink" Target="../work-plan.html#BE-C06" TargetMode="External"/><Relationship Id="rId215" Type="http://schemas.openxmlformats.org/officeDocument/2006/relationships/hyperlink" Target="../api-guide.html#API-108" TargetMode="External"/><Relationship Id="rId216" Type="http://schemas.openxmlformats.org/officeDocument/2006/relationships/hyperlink" Target="../work-plan.html#BE-C06" TargetMode="External"/><Relationship Id="rId217" Type="http://schemas.openxmlformats.org/officeDocument/2006/relationships/hyperlink" Target="../api-guide.html#API-109" TargetMode="External"/><Relationship Id="rId218" Type="http://schemas.openxmlformats.org/officeDocument/2006/relationships/hyperlink" Target="../work-plan.html#BE-C06" TargetMode="External"/><Relationship Id="rId219" Type="http://schemas.openxmlformats.org/officeDocument/2006/relationships/hyperlink" Target="../api-guide.html#API-110" TargetMode="External"/><Relationship Id="rId220" Type="http://schemas.openxmlformats.org/officeDocument/2006/relationships/hyperlink" Target="../work-plan.html#BE-C07" TargetMode="External"/><Relationship Id="rId221" Type="http://schemas.openxmlformats.org/officeDocument/2006/relationships/hyperlink" Target="../api-guide.html#API-111" TargetMode="External"/><Relationship Id="rId222" Type="http://schemas.openxmlformats.org/officeDocument/2006/relationships/hyperlink" Target="../work-plan.html#BE-C07" TargetMode="External"/><Relationship Id="rId223" Type="http://schemas.openxmlformats.org/officeDocument/2006/relationships/hyperlink" Target="../api-guide.html#API-112" TargetMode="External"/><Relationship Id="rId224" Type="http://schemas.openxmlformats.org/officeDocument/2006/relationships/hyperlink" Target="../work-plan.html#BE-C07" TargetMode="External"/><Relationship Id="rId225" Type="http://schemas.openxmlformats.org/officeDocument/2006/relationships/hyperlink" Target="../api-guide.html#API-113" TargetMode="External"/><Relationship Id="rId226" Type="http://schemas.openxmlformats.org/officeDocument/2006/relationships/hyperlink" Target="../work-plan.html#BE-C13" TargetMode="External"/><Relationship Id="rId227" Type="http://schemas.openxmlformats.org/officeDocument/2006/relationships/hyperlink" Target="../api-guide.html#API-114" TargetMode="External"/><Relationship Id="rId228" Type="http://schemas.openxmlformats.org/officeDocument/2006/relationships/hyperlink" Target="../work-plan.html#BE-C02" TargetMode="External"/><Relationship Id="rId229" Type="http://schemas.openxmlformats.org/officeDocument/2006/relationships/hyperlink" Target="../api-guide.html#API-115" TargetMode="External"/><Relationship Id="rId230" Type="http://schemas.openxmlformats.org/officeDocument/2006/relationships/hyperlink" Target="../work-plan.html#BE-C02" TargetMode="External"/><Relationship Id="rId231" Type="http://schemas.openxmlformats.org/officeDocument/2006/relationships/hyperlink" Target="../api-guide.html#API-116" TargetMode="External"/><Relationship Id="rId232" Type="http://schemas.openxmlformats.org/officeDocument/2006/relationships/hyperlink" Target="../work-plan.html#BE-C02" TargetMode="External"/><Relationship Id="rId233" Type="http://schemas.openxmlformats.org/officeDocument/2006/relationships/hyperlink" Target="../api-guide.html#API-117" TargetMode="External"/><Relationship Id="rId234" Type="http://schemas.openxmlformats.org/officeDocument/2006/relationships/hyperlink" Target="../work-plan.html#BE-C09" TargetMode="External"/><Relationship Id="rId235" Type="http://schemas.openxmlformats.org/officeDocument/2006/relationships/hyperlink" Target="../api-guide.html#API-118" TargetMode="External"/><Relationship Id="rId236" Type="http://schemas.openxmlformats.org/officeDocument/2006/relationships/hyperlink" Target="../work-plan.html#BE-C09" TargetMode="External"/><Relationship Id="rId237" Type="http://schemas.openxmlformats.org/officeDocument/2006/relationships/hyperlink" Target="../api-guide.html#API-119" TargetMode="External"/><Relationship Id="rId238" Type="http://schemas.openxmlformats.org/officeDocument/2006/relationships/hyperlink" Target="../work-plan.html#BE-C09" TargetMode="External"/><Relationship Id="rId239" Type="http://schemas.openxmlformats.org/officeDocument/2006/relationships/hyperlink" Target="../api-guide.html#API-120" TargetMode="External"/><Relationship Id="rId240" Type="http://schemas.openxmlformats.org/officeDocument/2006/relationships/hyperlink" Target="../work-plan.html#BE-C09" TargetMode="External"/><Relationship Id="rId241" Type="http://schemas.openxmlformats.org/officeDocument/2006/relationships/hyperlink" Target="../api-guide.html#API-121" TargetMode="External"/><Relationship Id="rId242" Type="http://schemas.openxmlformats.org/officeDocument/2006/relationships/hyperlink" Target="../work-plan.html#BE-C10" TargetMode="External"/><Relationship Id="rId243" Type="http://schemas.openxmlformats.org/officeDocument/2006/relationships/hyperlink" Target="../api-guide.html#API-122" TargetMode="External"/><Relationship Id="rId244" Type="http://schemas.openxmlformats.org/officeDocument/2006/relationships/hyperlink" Target="../work-plan.html#BE-C10" TargetMode="External"/><Relationship Id="rId245" Type="http://schemas.openxmlformats.org/officeDocument/2006/relationships/hyperlink" Target="../api-guide.html#API-123" TargetMode="External"/><Relationship Id="rId246" Type="http://schemas.openxmlformats.org/officeDocument/2006/relationships/hyperlink" Target="../work-plan.html#BE-C10" TargetMode="External"/><Relationship Id="rId247" Type="http://schemas.openxmlformats.org/officeDocument/2006/relationships/hyperlink" Target="../api-guide.html#API-124" TargetMode="External"/><Relationship Id="rId248" Type="http://schemas.openxmlformats.org/officeDocument/2006/relationships/hyperlink" Target="../work-plan.html#BE-C10" TargetMode="External"/><Relationship Id="rId249" Type="http://schemas.openxmlformats.org/officeDocument/2006/relationships/hyperlink" Target="../api-guide.html#API-125" TargetMode="External"/><Relationship Id="rId250" Type="http://schemas.openxmlformats.org/officeDocument/2006/relationships/hyperlink" Target="../work-plan.html#BE-C11" TargetMode="External"/><Relationship Id="rId251" Type="http://schemas.openxmlformats.org/officeDocument/2006/relationships/hyperlink" Target="../api-guide.html#API-126" TargetMode="External"/><Relationship Id="rId252" Type="http://schemas.openxmlformats.org/officeDocument/2006/relationships/hyperlink" Target="../work-plan.html#BE-C02" TargetMode="External"/><Relationship Id="rId253" Type="http://schemas.openxmlformats.org/officeDocument/2006/relationships/hyperlink" Target="../api-guide.html#API-127" TargetMode="External"/><Relationship Id="rId254" Type="http://schemas.openxmlformats.org/officeDocument/2006/relationships/hyperlink" Target="../work-plan.html#BE-C02" TargetMode="External"/><Relationship Id="rId255" Type="http://schemas.openxmlformats.org/officeDocument/2006/relationships/hyperlink" Target="../api-guide.html#API-128" TargetMode="External"/><Relationship Id="rId256" Type="http://schemas.openxmlformats.org/officeDocument/2006/relationships/hyperlink" Target="../work-plan.html#BE-C11" TargetMode="External"/><Relationship Id="rId257" Type="http://schemas.openxmlformats.org/officeDocument/2006/relationships/hyperlink" Target="../api-guide.html#API-129" TargetMode="External"/><Relationship Id="rId258" Type="http://schemas.openxmlformats.org/officeDocument/2006/relationships/hyperlink" Target="../work-plan.html#BE-C12" TargetMode="External"/><Relationship Id="rId259" Type="http://schemas.openxmlformats.org/officeDocument/2006/relationships/hyperlink" Target="../api-guide.html#API-130" TargetMode="External"/><Relationship Id="rId260" Type="http://schemas.openxmlformats.org/officeDocument/2006/relationships/hyperlink" Target="../work-plan.html#BE-C12" TargetMode="External"/><Relationship Id="rId261" Type="http://schemas.openxmlformats.org/officeDocument/2006/relationships/hyperlink" Target="../api-guide.html#API-131" TargetMode="External"/><Relationship Id="rId262" Type="http://schemas.openxmlformats.org/officeDocument/2006/relationships/hyperlink" Target="../work-plan.html#BE-C12" TargetMode="External"/><Relationship Id="rId263" Type="http://schemas.openxmlformats.org/officeDocument/2006/relationships/hyperlink" Target="../api-guide.html#API-132" TargetMode="External"/><Relationship Id="rId264" Type="http://schemas.openxmlformats.org/officeDocument/2006/relationships/hyperlink" Target="../work-plan.html#BE-C12" TargetMode="External"/><Relationship Id="rId265" Type="http://schemas.openxmlformats.org/officeDocument/2006/relationships/hyperlink" Target="../api-guide.html#API-133" TargetMode="External"/><Relationship Id="rId266" Type="http://schemas.openxmlformats.org/officeDocument/2006/relationships/hyperlink" Target="../work-plan.html#BE-C12" TargetMode="External"/><Relationship Id="rId267" Type="http://schemas.openxmlformats.org/officeDocument/2006/relationships/hyperlink" Target="../api-guide.html#API-134" TargetMode="External"/><Relationship Id="rId268" Type="http://schemas.openxmlformats.org/officeDocument/2006/relationships/hyperlink" Target="../work-plan.html#BE-C12" TargetMode="External"/><Relationship Id="rId269" Type="http://schemas.openxmlformats.org/officeDocument/2006/relationships/hyperlink" Target="../api-guide.html#API-135" TargetMode="External"/><Relationship Id="rId270" Type="http://schemas.openxmlformats.org/officeDocument/2006/relationships/hyperlink" Target="../work-plan.html#BE-C12" TargetMode="External"/><Relationship Id="rId271" Type="http://schemas.openxmlformats.org/officeDocument/2006/relationships/hyperlink" Target="../api-guide.html#API-136" TargetMode="External"/><Relationship Id="rId272" Type="http://schemas.openxmlformats.org/officeDocument/2006/relationships/hyperlink" Target="../work-plan.html#BE-C12" TargetMode="External"/><Relationship Id="rId273" Type="http://schemas.openxmlformats.org/officeDocument/2006/relationships/hyperlink" Target="../api-guide.html#API-137" TargetMode="External"/><Relationship Id="rId274" Type="http://schemas.openxmlformats.org/officeDocument/2006/relationships/hyperlink" Target="../work-plan.html#BE-B03" TargetMode="External"/><Relationship Id="rId275" Type="http://schemas.openxmlformats.org/officeDocument/2006/relationships/hyperlink" Target="../api-guide.html#API-138" TargetMode="External"/><Relationship Id="rId276" Type="http://schemas.openxmlformats.org/officeDocument/2006/relationships/hyperlink" Target="../work-plan.html#BE-B03" TargetMode="External"/><Relationship Id="rId277" Type="http://schemas.openxmlformats.org/officeDocument/2006/relationships/hyperlink" Target="../api-guide.html#API-139" TargetMode="External"/><Relationship Id="rId278" Type="http://schemas.openxmlformats.org/officeDocument/2006/relationships/hyperlink" Target="../work-plan.html#BE-B03" TargetMode="External"/><Relationship Id="rId279" Type="http://schemas.openxmlformats.org/officeDocument/2006/relationships/hyperlink" Target="../api-guide.html#API-140" TargetMode="External"/><Relationship Id="rId280" Type="http://schemas.openxmlformats.org/officeDocument/2006/relationships/hyperlink" Target="../work-plan.html#BE-B03" TargetMode="External"/><Relationship Id="rId281" Type="http://schemas.openxmlformats.org/officeDocument/2006/relationships/hyperlink" Target="../api-guide.html#API-141" TargetMode="External"/><Relationship Id="rId282" Type="http://schemas.openxmlformats.org/officeDocument/2006/relationships/hyperlink" Target="../work-plan.html#BE-B03" TargetMode="External"/><Relationship Id="rId283" Type="http://schemas.openxmlformats.org/officeDocument/2006/relationships/hyperlink" Target="../api-guide.html#API-142" TargetMode="External"/><Relationship Id="rId284" Type="http://schemas.openxmlformats.org/officeDocument/2006/relationships/hyperlink" Target="../work-plan.html#BE-B03" TargetMode="External"/><Relationship Id="rId285" Type="http://schemas.openxmlformats.org/officeDocument/2006/relationships/hyperlink" Target="../api-guide.html#API-143" TargetMode="External"/><Relationship Id="rId286" Type="http://schemas.openxmlformats.org/officeDocument/2006/relationships/hyperlink" Target="../work-plan.html#BE-B03" TargetMode="External"/><Relationship Id="rId287" Type="http://schemas.openxmlformats.org/officeDocument/2006/relationships/hyperlink" Target="../api-guide.html#API-144" TargetMode="External"/><Relationship Id="rId288" Type="http://schemas.openxmlformats.org/officeDocument/2006/relationships/hyperlink" Target="../work-plan.html#BE-B03" TargetMode="External"/><Relationship Id="rId289" Type="http://schemas.openxmlformats.org/officeDocument/2006/relationships/hyperlink" Target="../api-guide.html#API-145" TargetMode="External"/><Relationship Id="rId290" Type="http://schemas.openxmlformats.org/officeDocument/2006/relationships/hyperlink" Target="../work-plan.html#BE-A10" TargetMode="External"/><Relationship Id="rId291" Type="http://schemas.openxmlformats.org/officeDocument/2006/relationships/hyperlink" Target="../api-guide.html#API-146" TargetMode="External"/><Relationship Id="rId292" Type="http://schemas.openxmlformats.org/officeDocument/2006/relationships/hyperlink" Target="../work-plan.html#BE-A10" TargetMode="External"/><Relationship Id="rId293" Type="http://schemas.openxmlformats.org/officeDocument/2006/relationships/hyperlink" Target="../api-guide.html#API-147" TargetMode="External"/><Relationship Id="rId294" Type="http://schemas.openxmlformats.org/officeDocument/2006/relationships/hyperlink" Target="../work-plan.html#BE-A10" TargetMode="External"/><Relationship Id="rId295" Type="http://schemas.openxmlformats.org/officeDocument/2006/relationships/hyperlink" Target="../api-guide.html#API-148" TargetMode="External"/><Relationship Id="rId296" Type="http://schemas.openxmlformats.org/officeDocument/2006/relationships/hyperlink" Target="../work-plan.html#BE-A10" TargetMode="External"/><Relationship Id="rId297" Type="http://schemas.openxmlformats.org/officeDocument/2006/relationships/hyperlink" Target="../api-guide.html#API-149" TargetMode="External"/><Relationship Id="rId298" Type="http://schemas.openxmlformats.org/officeDocument/2006/relationships/hyperlink" Target="../work-plan.html#BE-A13" TargetMode="External"/><Relationship Id="rId299" Type="http://schemas.openxmlformats.org/officeDocument/2006/relationships/hyperlink" Target="../api-guide.html#API-150" TargetMode="External"/><Relationship Id="rId300" Type="http://schemas.openxmlformats.org/officeDocument/2006/relationships/hyperlink" Target="../work-plan.html#BE-A13" TargetMode="External"/><Relationship Id="rId301" Type="http://schemas.openxmlformats.org/officeDocument/2006/relationships/hyperlink" Target="../api-guide.html#API-151" TargetMode="External"/><Relationship Id="rId302" Type="http://schemas.openxmlformats.org/officeDocument/2006/relationships/hyperlink" Target="../work-plan.html#BE-A13" TargetMode="External"/><Relationship Id="rId303" Type="http://schemas.openxmlformats.org/officeDocument/2006/relationships/hyperlink" Target="../api-guide.html#API-152" TargetMode="External"/><Relationship Id="rId304" Type="http://schemas.openxmlformats.org/officeDocument/2006/relationships/hyperlink" Target="../work-plan.html#BE-A13" TargetMode="External"/><Relationship Id="rId305" Type="http://schemas.openxmlformats.org/officeDocument/2006/relationships/hyperlink" Target="../api-guide.html#API-153" TargetMode="External"/><Relationship Id="rId306" Type="http://schemas.openxmlformats.org/officeDocument/2006/relationships/hyperlink" Target="../work-plan.html#BE-B16" TargetMode="External"/><Relationship Id="rId307" Type="http://schemas.openxmlformats.org/officeDocument/2006/relationships/hyperlink" Target="../api-guide.html#API-154" TargetMode="External"/><Relationship Id="rId308" Type="http://schemas.openxmlformats.org/officeDocument/2006/relationships/hyperlink" Target="../work-plan.html#BE-B16" TargetMode="External"/><Relationship Id="rId309" Type="http://schemas.openxmlformats.org/officeDocument/2006/relationships/hyperlink" Target="../api-guide.html#API-155" TargetMode="External"/><Relationship Id="rId310" Type="http://schemas.openxmlformats.org/officeDocument/2006/relationships/hyperlink" Target="../work-plan.html#BE-B16" TargetMode="External"/><Relationship Id="rId311" Type="http://schemas.openxmlformats.org/officeDocument/2006/relationships/hyperlink" Target="../api-guide.html#API-156" TargetMode="External"/><Relationship Id="rId312" Type="http://schemas.openxmlformats.org/officeDocument/2006/relationships/hyperlink" Target="../work-plan.html#BE-B14" TargetMode="External"/><Relationship Id="rId313" Type="http://schemas.openxmlformats.org/officeDocument/2006/relationships/hyperlink" Target="../api-guide.html#API-157" TargetMode="External"/><Relationship Id="rId314" Type="http://schemas.openxmlformats.org/officeDocument/2006/relationships/hyperlink" Target="../work-plan.html#BE-B14" TargetMode="External"/><Relationship Id="rId315" Type="http://schemas.openxmlformats.org/officeDocument/2006/relationships/hyperlink" Target="../api-guide.html#API-158" TargetMode="External"/><Relationship Id="rId316" Type="http://schemas.openxmlformats.org/officeDocument/2006/relationships/hyperlink" Target="../work-plan.html#BE-B14" TargetMode="External"/><Relationship Id="rId317" Type="http://schemas.openxmlformats.org/officeDocument/2006/relationships/hyperlink" Target="../api-guide.html#API-159" TargetMode="External"/><Relationship Id="rId318" Type="http://schemas.openxmlformats.org/officeDocument/2006/relationships/hyperlink" Target="../work-plan.html#BE-B14" TargetMode="External"/><Relationship Id="rId319" Type="http://schemas.openxmlformats.org/officeDocument/2006/relationships/hyperlink" Target="../api-guide.html#API-160" TargetMode="External"/><Relationship Id="rId320" Type="http://schemas.openxmlformats.org/officeDocument/2006/relationships/hyperlink" Target="../work-plan.html#BE-B14" TargetMode="External"/><Relationship Id="rId321" Type="http://schemas.openxmlformats.org/officeDocument/2006/relationships/hyperlink" Target="../api-guide.html#API-161" TargetMode="External"/><Relationship Id="rId322" Type="http://schemas.openxmlformats.org/officeDocument/2006/relationships/hyperlink" Target="../work-plan.html#BE-A12" TargetMode="External"/><Relationship Id="rId323" Type="http://schemas.openxmlformats.org/officeDocument/2006/relationships/hyperlink" Target="../api-guide.html#API-162" TargetMode="External"/><Relationship Id="rId324" Type="http://schemas.openxmlformats.org/officeDocument/2006/relationships/hyperlink" Target="../work-plan.html#BE-A12" TargetMode="External"/><Relationship Id="rId325" Type="http://schemas.openxmlformats.org/officeDocument/2006/relationships/hyperlink" Target="../api-guide.html#API-163" TargetMode="External"/><Relationship Id="rId326" Type="http://schemas.openxmlformats.org/officeDocument/2006/relationships/hyperlink" Target="../work-plan.html#BE-A12" TargetMode="External"/><Relationship Id="rId327" Type="http://schemas.openxmlformats.org/officeDocument/2006/relationships/hyperlink" Target="../api-guide.html#API-164" TargetMode="External"/><Relationship Id="rId328" Type="http://schemas.openxmlformats.org/officeDocument/2006/relationships/hyperlink" Target="../work-plan.html#BE-A12" TargetMode="External"/><Relationship Id="rId329" Type="http://schemas.openxmlformats.org/officeDocument/2006/relationships/hyperlink" Target="../api-guide.html#API-165" TargetMode="External"/><Relationship Id="rId330" Type="http://schemas.openxmlformats.org/officeDocument/2006/relationships/hyperlink" Target="../work-plan.html#BE-C03" TargetMode="External"/><Relationship Id="rId331" Type="http://schemas.openxmlformats.org/officeDocument/2006/relationships/hyperlink" Target="../api-guide.html#API-166" TargetMode="External"/><Relationship Id="rId332" Type="http://schemas.openxmlformats.org/officeDocument/2006/relationships/hyperlink" Target="../work-plan.html#BE-C03" TargetMode="External"/><Relationship Id="rId333" Type="http://schemas.openxmlformats.org/officeDocument/2006/relationships/hyperlink" Target="../api-guide.html#API-167" TargetMode="External"/><Relationship Id="rId334" Type="http://schemas.openxmlformats.org/officeDocument/2006/relationships/hyperlink" Target="../work-plan.html#BE-C03" TargetMode="External"/><Relationship Id="rId335" Type="http://schemas.openxmlformats.org/officeDocument/2006/relationships/hyperlink" Target="../api-guide.html#API-168" TargetMode="External"/><Relationship Id="rId336" Type="http://schemas.openxmlformats.org/officeDocument/2006/relationships/hyperlink" Target="../work-plan.html#BE-A12" TargetMode="External"/><Relationship Id="rId337" Type="http://schemas.openxmlformats.org/officeDocument/2006/relationships/hyperlink" Target="../api-guide.html#API-169" TargetMode="External"/><Relationship Id="rId338" Type="http://schemas.openxmlformats.org/officeDocument/2006/relationships/hyperlink" Target="../work-plan.html#BE-A12" TargetMode="External"/><Relationship Id="rId339" Type="http://schemas.openxmlformats.org/officeDocument/2006/relationships/hyperlink" Target="../api-guide.html#API-170" TargetMode="External"/><Relationship Id="rId340" Type="http://schemas.openxmlformats.org/officeDocument/2006/relationships/hyperlink" Target="../work-plan.html#BE-A05" TargetMode="External"/><Relationship Id="rId341" Type="http://schemas.openxmlformats.org/officeDocument/2006/relationships/hyperlink" Target="../api-guide.html#API-171" TargetMode="External"/><Relationship Id="rId342" Type="http://schemas.openxmlformats.org/officeDocument/2006/relationships/hyperlink" Target="../work-plan.html#BE-A05" TargetMode="External"/><Relationship Id="rId343" Type="http://schemas.openxmlformats.org/officeDocument/2006/relationships/hyperlink" Target="../api-guide.html#API-172" TargetMode="External"/><Relationship Id="rId344" Type="http://schemas.openxmlformats.org/officeDocument/2006/relationships/hyperlink" Target="../work-plan.html#BE-A05" TargetMode="External"/><Relationship Id="rId345" Type="http://schemas.openxmlformats.org/officeDocument/2006/relationships/hyperlink" Target="../api-guide.html#API-173" TargetMode="External"/><Relationship Id="rId346" Type="http://schemas.openxmlformats.org/officeDocument/2006/relationships/hyperlink" Target="../work-plan.html#BE-A05" TargetMode="External"/><Relationship Id="rId347" Type="http://schemas.openxmlformats.org/officeDocument/2006/relationships/hyperlink" Target="../api-guide.html#API-174" TargetMode="External"/><Relationship Id="rId348" Type="http://schemas.openxmlformats.org/officeDocument/2006/relationships/hyperlink" Target="../work-plan.html#BE-A05" TargetMode="External"/><Relationship Id="rId349" Type="http://schemas.openxmlformats.org/officeDocument/2006/relationships/hyperlink" Target="../api-guide.html#API-175" TargetMode="External"/><Relationship Id="rId350" Type="http://schemas.openxmlformats.org/officeDocument/2006/relationships/hyperlink" Target="../work-plan.html#BE-B17" TargetMode="External"/><Relationship Id="rId351" Type="http://schemas.openxmlformats.org/officeDocument/2006/relationships/hyperlink" Target="../api-guide.html#API-176" TargetMode="External"/><Relationship Id="rId352" Type="http://schemas.openxmlformats.org/officeDocument/2006/relationships/hyperlink" Target="../work-plan.html#BE-A15" TargetMode="External"/></Relationships>
</file>

<file path=xl/worksheets/sheet1.xml><?xml version="1.0" encoding="utf-8"?>
<worksheet xmlns="http://schemas.openxmlformats.org/spreadsheetml/2006/main" xmlns:r="http://schemas.openxmlformats.org/officeDocument/2006/relationships">
  <dimension ref="A1:B14"/>
  <sheetViews>
    <sheetView workbookViewId="0">
      <pane xSplit="0" ySplit="1" topLeftCell="A2" activePane="bottomRight" state="frozen"/>
    </sheetView>
  </sheetViews>
  <sheetFormatPr defaultRowHeight="20"/>
  <cols>
    <col min="1" max="1" width="35" customWidth="1"/>
    <col min="2" max="2" width="150" customWidth="1"/>
  </cols>
  <sheetData>
    <row r="1" ht="38" customHeight="1">
      <c r="A1" s="1" t="inlineStr">
        <is>
          <t xml:space="preserve">Mục</t>
        </is>
      </c>
      <c r="B1" s="1" t="inlineStr">
        <is>
          <t xml:space="preserve">Cách sử dụng</t>
        </is>
      </c>
    </row>
    <row r="2" ht="72" customHeight="1">
      <c r="A2" s="2" t="inlineStr">
        <is>
          <t xml:space="preserve">Mục tiêu</t>
        </is>
      </c>
      <c r="B2" s="2" t="inlineStr">
        <is>
          <t xml:space="preserve">Phân công 3 người A/B/C theo module và mốc phụ thuộc, bao phủ 176 API. FE và AI để trống. Đây là kế hoạch, chưa có task backend nào được thực hiện.</t>
        </is>
      </c>
    </row>
    <row r="3" ht="72" customHeight="1">
      <c r="A3" s="0" t="inlineStr">
        <is>
          <t xml:space="preserve">Tạo bản làm việc</t>
        </is>
      </c>
      <c r="B3" s="0" t="inlineStr">
        <is>
          <t xml:space="preserve">Save As một bản sao trước khi cập nhật. npm run plan:build sẽ thay bản master sinh từ mã nguồn; không ghi tiến độ thực vào master rồi chạy build.</t>
        </is>
      </c>
    </row>
    <row r="4" ht="72" customHeight="1">
      <c r="A4" s="2" t="inlineStr">
        <is>
          <t xml:space="preserve">Cách cập nhật</t>
        </is>
      </c>
      <c r="B4" s="2" t="inlineStr">
        <is>
          <t xml:space="preserve">BE_Tasks là nguồn trạng thái chính trong workbook: P chọn trạng thái, Q:W đánh dấu 7 bước, AA:AC nhập ngày, AD:AF lưu PR/bằng chứng/lý do. Tăng chiều cao hàng khi cần đọc đủ nội dung dài.</t>
        </is>
      </c>
    </row>
    <row r="5" ht="72" customHeight="1">
      <c r="A5" s="0" t="inlineStr">
        <is>
          <t xml:space="preserve">Hoàn thành</t>
        </is>
      </c>
      <c r="B5" s="0" t="inlineStr">
        <is>
          <t xml:space="preserve">Chọn Hoàn thành sau khi 7 bước Xong, các task phụ thuộc đã Hoàn thành và có bằng chứng tại AE. Cột Z cảnh báo khai báo chưa đủ. Công thức kiểm tra không thay thế review/test thật.</t>
        </is>
      </c>
    </row>
    <row r="6" ht="72" customHeight="1">
      <c r="A6" s="2" t="inlineStr">
        <is>
          <t xml:space="preserve">Mốc và SP</t>
        </is>
      </c>
      <c r="B6" s="2" t="inlineStr">
        <is>
          <t xml:space="preserve">8 mốc là thứ tự tích hợp, không phải các tuần cố định. SP là độ lớn tương đối, không phải ngày công; xem lại sau G1. Chưa gán deadline vì chưa có năng lực/lịch làm việc.</t>
        </is>
      </c>
    </row>
    <row r="7" ht="72" customHeight="1">
      <c r="A7" s="0" t="inlineStr">
        <is>
          <t xml:space="preserve">Làm song song</t>
        </is>
      </c>
      <c r="B7" s="0" t="inlineStr">
        <is>
          <t xml:space="preserve">Sau G0 có thể code với fixture/mock cùng contract v1. Chờ tích hợp dùng khi module đã viết nhưng provider thật chưa sẵn sàng. Chỉ nghiệm thu đầy đủ khi phụ thuộc và test liên module đạt.</t>
        </is>
      </c>
    </row>
    <row r="8" ht="72" customHeight="1">
      <c r="A8" s="2" t="inlineStr">
        <is>
          <t xml:space="preserve">Tên người thực tế</t>
        </is>
      </c>
      <c r="B8" s="2" t="inlineStr">
        <is>
          <t xml:space="preserve">Điền tên thành viên tương ứng A/B/C tại Tong_quan, cột Tên thực tế; giữ ký hiệu owner để liên kết task/API ổn định. Không đổi owner của một task lẻ rồi cùng sửa một module.</t>
        </is>
      </c>
    </row>
    <row r="9" ht="72" customHeight="1">
      <c r="A9" s="0" t="inlineStr">
        <is>
          <t xml:space="preserve">API coverage</t>
        </is>
      </c>
      <c r="B9" s="0" t="inlineStr">
        <is>
          <t xml:space="preserve">API_176 tra trạng thái tự động từ BE_Tasks bằng INDEX/MATCH; mỗi endpoint có đúng một task/owner. Không nhập trạng thái độc lập tại API_176.</t>
        </is>
      </c>
    </row>
    <row r="10" ht="72" customHeight="1">
      <c r="A10" s="2" t="inlineStr">
        <is>
          <t xml:space="preserve">Tiến độ tổng</t>
        </is>
      </c>
      <c r="B10" s="2" t="inlineStr">
        <is>
          <t xml:space="preserve">Tong_quan dùng COUNTIF và SUMPRODUCT(SP × tiến độ)/SUM(SP). Tỷ lệ task hoàn thành theo trạng thái là chỉ số khác; review cả cột cảnh báo. Excel tính lại công thức khi mở.</t>
        </is>
      </c>
    </row>
    <row r="11" ht="72" customHeight="1">
      <c r="A11" s="0" t="inlineStr">
        <is>
          <t xml:space="preserve">File dùng chung</t>
        </is>
      </c>
      <c r="B11" s="0" t="inlineStr">
        <is>
          <t xml:space="preserve">A là người tích hợp bootstrap/dependency/CI/output SQL. B/C chỉ sửa source SQL đã phân, mỗi người có fixtures/tests riêng. Tất cả đường dẫn backend/** là đề xuất, không phải backend đã có.</t>
        </is>
      </c>
    </row>
    <row r="12" ht="72" customHeight="1">
      <c r="A12" s="2" t="inlineStr">
        <is>
          <t xml:space="preserve">Đồng bộ trang</t>
        </is>
      </c>
      <c r="B12" s="2" t="inlineStr">
        <is>
          <t xml:space="preserve">Tiến độ trên trang chỉ lưu trong trình duyệt này; Excel không tự đồng bộ với trang hoặc máy khác. Team nên dùng một bản workbook chung hoặc công cụ task làm nguồn thật.</t>
        </is>
      </c>
    </row>
    <row r="13" ht="72" customHeight="1">
      <c r="A13" s="0" t="inlineStr">
        <is>
          <t xml:space="preserve">FE / AI</t>
        </is>
      </c>
      <c r="B13" s="0" t="inlineStr">
        <is>
          <t xml:space="preserve">Hai sheet cuối hoàn toàn trống, dành cho lập kế hoạch sau. Không tự phát sinh task FE/AI.</t>
        </is>
      </c>
    </row>
    <row r="14" ht="72" customHeight="1">
      <c r="A14" s="2" t="inlineStr">
        <is>
          <t xml:space="preserve">Nguồn</t>
        </is>
      </c>
      <c r="B14" s="2" t="inlineStr">
        <is>
          <t xml:space="preserve">docs/api-catalog.json + scripts/work-plan-blueprint.cjs → docs/work-plan.json, work-plan-data.js và file Excel này. Kiểm tra: npm run plan:check; npm run test:work-plan.</t>
        </is>
      </c>
    </row>
  </sheetData>
  <pageMargins left="0.25" right="0.25" top="0.5" bottom="0.5" header="0.2" footer="0.2"/>
  <pageSetup orientation="landscape" paperSize="9"/>
</worksheet>
</file>

<file path=xl/worksheets/sheet2.xml><?xml version="1.0" encoding="utf-8"?>
<worksheet xmlns="http://schemas.openxmlformats.org/spreadsheetml/2006/main" xmlns:r="http://schemas.openxmlformats.org/officeDocument/2006/relationships">
  <dimension ref="A1:D22"/>
  <sheetViews>
    <sheetView workbookViewId="0">
      <pane xSplit="0" ySplit="1" topLeftCell="A2" activePane="bottomRight" state="frozen"/>
    </sheetView>
  </sheetViews>
  <sheetFormatPr defaultRowHeight="20"/>
  <cols>
    <col min="1" max="1" width="55" customWidth="1"/>
    <col min="2" max="2" width="28" customWidth="1"/>
    <col min="3" max="3" width="65" customWidth="1"/>
    <col min="4" max="4" width="35" customWidth="1"/>
  </cols>
  <sheetData>
    <row r="1" ht="38" customHeight="1">
      <c r="A1" s="1" t="inlineStr">
        <is>
          <t xml:space="preserve">Chỉ số</t>
        </is>
      </c>
      <c r="B1" s="1" t="inlineStr">
        <is>
          <t xml:space="preserve">Giá trị</t>
        </is>
      </c>
      <c r="C1" s="1" t="inlineStr">
        <is>
          <t xml:space="preserve">Diễn giải / số task</t>
        </is>
      </c>
      <c r="D1" s="1" t="inlineStr">
        <is>
          <t xml:space="preserve">Tên thực tế / đã xong</t>
        </is>
      </c>
    </row>
    <row r="2" ht="72" customHeight="1">
      <c r="A2" s="2" t="inlineStr">
        <is>
          <t xml:space="preserve">Ngày kế hoạch</t>
        </is>
      </c>
      <c r="B2" s="2" t="inlineStr">
        <is>
          <t xml:space="preserve">2026-10-29</t>
        </is>
      </c>
      <c r="C2" s="2" t="inlineStr">
        <is>
          <t xml:space="preserve"/>
        </is>
      </c>
      <c r="D2" s="2" t="inlineStr">
        <is>
          <t xml:space="preserve"/>
        </is>
      </c>
    </row>
    <row r="3" ht="72" customHeight="1">
      <c r="A3" s="0" t="inlineStr">
        <is>
          <t xml:space="preserve">Tổng task</t>
        </is>
      </c>
      <c r="B3" s="0">
        <v>52</v>
      </c>
      <c r="C3" s="0" t="inlineStr">
        <is>
          <t xml:space="preserve"/>
        </is>
      </c>
      <c r="D3" s="0" t="inlineStr">
        <is>
          <t xml:space="preserve"/>
        </is>
      </c>
    </row>
    <row r="4" ht="72" customHeight="1">
      <c r="A4" s="2" t="inlineStr">
        <is>
          <t xml:space="preserve">Tổng API</t>
        </is>
      </c>
      <c r="B4" s="2">
        <v>176</v>
      </c>
      <c r="C4" s="2" t="inlineStr">
        <is>
          <t xml:space="preserve"/>
        </is>
      </c>
      <c r="D4" s="2" t="inlineStr">
        <is>
          <t xml:space="preserve"/>
        </is>
      </c>
    </row>
    <row r="5" ht="72" customHeight="1">
      <c r="A5" s="0" t="inlineStr">
        <is>
          <t xml:space="preserve">Mốc tích hợp</t>
        </is>
      </c>
      <c r="B5" s="0">
        <v>8</v>
      </c>
      <c r="C5" s="0" t="inlineStr">
        <is>
          <t xml:space="preserve"/>
        </is>
      </c>
      <c r="D5" s="0" t="inlineStr">
        <is>
          <t xml:space="preserve"/>
        </is>
      </c>
    </row>
    <row r="6" ht="72" customHeight="1">
      <c r="A6" s="2" t="inlineStr">
        <is>
          <t xml:space="preserve">SP dự kiến</t>
        </is>
      </c>
      <c r="B6" s="2">
        <v>263</v>
      </c>
      <c r="C6" s="2" t="inlineStr">
        <is>
          <t xml:space="preserve">Độ lớn tương đối, không phải ngày công</t>
        </is>
      </c>
      <c r="D6" s="2" t="inlineStr">
        <is>
          <t xml:space="preserve"/>
        </is>
      </c>
    </row>
    <row r="7" ht="72" customHeight="1">
      <c r="A7" s="0" t="inlineStr">
        <is>
          <t xml:space="preserve">Hoàn thành</t>
        </is>
      </c>
      <c r="B7" s="0">
        <f>COUNTIF(BE_Tasks!$P$2:$P$53,"Hoàn thành")</f>
        <v>0</v>
      </c>
      <c r="C7" s="0" t="inlineStr">
        <is>
          <t xml:space="preserve"/>
        </is>
      </c>
      <c r="D7" s="0" t="inlineStr">
        <is>
          <t xml:space="preserve"/>
        </is>
      </c>
    </row>
    <row r="8" ht="72" customHeight="1">
      <c r="A8" s="2" t="inlineStr">
        <is>
          <t xml:space="preserve">Đang làm</t>
        </is>
      </c>
      <c r="B8" s="2">
        <f>COUNTIF(BE_Tasks!$P$2:$P$53,"Đang làm")</f>
        <v>0</v>
      </c>
      <c r="C8" s="2" t="inlineStr">
        <is>
          <t xml:space="preserve"/>
        </is>
      </c>
      <c r="D8" s="2" t="inlineStr">
        <is>
          <t xml:space="preserve"/>
        </is>
      </c>
    </row>
    <row r="9" ht="72" customHeight="1">
      <c r="A9" s="0" t="inlineStr">
        <is>
          <t xml:space="preserve">Chờ tích hợp</t>
        </is>
      </c>
      <c r="B9" s="0">
        <f>COUNTIF(BE_Tasks!$P$2:$P$53,"Chờ tích hợp")</f>
        <v>0</v>
      </c>
      <c r="C9" s="0" t="inlineStr">
        <is>
          <t xml:space="preserve"/>
        </is>
      </c>
      <c r="D9" s="0" t="inlineStr">
        <is>
          <t xml:space="preserve"/>
        </is>
      </c>
    </row>
    <row r="10" ht="72" customHeight="1">
      <c r="A10" s="2" t="inlineStr">
        <is>
          <t xml:space="preserve">Chờ review</t>
        </is>
      </c>
      <c r="B10" s="2">
        <f>COUNTIF(BE_Tasks!$P$2:$P$53,"Chờ review")</f>
        <v>0</v>
      </c>
      <c r="C10" s="2" t="inlineStr">
        <is>
          <t xml:space="preserve"/>
        </is>
      </c>
      <c r="D10" s="2" t="inlineStr">
        <is>
          <t xml:space="preserve"/>
        </is>
      </c>
    </row>
    <row r="11" ht="72" customHeight="1">
      <c r="A11" s="0" t="inlineStr">
        <is>
          <t xml:space="preserve">Bị chặn</t>
        </is>
      </c>
      <c r="B11" s="0">
        <f>COUNTIF(BE_Tasks!$P$2:$P$53,"Bị chặn")</f>
        <v>0</v>
      </c>
      <c r="C11" s="0" t="inlineStr">
        <is>
          <t xml:space="preserve"/>
        </is>
      </c>
      <c r="D11" s="0" t="inlineStr">
        <is>
          <t xml:space="preserve"/>
        </is>
      </c>
    </row>
    <row r="12" ht="72" customHeight="1">
      <c r="A12" s="2" t="inlineStr">
        <is>
          <t xml:space="preserve">Chưa làm</t>
        </is>
      </c>
      <c r="B12" s="2">
        <f>COUNTIF(BE_Tasks!$P$2:$P$53,"Chưa làm")</f>
        <v>52</v>
      </c>
      <c r="C12" s="2" t="inlineStr">
        <is>
          <t xml:space="preserve"/>
        </is>
      </c>
      <c r="D12" s="2" t="inlineStr">
        <is>
          <t xml:space="preserve"/>
        </is>
      </c>
    </row>
    <row r="13" ht="72" customHeight="1">
      <c r="A13" s="0" t="inlineStr">
        <is>
          <t xml:space="preserve">Tiến độ theo SP</t>
        </is>
      </c>
      <c r="B13" s="3">
        <f>SUMPRODUCT(BE_Tasks!G2:G53,BE_Tasks!X2:X53)/SUM(BE_Tasks!G2:G53)</f>
        <v>0</v>
      </c>
      <c r="C13" s="0" t="inlineStr">
        <is>
          <t xml:space="preserve">7 bước, có trọng số độ lớn</t>
        </is>
      </c>
      <c r="D13" s="0" t="inlineStr">
        <is>
          <t xml:space="preserve"/>
        </is>
      </c>
    </row>
    <row r="14" ht="72" customHeight="1">
      <c r="A14" s="2" t="inlineStr">
        <is>
          <t xml:space="preserve">Hoàn thành nhưng thiếu bằng chứng</t>
        </is>
      </c>
      <c r="B14" s="2">
        <f>COUNTIF(BE_Tasks!Z2:Z53,"Thiếu*")</f>
        <v>0</v>
      </c>
      <c r="C14" s="2" t="inlineStr">
        <is>
          <t xml:space="preserve">Cần review lại trước nghiệm thu</t>
        </is>
      </c>
      <c r="D14" s="2" t="inlineStr">
        <is>
          <t xml:space="preserve"/>
        </is>
      </c>
    </row>
    <row r="15" ht="72" customHeight="1">
      <c r="A15" s="0" t="inlineStr">
        <is>
          <t xml:space="preserve">Người / vai trò</t>
        </is>
      </c>
      <c r="B15" s="0" t="inlineStr">
        <is>
          <t xml:space="preserve">SP</t>
        </is>
      </c>
      <c r="C15" s="0" t="inlineStr">
        <is>
          <t xml:space="preserve">Số task</t>
        </is>
      </c>
      <c r="D15" s="0" t="inlineStr">
        <is>
          <t xml:space="preserve">Tên thực tế</t>
        </is>
      </c>
    </row>
    <row r="16" ht="72" customHeight="1">
      <c r="A16" s="2" t="inlineStr">
        <is>
          <t xml:space="preserve">A — Nền tảng, tài khoản, tương tác &amp; hóa đơn</t>
        </is>
      </c>
      <c r="B16" s="2">
        <v>86</v>
      </c>
      <c r="C16" s="2">
        <v>17</v>
      </c>
      <c r="D16" s="2" t="inlineStr">
        <is>
          <t xml:space="preserve"/>
        </is>
      </c>
    </row>
    <row r="17" ht="72" customHeight="1">
      <c r="A17" s="0" t="inlineStr">
        <is>
          <t xml:space="preserve">B — Nhà/phòng, tin đăng, lịch xem &amp; ở ghép</t>
        </is>
      </c>
      <c r="B17" s="0">
        <v>91</v>
      </c>
      <c r="C17" s="0">
        <v>19</v>
      </c>
      <c r="D17" s="0" t="inlineStr">
        <is>
          <t xml:space="preserve"/>
        </is>
      </c>
    </row>
    <row r="18" ht="72" customHeight="1">
      <c r="A18" s="2" t="inlineStr">
        <is>
          <t xml:space="preserve">C — Hợp đồng, cư trú &amp; thay đổi thuê</t>
        </is>
      </c>
      <c r="B18" s="2">
        <v>86</v>
      </c>
      <c r="C18" s="2">
        <v>16</v>
      </c>
      <c r="D18" s="2" t="inlineStr">
        <is>
          <t xml:space="preserve"/>
        </is>
      </c>
    </row>
    <row r="19" ht="72" customHeight="1">
      <c r="A19" s="0" t="inlineStr">
        <is>
          <t xml:space="preserve">Tiến độ từng người</t>
        </is>
      </c>
      <c r="B19" s="0" t="inlineStr">
        <is>
          <t xml:space="preserve">SP đã xử lý</t>
        </is>
      </c>
      <c r="C19" s="0" t="inlineStr">
        <is>
          <t xml:space="preserve">Tỷ lệ theo SP</t>
        </is>
      </c>
      <c r="D19" s="0" t="inlineStr">
        <is>
          <t xml:space="preserve">Task hoàn thành</t>
        </is>
      </c>
    </row>
    <row r="20" ht="72" customHeight="1">
      <c r="A20" s="2" t="inlineStr">
        <is>
          <t xml:space="preserve">A</t>
        </is>
      </c>
      <c r="B20" s="2">
        <f>SUMPRODUCT((BE_Tasks!$D$2:$D$53="A")*BE_Tasks!$G$2:$G$53*BE_Tasks!$X$2:$X$53)</f>
        <v>0</v>
      </c>
      <c r="C20" s="3">
        <f>SUMPRODUCT((BE_Tasks!$D$2:$D$53="A")*BE_Tasks!$G$2:$G$53*BE_Tasks!$X$2:$X$53)/SUMIF(BE_Tasks!$D$2:$D$53,"A",BE_Tasks!$G$2:$G$53)</f>
        <v>0</v>
      </c>
      <c r="D20" s="2">
        <f>COUNTIFS(BE_Tasks!$D$2:$D$53,"A",BE_Tasks!$P$2:$P$53,"Hoàn thành")</f>
        <v>0</v>
      </c>
    </row>
    <row r="21" ht="72" customHeight="1">
      <c r="A21" s="0" t="inlineStr">
        <is>
          <t xml:space="preserve">B</t>
        </is>
      </c>
      <c r="B21" s="0">
        <f>SUMPRODUCT((BE_Tasks!$D$2:$D$53="B")*BE_Tasks!$G$2:$G$53*BE_Tasks!$X$2:$X$53)</f>
        <v>0</v>
      </c>
      <c r="C21" s="3">
        <f>SUMPRODUCT((BE_Tasks!$D$2:$D$53="B")*BE_Tasks!$G$2:$G$53*BE_Tasks!$X$2:$X$53)/SUMIF(BE_Tasks!$D$2:$D$53,"B",BE_Tasks!$G$2:$G$53)</f>
        <v>0</v>
      </c>
      <c r="D21" s="0">
        <f>COUNTIFS(BE_Tasks!$D$2:$D$53,"B",BE_Tasks!$P$2:$P$53,"Hoàn thành")</f>
        <v>0</v>
      </c>
    </row>
    <row r="22" ht="72" customHeight="1">
      <c r="A22" s="2" t="inlineStr">
        <is>
          <t xml:space="preserve">C</t>
        </is>
      </c>
      <c r="B22" s="2">
        <f>SUMPRODUCT((BE_Tasks!$D$2:$D$53="C")*BE_Tasks!$G$2:$G$53*BE_Tasks!$X$2:$X$53)</f>
        <v>0</v>
      </c>
      <c r="C22" s="3">
        <f>SUMPRODUCT((BE_Tasks!$D$2:$D$53="C")*BE_Tasks!$G$2:$G$53*BE_Tasks!$X$2:$X$53)/SUMIF(BE_Tasks!$D$2:$D$53,"C",BE_Tasks!$G$2:$G$53)</f>
        <v>0</v>
      </c>
      <c r="D22" s="2">
        <f>COUNTIFS(BE_Tasks!$D$2:$D$53,"C",BE_Tasks!$P$2:$P$53,"Hoàn thành")</f>
        <v>0</v>
      </c>
    </row>
  </sheetData>
  <pageMargins left="0.25" right="0.25" top="0.5" bottom="0.5" header="0.2" footer="0.2"/>
  <pageSetup orientation="landscape" paperSize="9"/>
</worksheet>
</file>

<file path=xl/worksheets/sheet3.xml><?xml version="1.0" encoding="utf-8"?>
<worksheet xmlns="http://schemas.openxmlformats.org/spreadsheetml/2006/main" xmlns:r="http://schemas.openxmlformats.org/officeDocument/2006/relationships">
  <dimension ref="A1:AG53"/>
  <sheetViews>
    <sheetView workbookViewId="0">
      <pane xSplit="6" ySplit="1" topLeftCell="G2" activePane="bottomRight" state="frozen"/>
    </sheetView>
  </sheetViews>
  <sheetFormatPr defaultRowHeight="20"/>
  <cols>
    <col min="1" max="1" width="16" customWidth="1"/>
    <col min="2" max="2" width="10" customWidth="1"/>
    <col min="3" max="3" width="12" customWidth="1"/>
    <col min="4" max="4" width="10" customWidth="1"/>
    <col min="5" max="5" width="12" customWidth="1"/>
    <col min="6" max="6" width="55" customWidth="1"/>
    <col min="7" max="7" width="12" customWidth="1"/>
    <col min="8" max="8" width="12" customWidth="1"/>
    <col min="9" max="9" width="40" customWidth="1"/>
    <col min="10" max="10" width="95" customWidth="1"/>
    <col min="11" max="11" width="40" customWidth="1"/>
    <col min="12" max="12" width="40" customWidth="1"/>
    <col min="13" max="13" width="24" customWidth="1"/>
    <col min="14" max="14" width="100" customWidth="1"/>
    <col min="15" max="15" width="100" customWidth="1"/>
    <col min="16" max="16" width="21" customWidth="1"/>
    <col min="17" max="17" width="24" customWidth="1"/>
    <col min="18" max="18" width="24" customWidth="1"/>
    <col min="19" max="19" width="24" customWidth="1"/>
    <col min="20" max="20" width="24" customWidth="1"/>
    <col min="21" max="21" width="24" customWidth="1"/>
    <col min="22" max="22" width="24" customWidth="1"/>
    <col min="23" max="23" width="24" customWidth="1"/>
    <col min="24" max="24" width="16" customWidth="1"/>
    <col min="25" max="25" width="24" customWidth="1"/>
    <col min="26" max="26" width="45" customWidth="1"/>
    <col min="27" max="27" width="24" customWidth="1"/>
    <col min="28" max="28" width="24" customWidth="1"/>
    <col min="29" max="29" width="24" customWidth="1"/>
    <col min="30" max="30" width="45" customWidth="1"/>
    <col min="31" max="31" width="65" customWidth="1"/>
    <col min="32" max="32" width="65" customWidth="1"/>
    <col min="33" max="33" width="18" customWidth="1"/>
  </cols>
  <sheetData>
    <row r="1" ht="38" customHeight="1">
      <c r="A1" s="1" t="inlineStr">
        <is>
          <t xml:space="preserve">Task ID</t>
        </is>
      </c>
      <c r="B1" s="1" t="inlineStr">
        <is>
          <t xml:space="preserve">Mốc</t>
        </is>
      </c>
      <c r="C1" s="1" t="inlineStr">
        <is>
          <t xml:space="preserve">Thứ tự trong lane</t>
        </is>
      </c>
      <c r="D1" s="1" t="inlineStr">
        <is>
          <t xml:space="preserve">Owner</t>
        </is>
      </c>
      <c r="E1" s="1" t="inlineStr">
        <is>
          <t xml:space="preserve">Reviewer</t>
        </is>
      </c>
      <c r="F1" s="1" t="inlineStr">
        <is>
          <t xml:space="preserve">Công việc</t>
        </is>
      </c>
      <c r="G1" s="1" t="inlineStr">
        <is>
          <t xml:space="preserve">SP tương đối</t>
        </is>
      </c>
      <c r="H1" s="1" t="inlineStr">
        <is>
          <t xml:space="preserve">Số API</t>
        </is>
      </c>
      <c r="I1" s="1" t="inlineStr">
        <is>
          <t xml:space="preserve">API ID</t>
        </is>
      </c>
      <c r="J1" s="1" t="inlineStr">
        <is>
          <t xml:space="preserve">Phạm vi file được sửa</t>
        </is>
      </c>
      <c r="K1" s="1" t="inlineStr">
        <is>
          <t xml:space="preserve">Phụ thuộc trước tích hợp</t>
        </is>
      </c>
      <c r="L1" s="1" t="inlineStr">
        <is>
          <t xml:space="preserve">Cần phối hợp nghiệm thu</t>
        </is>
      </c>
      <c r="M1" s="1" t="inlineStr">
        <is>
          <t xml:space="preserve">Quyết định liên quan</t>
        </is>
      </c>
      <c r="N1" s="1" t="inlineStr">
        <is>
          <t xml:space="preserve">Đầu ra bàn giao</t>
        </is>
      </c>
      <c r="O1" s="1" t="inlineStr">
        <is>
          <t xml:space="preserve">Tiêu chí nghiệm thu</t>
        </is>
      </c>
      <c r="P1" s="1" t="inlineStr">
        <is>
          <t xml:space="preserve">Trạng thái</t>
        </is>
      </c>
      <c r="Q1" s="1" t="inlineStr">
        <is>
          <t xml:space="preserve">Thiết kế / contract</t>
        </is>
      </c>
      <c r="R1" s="1" t="inlineStr">
        <is>
          <t xml:space="preserve">Code / SQL</t>
        </is>
      </c>
      <c r="S1" s="1" t="inlineStr">
        <is>
          <t xml:space="preserve">Validate / phân quyền</t>
        </is>
      </c>
      <c r="T1" s="1" t="inlineStr">
        <is>
          <t xml:space="preserve">Test module / DB</t>
        </is>
      </c>
      <c r="U1" s="1" t="inlineStr">
        <is>
          <t xml:space="preserve">Test tích hợp</t>
        </is>
      </c>
      <c r="V1" s="1" t="inlineStr">
        <is>
          <t xml:space="preserve">Tài liệu / bàn giao</t>
        </is>
      </c>
      <c r="W1" s="1" t="inlineStr">
        <is>
          <t xml:space="preserve">Review / merge</t>
        </is>
      </c>
      <c r="X1" s="1" t="inlineStr">
        <is>
          <t xml:space="preserve">Tiến độ 7 bước</t>
        </is>
      </c>
      <c r="Y1" s="1" t="inlineStr">
        <is>
          <t xml:space="preserve">Điều kiện nghiệm thu</t>
        </is>
      </c>
      <c r="Z1" s="1" t="inlineStr">
        <is>
          <t xml:space="preserve">Cảnh báo hoàn thành</t>
        </is>
      </c>
      <c r="AA1" s="1" t="inlineStr">
        <is>
          <t xml:space="preserve">Bắt đầu</t>
        </is>
      </c>
      <c r="AB1" s="1" t="inlineStr">
        <is>
          <t xml:space="preserve">Hạn</t>
        </is>
      </c>
      <c r="AC1" s="1" t="inlineStr">
        <is>
          <t xml:space="preserve">Ngày xong</t>
        </is>
      </c>
      <c r="AD1" s="1" t="inlineStr">
        <is>
          <t xml:space="preserve">PR / commit</t>
        </is>
      </c>
      <c r="AE1" s="1" t="inlineStr">
        <is>
          <t xml:space="preserve">Bằng chứng test / quyết định</t>
        </is>
      </c>
      <c r="AF1" s="1" t="inlineStr">
        <is>
          <t xml:space="preserve">Ghi chú / lý do bị chặn</t>
        </is>
      </c>
      <c r="AG1" s="1" t="inlineStr">
        <is>
          <t xml:space="preserve">Link task</t>
        </is>
      </c>
    </row>
    <row r="2" ht="72" customHeight="1">
      <c r="A2" s="2" t="inlineStr">
        <is>
          <t xml:space="preserve">BE-A01</t>
        </is>
      </c>
      <c r="B2" s="2" t="inlineStr">
        <is>
          <t xml:space="preserve">P0</t>
        </is>
      </c>
      <c r="C2" s="2">
        <v>1</v>
      </c>
      <c r="D2" s="6" t="inlineStr">
        <is>
          <t xml:space="preserve">A</t>
        </is>
      </c>
      <c r="E2" s="2" t="inlineStr">
        <is>
          <t xml:space="preserve">B</t>
        </is>
      </c>
      <c r="F2" s="2" t="inlineStr">
        <is>
          <t xml:space="preserve">Khởi tạo backend, nhánh và CI theo module</t>
        </is>
      </c>
      <c r="G2" s="2">
        <v>3</v>
      </c>
      <c r="H2" s="2">
        <v>0</v>
      </c>
      <c r="I2" s="2" t="inlineStr">
        <is>
          <t xml:space="preserve"/>
        </is>
      </c>
      <c r="J2" s="2" t="inlineStr">
        <is>
          <t xml:space="preserve">backend/src/core/**
backend/contracts/core.*
backend/tests/fixtures/A/**
backend/tests/contracts/A/**
backend/tests/e2e/platform-*/**
backend/bootstrap.*
backend/package*
backend/lockfile
.github/workflows/backend-*
database/schema.sql
database/migrations/*
scripts/build-database.cjs
backend/tests/e2e/release/**</t>
        </is>
      </c>
      <c r="K2" s="2" t="inlineStr">
        <is>
          <t xml:space="preserve"/>
        </is>
      </c>
      <c r="L2" s="2" t="inlineStr">
        <is>
          <t xml:space="preserve"/>
        </is>
      </c>
      <c r="M2" s="2" t="inlineStr">
        <is>
          <t xml:space="preserve">D15</t>
        </is>
      </c>
      <c r="N2" s="2" t="inlineStr">
        <is>
          <t xml:space="preserve">Tạo backend/src/modules/&lt;domain&gt;, tests/fixtures theo module và manifest tự đăng ký.
Mỗi PR có branch be/&lt;owner&gt;/&lt;task-id&gt;-&lt;slug&gt;; main được bảo vệ bằng review và CI.
CI dựng SQL từ nguồn vào thư mục tạm cho feature PR; A giữ output SQL tích hợp khớp nguồn khi merge.</t>
        </is>
      </c>
      <c r="O2" s="2" t="inlineStr">
        <is>
          <t xml:space="preserve">Lệnh chạy và test được ghi trong README backend; không dùng DB thật để test.
B/C thêm module qua manifest riêng mà không sửa bootstrap, lockfile hay root routes.</t>
        </is>
      </c>
      <c r="P2" s="2" t="inlineStr">
        <is>
          <t xml:space="preserve">Chưa làm</t>
        </is>
      </c>
      <c r="Q2" s="2" t="inlineStr">
        <is>
          <t xml:space="preserve">Chưa</t>
        </is>
      </c>
      <c r="R2" s="2" t="inlineStr">
        <is>
          <t xml:space="preserve">Chưa</t>
        </is>
      </c>
      <c r="S2" s="2" t="inlineStr">
        <is>
          <t xml:space="preserve">Chưa</t>
        </is>
      </c>
      <c r="T2" s="2" t="inlineStr">
        <is>
          <t xml:space="preserve">Chưa</t>
        </is>
      </c>
      <c r="U2" s="2" t="inlineStr">
        <is>
          <t xml:space="preserve">Chưa</t>
        </is>
      </c>
      <c r="V2" s="2" t="inlineStr">
        <is>
          <t xml:space="preserve">Chưa</t>
        </is>
      </c>
      <c r="W2" s="2" t="inlineStr">
        <is>
          <t xml:space="preserve">Chưa</t>
        </is>
      </c>
      <c r="X2" s="3">
        <f>COUNTIF(Q2:W2,"Xong")/7</f>
        <v>0</v>
      </c>
      <c r="Y2" s="2" t="str">
        <f>IF(TRUE,"Đủ điều kiện","Chờ phụ thuộc")</f>
        <v>Đủ điều kiện</v>
      </c>
      <c r="Z2" s="2" t="str">
        <f>IF(AND(P2="Hoàn thành",OR(X2&lt;1,Y2&lt;&gt;"Đủ điều kiện",AND(AE2="",AD2=""))),"Thiếu bước / phụ thuộc / bằng chứng","")</f>
        <v/>
      </c>
      <c r="AA2" s="4" t="inlineStr">
        <is>
          <t xml:space="preserve"/>
        </is>
      </c>
      <c r="AB2" s="4" t="inlineStr">
        <is>
          <t xml:space="preserve"/>
        </is>
      </c>
      <c r="AC2" s="4" t="inlineStr">
        <is>
          <t xml:space="preserve"/>
        </is>
      </c>
      <c r="AD2" s="2" t="inlineStr">
        <is>
          <t xml:space="preserve"/>
        </is>
      </c>
      <c r="AE2" s="2" t="inlineStr">
        <is>
          <t xml:space="preserve"/>
        </is>
      </c>
      <c r="AF2" s="2" t="inlineStr">
        <is>
          <t xml:space="preserve"/>
        </is>
      </c>
      <c r="AG2" s="5" t="inlineStr">
        <is>
          <t xml:space="preserve">Mở task</t>
        </is>
      </c>
    </row>
    <row r="3" ht="72" customHeight="1">
      <c r="A3" s="0" t="inlineStr">
        <is>
          <t xml:space="preserve">BE-A02</t>
        </is>
      </c>
      <c r="B3" s="0" t="inlineStr">
        <is>
          <t xml:space="preserve">P0</t>
        </is>
      </c>
      <c r="C3" s="0">
        <v>2</v>
      </c>
      <c r="D3" s="6" t="inlineStr">
        <is>
          <t xml:space="preserve">A</t>
        </is>
      </c>
      <c r="E3" s="0" t="inlineStr">
        <is>
          <t xml:space="preserve">B</t>
        </is>
      </c>
      <c r="F3" s="0" t="inlineStr">
        <is>
          <t xml:space="preserve">Chốt contract v1 và cổng dùng chung</t>
        </is>
      </c>
      <c r="G3" s="0">
        <v>5</v>
      </c>
      <c r="H3" s="0">
        <v>0</v>
      </c>
      <c r="I3" s="0" t="inlineStr">
        <is>
          <t xml:space="preserve"/>
        </is>
      </c>
      <c r="J3" s="0" t="inlineStr">
        <is>
          <t xml:space="preserve">backend/src/core/**
backend/contracts/core.*
backend/tests/fixtures/A/**
backend/tests/contracts/A/**
backend/tests/e2e/platform-*/**
backend/bootstrap.*
backend/package*
backend/lockfile
.github/workflows/backend-*</t>
        </is>
      </c>
      <c r="K3" s="0" t="inlineStr">
        <is>
          <t xml:space="preserve">BE-A01</t>
        </is>
      </c>
      <c r="L3" s="0" t="inlineStr">
        <is>
          <t xml:space="preserve"/>
        </is>
      </c>
      <c r="M3" s="0" t="inlineStr">
        <is>
          <t xml:space="preserve">D01, D09, D14, D15</t>
        </is>
      </c>
      <c r="N3" s="0" t="inlineStr">
        <is>
          <t xml:space="preserve">Công bố backend/contracts/core.* với fixture request/response/error và mock adapter.
Tách UnitOfWork của service với ProcedureRunner tự START/COMMIT; actor luôn lấy từ phiên.
Định nghĩa eventId/recipient/eventKey, idempotency scope và whitelist audit target; B/C có contract test dùng ngay.</t>
        </is>
      </c>
      <c r="O3" s="0" t="inlineStr">
        <is>
          <t xml:space="preserve">B01/C01 cùng duyệt contract v1 trước khi merge code tích hợp.
Contract test chạy với mock và adapter thật mà không sửa code consumer.</t>
        </is>
      </c>
      <c r="P3" s="0" t="inlineStr">
        <is>
          <t xml:space="preserve">Chưa làm</t>
        </is>
      </c>
      <c r="Q3" s="0" t="inlineStr">
        <is>
          <t xml:space="preserve">Chưa</t>
        </is>
      </c>
      <c r="R3" s="0" t="inlineStr">
        <is>
          <t xml:space="preserve">Chưa</t>
        </is>
      </c>
      <c r="S3" s="0" t="inlineStr">
        <is>
          <t xml:space="preserve">Chưa</t>
        </is>
      </c>
      <c r="T3" s="0" t="inlineStr">
        <is>
          <t xml:space="preserve">Chưa</t>
        </is>
      </c>
      <c r="U3" s="0" t="inlineStr">
        <is>
          <t xml:space="preserve">Chưa</t>
        </is>
      </c>
      <c r="V3" s="0" t="inlineStr">
        <is>
          <t xml:space="preserve">Chưa</t>
        </is>
      </c>
      <c r="W3" s="0" t="inlineStr">
        <is>
          <t xml:space="preserve">Chưa</t>
        </is>
      </c>
      <c r="X3" s="3">
        <f>COUNTIF(Q3:W3,"Xong")/7</f>
        <v>0</v>
      </c>
      <c r="Y3" s="0" t="str">
        <f>IF(AND(AND(INDEX(BE_Tasks!$P$2:$P$53,MATCH("BE-A01",BE_Tasks!$A$2:$A$53,0))="Hoàn thành",INDEX(BE_Tasks!$Z$2:$Z$53,MATCH("BE-A01",BE_Tasks!$A$2:$A$53,0))="")),"Đủ điều kiện","Chờ phụ thuộc")</f>
        <v>Chờ phụ thuộc</v>
      </c>
      <c r="Z3" s="0" t="str">
        <f>IF(AND(P3="Hoàn thành",OR(X3&lt;1,Y3&lt;&gt;"Đủ điều kiện",AND(AE3="",AD3=""))),"Thiếu bước / phụ thuộc / bằng chứng","")</f>
        <v/>
      </c>
      <c r="AA3" s="4" t="inlineStr">
        <is>
          <t xml:space="preserve"/>
        </is>
      </c>
      <c r="AB3" s="4" t="inlineStr">
        <is>
          <t xml:space="preserve"/>
        </is>
      </c>
      <c r="AC3" s="4" t="inlineStr">
        <is>
          <t xml:space="preserve"/>
        </is>
      </c>
      <c r="AD3" s="0" t="inlineStr">
        <is>
          <t xml:space="preserve"/>
        </is>
      </c>
      <c r="AE3" s="0" t="inlineStr">
        <is>
          <t xml:space="preserve"/>
        </is>
      </c>
      <c r="AF3" s="0" t="inlineStr">
        <is>
          <t xml:space="preserve"/>
        </is>
      </c>
      <c r="AG3" s="5" t="inlineStr">
        <is>
          <t xml:space="preserve">Mở task</t>
        </is>
      </c>
    </row>
    <row r="4" ht="72" customHeight="1">
      <c r="A4" s="2" t="inlineStr">
        <is>
          <t xml:space="preserve">BE-A03</t>
        </is>
      </c>
      <c r="B4" s="2" t="inlineStr">
        <is>
          <t xml:space="preserve">P1</t>
        </is>
      </c>
      <c r="C4" s="2">
        <v>3</v>
      </c>
      <c r="D4" s="6" t="inlineStr">
        <is>
          <t xml:space="preserve">A</t>
        </is>
      </c>
      <c r="E4" s="2" t="inlineStr">
        <is>
          <t xml:space="preserve">B</t>
        </is>
      </c>
      <c r="F4" s="2" t="inlineStr">
        <is>
          <t xml:space="preserve">Xác thực, phiên, profile và scope quyền</t>
        </is>
      </c>
      <c r="G4" s="2">
        <v>8</v>
      </c>
      <c r="H4" s="2">
        <v>9</v>
      </c>
      <c r="I4" s="2" t="inlineStr">
        <is>
          <t xml:space="preserve">API-001, API-002, API-003, API-004, API-005, API-018, API-019, API-020, API-021</t>
        </is>
      </c>
      <c r="J4" s="2" t="inlineStr">
        <is>
          <t xml:space="preserve">backend/src/modules/identity/**
backend/tests/identity/**
backend/contracts/identity.*</t>
        </is>
      </c>
      <c r="K4" s="2" t="inlineStr">
        <is>
          <t xml:space="preserve">BE-A02</t>
        </is>
      </c>
      <c r="L4" s="2" t="inlineStr">
        <is>
          <t xml:space="preserve"/>
        </is>
      </c>
      <c r="M4" s="2" t="inlineStr">
        <is>
          <t xml:space="preserve">D01</t>
        </is>
      </c>
      <c r="N4" s="2" t="inlineStr">
        <is>
          <t xml:space="preserve">Register users+tenants+profile nguyên tử; không nhận ADMIN/LANDLORD tùy ý từ client.
Refresh xoay token, session revoked/LOCKED bị chặn; profile và flags theo whitelist.
Cung cấp factory actor/phiên test cho B/C, tách policy role với quyền từng đối tượng.</t>
        </is>
      </c>
      <c r="O4" s="2" t="inlineStr">
        <is>
          <t xml:space="preserve">Thiếu token 401; sai scope/LOCKED không truy cập được tài nguyên module khác.
Mọi contact/ID/money/date validate theo đặc tả, không log secret.</t>
        </is>
      </c>
      <c r="P4" s="2" t="inlineStr">
        <is>
          <t xml:space="preserve">Chưa làm</t>
        </is>
      </c>
      <c r="Q4" s="2" t="inlineStr">
        <is>
          <t xml:space="preserve">Chưa</t>
        </is>
      </c>
      <c r="R4" s="2" t="inlineStr">
        <is>
          <t xml:space="preserve">Chưa</t>
        </is>
      </c>
      <c r="S4" s="2" t="inlineStr">
        <is>
          <t xml:space="preserve">Chưa</t>
        </is>
      </c>
      <c r="T4" s="2" t="inlineStr">
        <is>
          <t xml:space="preserve">Chưa</t>
        </is>
      </c>
      <c r="U4" s="2" t="inlineStr">
        <is>
          <t xml:space="preserve">Chưa</t>
        </is>
      </c>
      <c r="V4" s="2" t="inlineStr">
        <is>
          <t xml:space="preserve">Chưa</t>
        </is>
      </c>
      <c r="W4" s="2" t="inlineStr">
        <is>
          <t xml:space="preserve">Chưa</t>
        </is>
      </c>
      <c r="X4" s="3">
        <f>COUNTIF(Q4:W4,"Xong")/7</f>
        <v>0</v>
      </c>
      <c r="Y4" s="2" t="str">
        <f>IF(AND(AND(INDEX(BE_Tasks!$P$2:$P$53,MATCH("BE-A02",BE_Tasks!$A$2:$A$53,0))="Hoàn thành",INDEX(BE_Tasks!$Z$2:$Z$53,MATCH("BE-A02",BE_Tasks!$A$2:$A$53,0))="")),"Đủ điều kiện","Chờ phụ thuộc")</f>
        <v>Chờ phụ thuộc</v>
      </c>
      <c r="Z4" s="2" t="str">
        <f>IF(AND(P4="Hoàn thành",OR(X4&lt;1,Y4&lt;&gt;"Đủ điều kiện",AND(AE4="",AD4=""))),"Thiếu bước / phụ thuộc / bằng chứng","")</f>
        <v/>
      </c>
      <c r="AA4" s="4" t="inlineStr">
        <is>
          <t xml:space="preserve"/>
        </is>
      </c>
      <c r="AB4" s="4" t="inlineStr">
        <is>
          <t xml:space="preserve"/>
        </is>
      </c>
      <c r="AC4" s="4" t="inlineStr">
        <is>
          <t xml:space="preserve"/>
        </is>
      </c>
      <c r="AD4" s="2" t="inlineStr">
        <is>
          <t xml:space="preserve"/>
        </is>
      </c>
      <c r="AE4" s="2" t="inlineStr">
        <is>
          <t xml:space="preserve"/>
        </is>
      </c>
      <c r="AF4" s="2" t="inlineStr">
        <is>
          <t xml:space="preserve"/>
        </is>
      </c>
      <c r="AG4" s="5" t="inlineStr">
        <is>
          <t xml:space="preserve">Mở task</t>
        </is>
      </c>
    </row>
    <row r="5" ht="72" customHeight="1">
      <c r="A5" s="0" t="inlineStr">
        <is>
          <t xml:space="preserve">BE-A04</t>
        </is>
      </c>
      <c r="B5" s="0" t="inlineStr">
        <is>
          <t xml:space="preserve">P1</t>
        </is>
      </c>
      <c r="C5" s="0">
        <v>4</v>
      </c>
      <c r="D5" s="6" t="inlineStr">
        <is>
          <t xml:space="preserve">A</t>
        </is>
      </c>
      <c r="E5" s="0" t="inlineStr">
        <is>
          <t xml:space="preserve">B</t>
        </is>
      </c>
      <c r="F5" s="0" t="inlineStr">
        <is>
          <t xml:space="preserve">Idempotency, event store và adapter audit nền</t>
        </is>
      </c>
      <c r="G5" s="0">
        <v>5</v>
      </c>
      <c r="H5" s="0">
        <v>0</v>
      </c>
      <c r="I5" s="0" t="inlineStr">
        <is>
          <t xml:space="preserve"/>
        </is>
      </c>
      <c r="J5" s="0" t="inlineStr">
        <is>
          <t xml:space="preserve">backend/src/core/**
backend/contracts/core.*
backend/tests/fixtures/A/**
backend/tests/contracts/A/**
backend/tests/e2e/platform-*/**
backend/bootstrap.*
backend/package*
backend/lockfile
.github/workflows/backend-*
database/schema.sql
database/migrations/*
scripts/build-database.cjs
backend/tests/e2e/release/**</t>
        </is>
      </c>
      <c r="K5" s="0" t="inlineStr">
        <is>
          <t xml:space="preserve">BE-A02</t>
        </is>
      </c>
      <c r="L5" s="0" t="inlineStr">
        <is>
          <t xml:space="preserve"/>
        </is>
      </c>
      <c r="M5" s="0" t="inlineStr">
        <is>
          <t xml:space="preserve">D09, D14</t>
        </is>
      </c>
      <c r="N5" s="0" t="inlineStr">
        <is>
          <t xml:space="preserve">Store key+actor+route+request hash+kết quả; xử lý đang chạy, TTL và retry sau commit.
EventPort append cùng transaction cho service; cơ chế lấy notifications sau CALL có checkpoint/dedupe và giới hạn bảo đảm được ghi rõ.
AuditPort nhận đúng một target hợp lệ; procedure đã ghi audit/notification thì adapter không ghi lặp.</t>
        </is>
      </c>
      <c r="O5" s="0" t="inlineStr">
        <is>
          <t xml:space="preserve">Cùng key/payload trả kết quả cũ; khác payload 409; retry không nhân đôi tác dụng phụ.
Kiểm thử crash trước/sau commit; không tuyên bố exactly-once cho kênh vận chuyển.</t>
        </is>
      </c>
      <c r="P5" s="0" t="inlineStr">
        <is>
          <t xml:space="preserve">Chưa làm</t>
        </is>
      </c>
      <c r="Q5" s="0" t="inlineStr">
        <is>
          <t xml:space="preserve">Chưa</t>
        </is>
      </c>
      <c r="R5" s="0" t="inlineStr">
        <is>
          <t xml:space="preserve">Chưa</t>
        </is>
      </c>
      <c r="S5" s="0" t="inlineStr">
        <is>
          <t xml:space="preserve">Chưa</t>
        </is>
      </c>
      <c r="T5" s="0" t="inlineStr">
        <is>
          <t xml:space="preserve">Chưa</t>
        </is>
      </c>
      <c r="U5" s="0" t="inlineStr">
        <is>
          <t xml:space="preserve">Chưa</t>
        </is>
      </c>
      <c r="V5" s="0" t="inlineStr">
        <is>
          <t xml:space="preserve">Chưa</t>
        </is>
      </c>
      <c r="W5" s="0" t="inlineStr">
        <is>
          <t xml:space="preserve">Chưa</t>
        </is>
      </c>
      <c r="X5" s="3">
        <f>COUNTIF(Q5:W5,"Xong")/7</f>
        <v>0</v>
      </c>
      <c r="Y5" s="0" t="str">
        <f>IF(AND(AND(INDEX(BE_Tasks!$P$2:$P$53,MATCH("BE-A02",BE_Tasks!$A$2:$A$53,0))="Hoàn thành",INDEX(BE_Tasks!$Z$2:$Z$53,MATCH("BE-A02",BE_Tasks!$A$2:$A$53,0))="")),"Đủ điều kiện","Chờ phụ thuộc")</f>
        <v>Chờ phụ thuộc</v>
      </c>
      <c r="Z5" s="0" t="str">
        <f>IF(AND(P5="Hoàn thành",OR(X5&lt;1,Y5&lt;&gt;"Đủ điều kiện",AND(AE5="",AD5=""))),"Thiếu bước / phụ thuộc / bằng chứng","")</f>
        <v/>
      </c>
      <c r="AA5" s="4" t="inlineStr">
        <is>
          <t xml:space="preserve"/>
        </is>
      </c>
      <c r="AB5" s="4" t="inlineStr">
        <is>
          <t xml:space="preserve"/>
        </is>
      </c>
      <c r="AC5" s="4" t="inlineStr">
        <is>
          <t xml:space="preserve"/>
        </is>
      </c>
      <c r="AD5" s="0" t="inlineStr">
        <is>
          <t xml:space="preserve"/>
        </is>
      </c>
      <c r="AE5" s="0" t="inlineStr">
        <is>
          <t xml:space="preserve"/>
        </is>
      </c>
      <c r="AF5" s="0" t="inlineStr">
        <is>
          <t xml:space="preserve"/>
        </is>
      </c>
      <c r="AG5" s="5" t="inlineStr">
        <is>
          <t xml:space="preserve">Mở task</t>
        </is>
      </c>
    </row>
    <row r="6" ht="72" customHeight="1">
      <c r="A6" s="2" t="inlineStr">
        <is>
          <t xml:space="preserve">BE-A05</t>
        </is>
      </c>
      <c r="B6" s="2" t="inlineStr">
        <is>
          <t xml:space="preserve">P1</t>
        </is>
      </c>
      <c r="C6" s="2">
        <v>5</v>
      </c>
      <c r="D6" s="6" t="inlineStr">
        <is>
          <t xml:space="preserve">A</t>
        </is>
      </c>
      <c r="E6" s="2" t="inlineStr">
        <is>
          <t xml:space="preserve">B</t>
        </is>
      </c>
      <c r="F6" s="2" t="inlineStr">
        <is>
          <t xml:space="preserve">Kho tệp riêng tư và quyền mở theo ngữ cảnh</t>
        </is>
      </c>
      <c r="G6" s="2">
        <v>8</v>
      </c>
      <c r="H6" s="2">
        <v>5</v>
      </c>
      <c r="I6" s="2" t="inlineStr">
        <is>
          <t xml:space="preserve">API-170, API-171, API-172, API-173, API-174</t>
        </is>
      </c>
      <c r="J6" s="2" t="inlineStr">
        <is>
          <t xml:space="preserve">backend/src/modules/files/**
backend/tests/files/**
backend/contracts/files.*</t>
        </is>
      </c>
      <c r="K6" s="2" t="inlineStr">
        <is>
          <t xml:space="preserve">BE-A03, BE-A04</t>
        </is>
      </c>
      <c r="L6" s="2" t="inlineStr">
        <is>
          <t xml:space="preserve"/>
        </is>
      </c>
      <c r="M6" s="2" t="inlineStr">
        <is>
          <t xml:space="preserve">D05</t>
        </is>
      </c>
      <c r="N6" s="2" t="inlineStr">
        <is>
          <t xml:space="preserve">Adapter kho tệp cấu hình qua môi trường; MIME magic, byte length, SHA-256 và ownership được server kiểm tra.
FilePort hỗ trợ context resolver do B/C đăng ký riêng; không import service B/C vào files tạo vòng phụ thuộc.
Proof đã tham chiếu bất biến, URL ngắn hạn và retention có chính sách D05.</t>
        </is>
      </c>
      <c r="O6" s="2" t="inlineStr">
        <is>
          <t xml:space="preserve">Proof nhà đúng 1–8 tệp, tối đa 5 MB/tệp; MIME giả/owner khác bị chặn.
Không đọc được file bằng đoán ID; tệp đang được giữ không bị xóa vật lý.</t>
        </is>
      </c>
      <c r="P6" s="2" t="inlineStr">
        <is>
          <t xml:space="preserve">Chưa làm</t>
        </is>
      </c>
      <c r="Q6" s="2" t="inlineStr">
        <is>
          <t xml:space="preserve">Chưa</t>
        </is>
      </c>
      <c r="R6" s="2" t="inlineStr">
        <is>
          <t xml:space="preserve">Chưa</t>
        </is>
      </c>
      <c r="S6" s="2" t="inlineStr">
        <is>
          <t xml:space="preserve">Chưa</t>
        </is>
      </c>
      <c r="T6" s="2" t="inlineStr">
        <is>
          <t xml:space="preserve">Chưa</t>
        </is>
      </c>
      <c r="U6" s="2" t="inlineStr">
        <is>
          <t xml:space="preserve">Chưa</t>
        </is>
      </c>
      <c r="V6" s="2" t="inlineStr">
        <is>
          <t xml:space="preserve">Chưa</t>
        </is>
      </c>
      <c r="W6" s="2" t="inlineStr">
        <is>
          <t xml:space="preserve">Chưa</t>
        </is>
      </c>
      <c r="X6" s="3">
        <f>COUNTIF(Q6:W6,"Xong")/7</f>
        <v>0</v>
      </c>
      <c r="Y6" s="2" t="str">
        <f>IF(AND(AND(INDEX(BE_Tasks!$P$2:$P$53,MATCH("BE-A03",BE_Tasks!$A$2:$A$53,0))="Hoàn thành",INDEX(BE_Tasks!$Z$2:$Z$53,MATCH("BE-A03",BE_Tasks!$A$2:$A$53,0))=""),AND(INDEX(BE_Tasks!$P$2:$P$53,MATCH("BE-A04",BE_Tasks!$A$2:$A$53,0))="Hoàn thành",INDEX(BE_Tasks!$Z$2:$Z$53,MATCH("BE-A04",BE_Tasks!$A$2:$A$53,0))="")),"Đủ điều kiện","Chờ phụ thuộc")</f>
        <v>Chờ phụ thuộc</v>
      </c>
      <c r="Z6" s="2" t="str">
        <f>IF(AND(P6="Hoàn thành",OR(X6&lt;1,Y6&lt;&gt;"Đủ điều kiện",AND(AE6="",AD6=""))),"Thiếu bước / phụ thuộc / bằng chứng","")</f>
        <v/>
      </c>
      <c r="AA6" s="4" t="inlineStr">
        <is>
          <t xml:space="preserve"/>
        </is>
      </c>
      <c r="AB6" s="4" t="inlineStr">
        <is>
          <t xml:space="preserve"/>
        </is>
      </c>
      <c r="AC6" s="4" t="inlineStr">
        <is>
          <t xml:space="preserve"/>
        </is>
      </c>
      <c r="AD6" s="2" t="inlineStr">
        <is>
          <t xml:space="preserve"/>
        </is>
      </c>
      <c r="AE6" s="2" t="inlineStr">
        <is>
          <t xml:space="preserve"/>
        </is>
      </c>
      <c r="AF6" s="2" t="inlineStr">
        <is>
          <t xml:space="preserve"/>
        </is>
      </c>
      <c r="AG6" s="5" t="inlineStr">
        <is>
          <t xml:space="preserve">Mở task</t>
        </is>
      </c>
    </row>
    <row r="7" ht="72" customHeight="1">
      <c r="A7" s="0" t="inlineStr">
        <is>
          <t xml:space="preserve">BE-A06</t>
        </is>
      </c>
      <c r="B7" s="0" t="inlineStr">
        <is>
          <t xml:space="preserve">P2</t>
        </is>
      </c>
      <c r="C7" s="0">
        <v>6</v>
      </c>
      <c r="D7" s="6" t="inlineStr">
        <is>
          <t xml:space="preserve">A</t>
        </is>
      </c>
      <c r="E7" s="0" t="inlineStr">
        <is>
          <t xml:space="preserve">B</t>
        </is>
      </c>
      <c r="F7" s="0" t="inlineStr">
        <is>
          <t xml:space="preserve">Xác minh danh tính và cấp vai trò chủ trọ</t>
        </is>
      </c>
      <c r="G7" s="0">
        <v>5</v>
      </c>
      <c r="H7" s="0">
        <v>12</v>
      </c>
      <c r="I7" s="0" t="inlineStr">
        <is>
          <t xml:space="preserve">API-006, API-007, API-008, API-009, API-010, API-011, API-012, API-013, API-014, API-015, API-016, API-017</t>
        </is>
      </c>
      <c r="J7" s="0" t="inlineStr">
        <is>
          <t xml:space="preserve">backend/src/modules/identity/**
backend/tests/identity/**
backend/contracts/identity.*</t>
        </is>
      </c>
      <c r="K7" s="0" t="inlineStr">
        <is>
          <t xml:space="preserve">BE-A05</t>
        </is>
      </c>
      <c r="L7" s="0" t="inlineStr">
        <is>
          <t xml:space="preserve"/>
        </is>
      </c>
      <c r="M7" s="0" t="inlineStr">
        <is>
          <t xml:space="preserve">D05</t>
        </is>
      </c>
      <c r="N7" s="0" t="inlineStr">
        <is>
          <t xml:space="preserve">Một PENDING/người/loại; duyệt/từ chối có actor/time/reason.
APPROVE landlord tạo dòng landlords trong cùng transaction; không tự duyệt nhà.
Ghi audit và thông báo qua adapter đã chốt, giữ hồ sơ lịch sử.</t>
        </is>
      </c>
      <c r="O7" s="0" t="inlineStr">
        <is>
          <t xml:space="preserve">Hai lần nộp đồng thời không có hai PENDING; file của người khác bị chặn.
Chủ trọ mới được cấp vai trò chỉ công khai nhà sau B05 xác minh riêng.</t>
        </is>
      </c>
      <c r="P7" s="0" t="inlineStr">
        <is>
          <t xml:space="preserve">Chưa làm</t>
        </is>
      </c>
      <c r="Q7" s="0" t="inlineStr">
        <is>
          <t xml:space="preserve">Chưa</t>
        </is>
      </c>
      <c r="R7" s="0" t="inlineStr">
        <is>
          <t xml:space="preserve">Chưa</t>
        </is>
      </c>
      <c r="S7" s="0" t="inlineStr">
        <is>
          <t xml:space="preserve">Chưa</t>
        </is>
      </c>
      <c r="T7" s="0" t="inlineStr">
        <is>
          <t xml:space="preserve">Chưa</t>
        </is>
      </c>
      <c r="U7" s="0" t="inlineStr">
        <is>
          <t xml:space="preserve">Chưa</t>
        </is>
      </c>
      <c r="V7" s="0" t="inlineStr">
        <is>
          <t xml:space="preserve">Chưa</t>
        </is>
      </c>
      <c r="W7" s="0" t="inlineStr">
        <is>
          <t xml:space="preserve">Chưa</t>
        </is>
      </c>
      <c r="X7" s="3">
        <f>COUNTIF(Q7:W7,"Xong")/7</f>
        <v>0</v>
      </c>
      <c r="Y7" s="0" t="str">
        <f>IF(AND(AND(INDEX(BE_Tasks!$P$2:$P$53,MATCH("BE-A05",BE_Tasks!$A$2:$A$53,0))="Hoàn thành",INDEX(BE_Tasks!$Z$2:$Z$53,MATCH("BE-A05",BE_Tasks!$A$2:$A$53,0))="")),"Đủ điều kiện","Chờ phụ thuộc")</f>
        <v>Chờ phụ thuộc</v>
      </c>
      <c r="Z7" s="0" t="str">
        <f>IF(AND(P7="Hoàn thành",OR(X7&lt;1,Y7&lt;&gt;"Đủ điều kiện",AND(AE7="",AD7=""))),"Thiếu bước / phụ thuộc / bằng chứng","")</f>
        <v/>
      </c>
      <c r="AA7" s="4" t="inlineStr">
        <is>
          <t xml:space="preserve"/>
        </is>
      </c>
      <c r="AB7" s="4" t="inlineStr">
        <is>
          <t xml:space="preserve"/>
        </is>
      </c>
      <c r="AC7" s="4" t="inlineStr">
        <is>
          <t xml:space="preserve"/>
        </is>
      </c>
      <c r="AD7" s="0" t="inlineStr">
        <is>
          <t xml:space="preserve"/>
        </is>
      </c>
      <c r="AE7" s="0" t="inlineStr">
        <is>
          <t xml:space="preserve"/>
        </is>
      </c>
      <c r="AF7" s="0" t="inlineStr">
        <is>
          <t xml:space="preserve"/>
        </is>
      </c>
      <c r="AG7" s="5" t="inlineStr">
        <is>
          <t xml:space="preserve">Mở task</t>
        </is>
      </c>
    </row>
    <row r="8" ht="72" customHeight="1">
      <c r="A8" s="2" t="inlineStr">
        <is>
          <t xml:space="preserve">BE-A07</t>
        </is>
      </c>
      <c r="B8" s="2" t="inlineStr">
        <is>
          <t xml:space="preserve">P2</t>
        </is>
      </c>
      <c r="C8" s="2">
        <v>7</v>
      </c>
      <c r="D8" s="6" t="inlineStr">
        <is>
          <t xml:space="preserve">A</t>
        </is>
      </c>
      <c r="E8" s="2" t="inlineStr">
        <is>
          <t xml:space="preserve">B</t>
        </is>
      </c>
      <c r="F8" s="2" t="inlineStr">
        <is>
          <t xml:space="preserve">OTP, reset mật khẩu và TokenPort</t>
        </is>
      </c>
      <c r="G8" s="2">
        <v>5</v>
      </c>
      <c r="H8" s="2">
        <v>5</v>
      </c>
      <c r="I8" s="2" t="inlineStr">
        <is>
          <t xml:space="preserve">API-022, API-023, API-024, API-025, API-026</t>
        </is>
      </c>
      <c r="J8" s="2" t="inlineStr">
        <is>
          <t xml:space="preserve">backend/src/modules/identity/**
backend/tests/identity/**
backend/contracts/identity.*</t>
        </is>
      </c>
      <c r="K8" s="2" t="inlineStr">
        <is>
          <t xml:space="preserve">BE-A03, BE-A04</t>
        </is>
      </c>
      <c r="L8" s="2" t="inlineStr">
        <is>
          <t xml:space="preserve"/>
        </is>
      </c>
      <c r="M8" s="2" t="inlineStr">
        <is>
          <t xml:space="preserve">D01, D06</t>
        </is>
      </c>
      <c r="N8" s="2" t="inlineStr">
        <is>
          <t xml:space="preserve">Hash/HMAC mã, hạn dùng, attempt, consumed/revoked; reset không lộ tài khoản tồn tại.
Reset grant chỉ đổi mật khẩu đúng user và thu hồi phiên; phone uniqueness kiểm tra lại dưới khóa.
TokenPort issue/consume hỗ trợ OCCUPANT_LINK và targetRoomTenantId trong transaction được C truyền vào.</t>
        </is>
      </c>
      <c r="O8" s="2" t="inlineStr">
        <is>
          <t xml:space="preserve">OTP sai/hết hạn/dùng lại đều thất bại đúng mã; không log/response OTP thực.
C08 tiêu thụ token và gắn member trong cùng transaction, không gọi HTTP nội bộ.</t>
        </is>
      </c>
      <c r="P8" s="2" t="inlineStr">
        <is>
          <t xml:space="preserve">Chưa làm</t>
        </is>
      </c>
      <c r="Q8" s="2" t="inlineStr">
        <is>
          <t xml:space="preserve">Chưa</t>
        </is>
      </c>
      <c r="R8" s="2" t="inlineStr">
        <is>
          <t xml:space="preserve">Chưa</t>
        </is>
      </c>
      <c r="S8" s="2" t="inlineStr">
        <is>
          <t xml:space="preserve">Chưa</t>
        </is>
      </c>
      <c r="T8" s="2" t="inlineStr">
        <is>
          <t xml:space="preserve">Chưa</t>
        </is>
      </c>
      <c r="U8" s="2" t="inlineStr">
        <is>
          <t xml:space="preserve">Chưa</t>
        </is>
      </c>
      <c r="V8" s="2" t="inlineStr">
        <is>
          <t xml:space="preserve">Chưa</t>
        </is>
      </c>
      <c r="W8" s="2" t="inlineStr">
        <is>
          <t xml:space="preserve">Chưa</t>
        </is>
      </c>
      <c r="X8" s="3">
        <f>COUNTIF(Q8:W8,"Xong")/7</f>
        <v>0</v>
      </c>
      <c r="Y8" s="2" t="str">
        <f>IF(AND(AND(INDEX(BE_Tasks!$P$2:$P$53,MATCH("BE-A03",BE_Tasks!$A$2:$A$53,0))="Hoàn thành",INDEX(BE_Tasks!$Z$2:$Z$53,MATCH("BE-A03",BE_Tasks!$A$2:$A$53,0))=""),AND(INDEX(BE_Tasks!$P$2:$P$53,MATCH("BE-A04",BE_Tasks!$A$2:$A$53,0))="Hoàn thành",INDEX(BE_Tasks!$Z$2:$Z$53,MATCH("BE-A04",BE_Tasks!$A$2:$A$53,0))="")),"Đủ điều kiện","Chờ phụ thuộc")</f>
        <v>Chờ phụ thuộc</v>
      </c>
      <c r="Z8" s="2" t="str">
        <f>IF(AND(P8="Hoàn thành",OR(X8&lt;1,Y8&lt;&gt;"Đủ điều kiện",AND(AE8="",AD8=""))),"Thiếu bước / phụ thuộc / bằng chứng","")</f>
        <v/>
      </c>
      <c r="AA8" s="4" t="inlineStr">
        <is>
          <t xml:space="preserve"/>
        </is>
      </c>
      <c r="AB8" s="4" t="inlineStr">
        <is>
          <t xml:space="preserve"/>
        </is>
      </c>
      <c r="AC8" s="4" t="inlineStr">
        <is>
          <t xml:space="preserve"/>
        </is>
      </c>
      <c r="AD8" s="2" t="inlineStr">
        <is>
          <t xml:space="preserve"/>
        </is>
      </c>
      <c r="AE8" s="2" t="inlineStr">
        <is>
          <t xml:space="preserve"/>
        </is>
      </c>
      <c r="AF8" s="2" t="inlineStr">
        <is>
          <t xml:space="preserve"/>
        </is>
      </c>
      <c r="AG8" s="5" t="inlineStr">
        <is>
          <t xml:space="preserve">Mở task</t>
        </is>
      </c>
    </row>
    <row r="9" ht="72" customHeight="1">
      <c r="A9" s="0" t="inlineStr">
        <is>
          <t xml:space="preserve">BE-A08</t>
        </is>
      </c>
      <c r="B9" s="0" t="inlineStr">
        <is>
          <t xml:space="preserve">P2</t>
        </is>
      </c>
      <c r="C9" s="0">
        <v>8</v>
      </c>
      <c r="D9" s="6" t="inlineStr">
        <is>
          <t xml:space="preserve">A</t>
        </is>
      </c>
      <c r="E9" s="0" t="inlineStr">
        <is>
          <t xml:space="preserve">B</t>
        </is>
      </c>
      <c r="F9" s="0" t="inlineStr">
        <is>
          <t xml:space="preserve">Chat hỏi phòng và cổng hội thoại cho lịch xem</t>
        </is>
      </c>
      <c r="G9" s="0">
        <v>8</v>
      </c>
      <c r="H9" s="0">
        <v>7</v>
      </c>
      <c r="I9" s="0" t="inlineStr">
        <is>
          <t xml:space="preserve">API-076, API-077, API-078, API-079, API-080, API-081, API-082</t>
        </is>
      </c>
      <c r="J9" s="0" t="inlineStr">
        <is>
          <t xml:space="preserve">backend/src/modules/messaging/**
backend/src/modules/notifications/**
backend/tests/messaging/**
backend/contracts/messaging.*</t>
        </is>
      </c>
      <c r="K9" s="0" t="inlineStr">
        <is>
          <t xml:space="preserve">BE-A03, BE-A04, BE-B04</t>
        </is>
      </c>
      <c r="L9" s="0" t="inlineStr">
        <is>
          <t xml:space="preserve"/>
        </is>
      </c>
      <c r="M9" s="0" t="inlineStr">
        <is>
          <t xml:space="preserve">D03, D08</t>
        </is>
      </c>
      <c r="N9" s="0" t="inlineStr">
        <is>
          <t xml:space="preserve">Get-or-create inquiry có unique/khóa theo D08; một context ghi/post/room, gộp peer chỉ khi đọc.
Gửi TEXT/IMAGE chống trùng; cập nhật participant/read-state/last_message và sự kiện nguyên tử.
Công bố ensureRoommateConversation(tx) cho B13; ConnectionPort kiểm tra accepted từ DB/fixture dù endpoint kết nối chưa hoàn thiện.</t>
        </is>
      </c>
      <c r="O9" s="0" t="inlineStr">
        <is>
          <t xml:space="preserve">Có tin người thuê về đúng phòng cho B08/B09; ROOMMATE không dùng hẹn chủ trọ.
Chỉ participant được đọc/gửi; sender+client key không tạo trùng.</t>
        </is>
      </c>
      <c r="P9" s="0" t="inlineStr">
        <is>
          <t xml:space="preserve">Chưa làm</t>
        </is>
      </c>
      <c r="Q9" s="0" t="inlineStr">
        <is>
          <t xml:space="preserve">Chưa</t>
        </is>
      </c>
      <c r="R9" s="0" t="inlineStr">
        <is>
          <t xml:space="preserve">Chưa</t>
        </is>
      </c>
      <c r="S9" s="0" t="inlineStr">
        <is>
          <t xml:space="preserve">Chưa</t>
        </is>
      </c>
      <c r="T9" s="0" t="inlineStr">
        <is>
          <t xml:space="preserve">Chưa</t>
        </is>
      </c>
      <c r="U9" s="0" t="inlineStr">
        <is>
          <t xml:space="preserve">Chưa</t>
        </is>
      </c>
      <c r="V9" s="0" t="inlineStr">
        <is>
          <t xml:space="preserve">Chưa</t>
        </is>
      </c>
      <c r="W9" s="0" t="inlineStr">
        <is>
          <t xml:space="preserve">Chưa</t>
        </is>
      </c>
      <c r="X9" s="3">
        <f>COUNTIF(Q9:W9,"Xong")/7</f>
        <v>0</v>
      </c>
      <c r="Y9" s="0" t="str">
        <f>IF(AND(AND(INDEX(BE_Tasks!$P$2:$P$53,MATCH("BE-A03",BE_Tasks!$A$2:$A$53,0))="Hoàn thành",INDEX(BE_Tasks!$Z$2:$Z$53,MATCH("BE-A03",BE_Tasks!$A$2:$A$53,0))=""),AND(INDEX(BE_Tasks!$P$2:$P$53,MATCH("BE-A04",BE_Tasks!$A$2:$A$53,0))="Hoàn thành",INDEX(BE_Tasks!$Z$2:$Z$53,MATCH("BE-A04",BE_Tasks!$A$2:$A$53,0))=""),AND(INDEX(BE_Tasks!$P$2:$P$53,MATCH("BE-B04",BE_Tasks!$A$2:$A$53,0))="Hoàn thành",INDEX(BE_Tasks!$Z$2:$Z$53,MATCH("BE-B04",BE_Tasks!$A$2:$A$53,0))="")),"Đủ điều kiện","Chờ phụ thuộc")</f>
        <v>Chờ phụ thuộc</v>
      </c>
      <c r="Z9" s="0" t="str">
        <f>IF(AND(P9="Hoàn thành",OR(X9&lt;1,Y9&lt;&gt;"Đủ điều kiện",AND(AE9="",AD9=""))),"Thiếu bước / phụ thuộc / bằng chứng","")</f>
        <v/>
      </c>
      <c r="AA9" s="4" t="inlineStr">
        <is>
          <t xml:space="preserve"/>
        </is>
      </c>
      <c r="AB9" s="4" t="inlineStr">
        <is>
          <t xml:space="preserve"/>
        </is>
      </c>
      <c r="AC9" s="4" t="inlineStr">
        <is>
          <t xml:space="preserve"/>
        </is>
      </c>
      <c r="AD9" s="0" t="inlineStr">
        <is>
          <t xml:space="preserve"/>
        </is>
      </c>
      <c r="AE9" s="0" t="inlineStr">
        <is>
          <t xml:space="preserve"/>
        </is>
      </c>
      <c r="AF9" s="0" t="inlineStr">
        <is>
          <t xml:space="preserve"/>
        </is>
      </c>
      <c r="AG9" s="5" t="inlineStr">
        <is>
          <t xml:space="preserve">Mở task</t>
        </is>
      </c>
    </row>
    <row r="10" ht="72" customHeight="1">
      <c r="A10" s="2" t="inlineStr">
        <is>
          <t xml:space="preserve">BE-A09</t>
        </is>
      </c>
      <c r="B10" s="2" t="inlineStr">
        <is>
          <t xml:space="preserve">P3</t>
        </is>
      </c>
      <c r="C10" s="2">
        <v>9</v>
      </c>
      <c r="D10" s="6" t="inlineStr">
        <is>
          <t xml:space="preserve">A</t>
        </is>
      </c>
      <c r="E10" s="2" t="inlineStr">
        <is>
          <t xml:space="preserve">B</t>
        </is>
      </c>
      <c r="F10" s="2" t="inlineStr">
        <is>
          <t xml:space="preserve">Feed thông báo, bộ đếm và đánh dấu đọc</t>
        </is>
      </c>
      <c r="G10" s="2">
        <v>3</v>
      </c>
      <c r="H10" s="2">
        <v>4</v>
      </c>
      <c r="I10" s="2" t="inlineStr">
        <is>
          <t xml:space="preserve">API-086, API-087, API-088, API-089</t>
        </is>
      </c>
      <c r="J10" s="2" t="inlineStr">
        <is>
          <t xml:space="preserve">backend/src/modules/messaging/**
backend/src/modules/notifications/**
backend/tests/messaging/**
backend/contracts/messaging.*</t>
        </is>
      </c>
      <c r="K10" s="2" t="inlineStr">
        <is>
          <t xml:space="preserve">BE-A04, BE-A08</t>
        </is>
      </c>
      <c r="L10" s="2" t="inlineStr">
        <is>
          <t xml:space="preserve"/>
        </is>
      </c>
      <c r="M10" s="2" t="inlineStr">
        <is>
          <t xml:space="preserve"/>
        </is>
      </c>
      <c r="N10" s="2" t="inlineStr">
        <is>
          <t xml:space="preserve">Feed scoped user, counts, read một/tất cả đến mốc server.
Chống event_key trùng, mở tài nguyên vẫn kiểm tra quyền lại.
Chuẩn hóa thông báo do procedure và service phát, giữ popup là trạng thái UI.</t>
        </is>
      </c>
      <c r="O10" s="2" t="inlineStr">
        <is>
          <t xml:space="preserve">Đọc thông báo của user khác bị chặn; read-all không đọc nhầm sự kiện đến sau mốc.
Tắt realtime không làm mất thông báo đã commit.</t>
        </is>
      </c>
      <c r="P10" s="2" t="inlineStr">
        <is>
          <t xml:space="preserve">Chưa làm</t>
        </is>
      </c>
      <c r="Q10" s="2" t="inlineStr">
        <is>
          <t xml:space="preserve">Chưa</t>
        </is>
      </c>
      <c r="R10" s="2" t="inlineStr">
        <is>
          <t xml:space="preserve">Chưa</t>
        </is>
      </c>
      <c r="S10" s="2" t="inlineStr">
        <is>
          <t xml:space="preserve">Chưa</t>
        </is>
      </c>
      <c r="T10" s="2" t="inlineStr">
        <is>
          <t xml:space="preserve">Chưa</t>
        </is>
      </c>
      <c r="U10" s="2" t="inlineStr">
        <is>
          <t xml:space="preserve">Chưa</t>
        </is>
      </c>
      <c r="V10" s="2" t="inlineStr">
        <is>
          <t xml:space="preserve">Chưa</t>
        </is>
      </c>
      <c r="W10" s="2" t="inlineStr">
        <is>
          <t xml:space="preserve">Chưa</t>
        </is>
      </c>
      <c r="X10" s="3">
        <f>COUNTIF(Q10:W10,"Xong")/7</f>
        <v>0</v>
      </c>
      <c r="Y10" s="2" t="str">
        <f>IF(AND(AND(INDEX(BE_Tasks!$P$2:$P$53,MATCH("BE-A04",BE_Tasks!$A$2:$A$53,0))="Hoàn thành",INDEX(BE_Tasks!$Z$2:$Z$53,MATCH("BE-A04",BE_Tasks!$A$2:$A$53,0))=""),AND(INDEX(BE_Tasks!$P$2:$P$53,MATCH("BE-A08",BE_Tasks!$A$2:$A$53,0))="Hoàn thành",INDEX(BE_Tasks!$Z$2:$Z$53,MATCH("BE-A08",BE_Tasks!$A$2:$A$53,0))="")),"Đủ điều kiện","Chờ phụ thuộc")</f>
        <v>Chờ phụ thuộc</v>
      </c>
      <c r="Z10" s="2" t="str">
        <f>IF(AND(P10="Hoàn thành",OR(X10&lt;1,Y10&lt;&gt;"Đủ điều kiện",AND(AE10="",AD10=""))),"Thiếu bước / phụ thuộc / bằng chứng","")</f>
        <v/>
      </c>
      <c r="AA10" s="4" t="inlineStr">
        <is>
          <t xml:space="preserve"/>
        </is>
      </c>
      <c r="AB10" s="4" t="inlineStr">
        <is>
          <t xml:space="preserve"/>
        </is>
      </c>
      <c r="AC10" s="4" t="inlineStr">
        <is>
          <t xml:space="preserve"/>
        </is>
      </c>
      <c r="AD10" s="2" t="inlineStr">
        <is>
          <t xml:space="preserve"/>
        </is>
      </c>
      <c r="AE10" s="2" t="inlineStr">
        <is>
          <t xml:space="preserve"/>
        </is>
      </c>
      <c r="AF10" s="2" t="inlineStr">
        <is>
          <t xml:space="preserve"/>
        </is>
      </c>
      <c r="AG10" s="5" t="inlineStr">
        <is>
          <t xml:space="preserve">Mở task</t>
        </is>
      </c>
    </row>
    <row r="11" ht="72" customHeight="1">
      <c r="A11" s="0" t="inlineStr">
        <is>
          <t xml:space="preserve">BE-A10</t>
        </is>
      </c>
      <c r="B11" s="0" t="inlineStr">
        <is>
          <t xml:space="preserve">P4</t>
        </is>
      </c>
      <c r="C11" s="0">
        <v>10</v>
      </c>
      <c r="D11" s="6" t="inlineStr">
        <is>
          <t xml:space="preserve">A</t>
        </is>
      </c>
      <c r="E11" s="0" t="inlineStr">
        <is>
          <t xml:space="preserve">B</t>
        </is>
      </c>
      <c r="F11" s="0" t="inlineStr">
        <is>
          <t xml:space="preserve">Hóa đơn nháp và snapshot giá/người trả</t>
        </is>
      </c>
      <c r="G11" s="0">
        <v>5</v>
      </c>
      <c r="H11" s="0">
        <v>4</v>
      </c>
      <c r="I11" s="0" t="inlineStr">
        <is>
          <t xml:space="preserve">API-145, API-146, API-147, API-148</t>
        </is>
      </c>
      <c r="J11" s="0" t="inlineStr">
        <is>
          <t xml:space="preserve">backend/src/modules/billing/**
backend/tests/billing/**
backend/contracts/billing.*</t>
        </is>
      </c>
      <c r="K11" s="0" t="inlineStr">
        <is>
          <t xml:space="preserve">BE-A04, BE-B03, BE-C02</t>
        </is>
      </c>
      <c r="L11" s="0" t="inlineStr">
        <is>
          <t xml:space="preserve">BE-C07</t>
        </is>
      </c>
      <c r="M11" s="0" t="inlineStr">
        <is>
          <t xml:space="preserve">D12</t>
        </is>
      </c>
      <c r="N11" s="0" t="inlineStr">
        <is>
          <t xml:space="preserve">Unique contract+kỳ chưa hủy; server tính quantity, meter, tiền thuê và giảm trừ bằng decimal.
Snapshot revision, representative/payer và số ACTIVE trong cùng transaction đọc hợp đồng.
Chỉ sửa DRAFT; hợp đồng ACTIVE thật cho E2E được bàn giao khi C07 hoàn thành.</t>
        </is>
      </c>
      <c r="O11" s="0" t="inlineStr">
        <is>
          <t xml:space="preserve">Override=0 giữ 0; người PLANNED không tính dịch vụ theo người; chỉ số cuối&lt;đầu bị chặn.
Đổi đại diện/giá sau lập không đổi snapshot hóa đơn cũ.</t>
        </is>
      </c>
      <c r="P11" s="0" t="inlineStr">
        <is>
          <t xml:space="preserve">Chưa làm</t>
        </is>
      </c>
      <c r="Q11" s="0" t="inlineStr">
        <is>
          <t xml:space="preserve">Chưa</t>
        </is>
      </c>
      <c r="R11" s="0" t="inlineStr">
        <is>
          <t xml:space="preserve">Chưa</t>
        </is>
      </c>
      <c r="S11" s="0" t="inlineStr">
        <is>
          <t xml:space="preserve">Chưa</t>
        </is>
      </c>
      <c r="T11" s="0" t="inlineStr">
        <is>
          <t xml:space="preserve">Chưa</t>
        </is>
      </c>
      <c r="U11" s="0" t="inlineStr">
        <is>
          <t xml:space="preserve">Chưa</t>
        </is>
      </c>
      <c r="V11" s="0" t="inlineStr">
        <is>
          <t xml:space="preserve">Chưa</t>
        </is>
      </c>
      <c r="W11" s="0" t="inlineStr">
        <is>
          <t xml:space="preserve">Chưa</t>
        </is>
      </c>
      <c r="X11" s="3">
        <f>COUNTIF(Q11:W11,"Xong")/7</f>
        <v>0</v>
      </c>
      <c r="Y11" s="0" t="str">
        <f>IF(AND(AND(INDEX(BE_Tasks!$P$2:$P$53,MATCH("BE-A04",BE_Tasks!$A$2:$A$53,0))="Hoàn thành",INDEX(BE_Tasks!$Z$2:$Z$53,MATCH("BE-A04",BE_Tasks!$A$2:$A$53,0))=""),AND(INDEX(BE_Tasks!$P$2:$P$53,MATCH("BE-B03",BE_Tasks!$A$2:$A$53,0))="Hoàn thành",INDEX(BE_Tasks!$Z$2:$Z$53,MATCH("BE-B03",BE_Tasks!$A$2:$A$53,0))=""),AND(INDEX(BE_Tasks!$P$2:$P$53,MATCH("BE-C02",BE_Tasks!$A$2:$A$53,0))="Hoàn thành",INDEX(BE_Tasks!$Z$2:$Z$53,MATCH("BE-C02",BE_Tasks!$A$2:$A$53,0))=""),AND(INDEX(BE_Tasks!$P$2:$P$53,MATCH("BE-C07",BE_Tasks!$A$2:$A$53,0))="Hoàn thành",INDEX(BE_Tasks!$Z$2:$Z$53,MATCH("BE-C07",BE_Tasks!$A$2:$A$53,0))="")),"Đủ điều kiện","Chờ phụ thuộc")</f>
        <v>Chờ phụ thuộc</v>
      </c>
      <c r="Z11" s="0" t="str">
        <f>IF(AND(P11="Hoàn thành",OR(X11&lt;1,Y11&lt;&gt;"Đủ điều kiện",AND(AE11="",AD11=""))),"Thiếu bước / phụ thuộc / bằng chứng","")</f>
        <v/>
      </c>
      <c r="AA11" s="4" t="inlineStr">
        <is>
          <t xml:space="preserve"/>
        </is>
      </c>
      <c r="AB11" s="4" t="inlineStr">
        <is>
          <t xml:space="preserve"/>
        </is>
      </c>
      <c r="AC11" s="4" t="inlineStr">
        <is>
          <t xml:space="preserve"/>
        </is>
      </c>
      <c r="AD11" s="0" t="inlineStr">
        <is>
          <t xml:space="preserve"/>
        </is>
      </c>
      <c r="AE11" s="0" t="inlineStr">
        <is>
          <t xml:space="preserve"/>
        </is>
      </c>
      <c r="AF11" s="0" t="inlineStr">
        <is>
          <t xml:space="preserve"/>
        </is>
      </c>
      <c r="AG11" s="5" t="inlineStr">
        <is>
          <t xml:space="preserve">Mở task</t>
        </is>
      </c>
    </row>
    <row r="12" ht="72" customHeight="1">
      <c r="A12" s="2" t="inlineStr">
        <is>
          <t xml:space="preserve">BE-A11</t>
        </is>
      </c>
      <c r="B12" s="2" t="inlineStr">
        <is>
          <t xml:space="preserve">P4</t>
        </is>
      </c>
      <c r="C12" s="2">
        <v>11</v>
      </c>
      <c r="D12" s="6" t="inlineStr">
        <is>
          <t xml:space="preserve">A</t>
        </is>
      </c>
      <c r="E12" s="2" t="inlineStr">
        <is>
          <t xml:space="preserve">B</t>
        </is>
      </c>
      <c r="F12" s="2" t="inlineStr">
        <is>
          <t xml:space="preserve">Thẻ lịch, chat bạn ghép và chia sẻ đúng tin</t>
        </is>
      </c>
      <c r="G12" s="2">
        <v>5</v>
      </c>
      <c r="H12" s="2">
        <v>3</v>
      </c>
      <c r="I12" s="2" t="inlineStr">
        <is>
          <t xml:space="preserve">API-083, API-084, API-085</t>
        </is>
      </c>
      <c r="J12" s="2" t="inlineStr">
        <is>
          <t xml:space="preserve">backend/src/modules/messaging/**
backend/src/modules/notifications/**
backend/tests/messaging/**
backend/contracts/messaging.*</t>
        </is>
      </c>
      <c r="K12" s="2" t="inlineStr">
        <is>
          <t xml:space="preserve">BE-A08, BE-B04, BE-C02</t>
        </is>
      </c>
      <c r="L12" s="2" t="inlineStr">
        <is>
          <t xml:space="preserve">BE-B13, BE-B09</t>
        </is>
      </c>
      <c r="M12" s="2" t="inlineStr">
        <is>
          <t xml:space="preserve">D03</t>
        </is>
      </c>
      <c r="N12" s="2" t="inlineStr">
        <is>
          <t xml:space="preserve">Timeline lấy viewing/proposal theo conversation có quyền; share giữ đúng postId.
ROOMMATE chỉ mở/gửi khi accepted còn hiệu lực; inactive post trả unavailable không lộ ảnh/tiêu đề.
B13 dùng ensureRoommateConversation đã có ở A08; hai phần không phụ thuộc nhau theo vòng HTTP.</t>
        </is>
      </c>
      <c r="O12" s="2" t="inlineStr">
        <is>
          <t xml:space="preserve">Accept kết nối xong mở cùng conversation; share không tạo join/hold/lịch.
Bài ẩn không tự đổi sang bài khác cùng phòng; chat inquiry và roommate không lẫn thẻ lịch.</t>
        </is>
      </c>
      <c r="P12" s="2" t="inlineStr">
        <is>
          <t xml:space="preserve">Chưa làm</t>
        </is>
      </c>
      <c r="Q12" s="2" t="inlineStr">
        <is>
          <t xml:space="preserve">Chưa</t>
        </is>
      </c>
      <c r="R12" s="2" t="inlineStr">
        <is>
          <t xml:space="preserve">Chưa</t>
        </is>
      </c>
      <c r="S12" s="2" t="inlineStr">
        <is>
          <t xml:space="preserve">Chưa</t>
        </is>
      </c>
      <c r="T12" s="2" t="inlineStr">
        <is>
          <t xml:space="preserve">Chưa</t>
        </is>
      </c>
      <c r="U12" s="2" t="inlineStr">
        <is>
          <t xml:space="preserve">Chưa</t>
        </is>
      </c>
      <c r="V12" s="2" t="inlineStr">
        <is>
          <t xml:space="preserve">Chưa</t>
        </is>
      </c>
      <c r="W12" s="2" t="inlineStr">
        <is>
          <t xml:space="preserve">Chưa</t>
        </is>
      </c>
      <c r="X12" s="3">
        <f>COUNTIF(Q12:W12,"Xong")/7</f>
        <v>0</v>
      </c>
      <c r="Y12" s="2" t="str">
        <f>IF(AND(AND(INDEX(BE_Tasks!$P$2:$P$53,MATCH("BE-A08",BE_Tasks!$A$2:$A$53,0))="Hoàn thành",INDEX(BE_Tasks!$Z$2:$Z$53,MATCH("BE-A08",BE_Tasks!$A$2:$A$53,0))=""),AND(INDEX(BE_Tasks!$P$2:$P$53,MATCH("BE-B04",BE_Tasks!$A$2:$A$53,0))="Hoàn thành",INDEX(BE_Tasks!$Z$2:$Z$53,MATCH("BE-B04",BE_Tasks!$A$2:$A$53,0))=""),AND(INDEX(BE_Tasks!$P$2:$P$53,MATCH("BE-C02",BE_Tasks!$A$2:$A$53,0))="Hoàn thành",INDEX(BE_Tasks!$Z$2:$Z$53,MATCH("BE-C02",BE_Tasks!$A$2:$A$53,0))=""),AND(INDEX(BE_Tasks!$P$2:$P$53,MATCH("BE-B13",BE_Tasks!$A$2:$A$53,0))="Hoàn thành",INDEX(BE_Tasks!$Z$2:$Z$53,MATCH("BE-B13",BE_Tasks!$A$2:$A$53,0))=""),AND(INDEX(BE_Tasks!$P$2:$P$53,MATCH("BE-B09",BE_Tasks!$A$2:$A$53,0))="Hoàn thành",INDEX(BE_Tasks!$Z$2:$Z$53,MATCH("BE-B09",BE_Tasks!$A$2:$A$53,0))="")),"Đủ điều kiện","Chờ phụ thuộc")</f>
        <v>Chờ phụ thuộc</v>
      </c>
      <c r="Z12" s="2" t="str">
        <f>IF(AND(P12="Hoàn thành",OR(X12&lt;1,Y12&lt;&gt;"Đủ điều kiện",AND(AE12="",AD12=""))),"Thiếu bước / phụ thuộc / bằng chứng","")</f>
        <v/>
      </c>
      <c r="AA12" s="4" t="inlineStr">
        <is>
          <t xml:space="preserve"/>
        </is>
      </c>
      <c r="AB12" s="4" t="inlineStr">
        <is>
          <t xml:space="preserve"/>
        </is>
      </c>
      <c r="AC12" s="4" t="inlineStr">
        <is>
          <t xml:space="preserve"/>
        </is>
      </c>
      <c r="AD12" s="2" t="inlineStr">
        <is>
          <t xml:space="preserve"/>
        </is>
      </c>
      <c r="AE12" s="2" t="inlineStr">
        <is>
          <t xml:space="preserve"/>
        </is>
      </c>
      <c r="AF12" s="2" t="inlineStr">
        <is>
          <t xml:space="preserve"/>
        </is>
      </c>
      <c r="AG12" s="5" t="inlineStr">
        <is>
          <t xml:space="preserve">Mở task</t>
        </is>
      </c>
    </row>
    <row r="13" ht="72" customHeight="1">
      <c r="A13" s="0" t="inlineStr">
        <is>
          <t xml:space="preserve">BE-A12</t>
        </is>
      </c>
      <c r="B13" s="0" t="inlineStr">
        <is>
          <t xml:space="preserve">P4</t>
        </is>
      </c>
      <c r="C13" s="0">
        <v>12</v>
      </c>
      <c r="D13" s="6" t="inlineStr">
        <is>
          <t xml:space="preserve">A</t>
        </is>
      </c>
      <c r="E13" s="0" t="inlineStr">
        <is>
          <t xml:space="preserve">B</t>
        </is>
      </c>
      <c r="F13" s="0" t="inlineStr">
        <is>
          <t xml:space="preserve">Quản trị tài khoản và tra cứu audit</t>
        </is>
      </c>
      <c r="G13" s="0">
        <v>5</v>
      </c>
      <c r="H13" s="0">
        <v>6</v>
      </c>
      <c r="I13" s="0" t="inlineStr">
        <is>
          <t xml:space="preserve">API-161, API-162, API-163, API-164, API-168, API-169</t>
        </is>
      </c>
      <c r="J13" s="0" t="inlineStr">
        <is>
          <t xml:space="preserve">backend/src/modules/account-admin/**
backend/src/modules/audit/**
backend/src/modules/admin-dashboard/**
backend/tests/account-admin/**</t>
        </is>
      </c>
      <c r="K13" s="0" t="inlineStr">
        <is>
          <t xml:space="preserve">BE-A03, BE-A04</t>
        </is>
      </c>
      <c r="L13" s="0" t="inlineStr">
        <is>
          <t xml:space="preserve"/>
        </is>
      </c>
      <c r="M13" s="0" t="inlineStr">
        <is>
          <t xml:space="preserve"/>
        </is>
      </c>
      <c r="N13" s="0" t="inlineStr">
        <is>
          <t xml:space="preserve">Lock/unlock có reason, audit và revoke session; không xóa cư trú/nghĩa vụ.
Audit chỉ đọc, lọc đối tượng và che secret/PII khỏi snapshot.
Không sửa source SQL nhà của B để tính quyền; view hiệu lực đã xét trạng thái user.</t>
        </is>
      </c>
      <c r="O13" s="0" t="inlineStr">
        <is>
          <t xml:space="preserve">Tài khoản bị khóa mất quyền trên mọi module qua cùng middleware.
Khóa landlord làm public view mất quyền, nhưng hợp đồng/người ở cũ được giữ.</t>
        </is>
      </c>
      <c r="P13" s="0" t="inlineStr">
        <is>
          <t xml:space="preserve">Chưa làm</t>
        </is>
      </c>
      <c r="Q13" s="0" t="inlineStr">
        <is>
          <t xml:space="preserve">Chưa</t>
        </is>
      </c>
      <c r="R13" s="0" t="inlineStr">
        <is>
          <t xml:space="preserve">Chưa</t>
        </is>
      </c>
      <c r="S13" s="0" t="inlineStr">
        <is>
          <t xml:space="preserve">Chưa</t>
        </is>
      </c>
      <c r="T13" s="0" t="inlineStr">
        <is>
          <t xml:space="preserve">Chưa</t>
        </is>
      </c>
      <c r="U13" s="0" t="inlineStr">
        <is>
          <t xml:space="preserve">Chưa</t>
        </is>
      </c>
      <c r="V13" s="0" t="inlineStr">
        <is>
          <t xml:space="preserve">Chưa</t>
        </is>
      </c>
      <c r="W13" s="0" t="inlineStr">
        <is>
          <t xml:space="preserve">Chưa</t>
        </is>
      </c>
      <c r="X13" s="3">
        <f>COUNTIF(Q13:W13,"Xong")/7</f>
        <v>0</v>
      </c>
      <c r="Y13" s="0" t="str">
        <f>IF(AND(AND(INDEX(BE_Tasks!$P$2:$P$53,MATCH("BE-A03",BE_Tasks!$A$2:$A$53,0))="Hoàn thành",INDEX(BE_Tasks!$Z$2:$Z$53,MATCH("BE-A03",BE_Tasks!$A$2:$A$53,0))=""),AND(INDEX(BE_Tasks!$P$2:$P$53,MATCH("BE-A04",BE_Tasks!$A$2:$A$53,0))="Hoàn thành",INDEX(BE_Tasks!$Z$2:$Z$53,MATCH("BE-A04",BE_Tasks!$A$2:$A$53,0))="")),"Đủ điều kiện","Chờ phụ thuộc")</f>
        <v>Chờ phụ thuộc</v>
      </c>
      <c r="Z13" s="0" t="str">
        <f>IF(AND(P13="Hoàn thành",OR(X13&lt;1,Y13&lt;&gt;"Đủ điều kiện",AND(AE13="",AD13=""))),"Thiếu bước / phụ thuộc / bằng chứng","")</f>
        <v/>
      </c>
      <c r="AA13" s="4" t="inlineStr">
        <is>
          <t xml:space="preserve"/>
        </is>
      </c>
      <c r="AB13" s="4" t="inlineStr">
        <is>
          <t xml:space="preserve"/>
        </is>
      </c>
      <c r="AC13" s="4" t="inlineStr">
        <is>
          <t xml:space="preserve"/>
        </is>
      </c>
      <c r="AD13" s="0" t="inlineStr">
        <is>
          <t xml:space="preserve"/>
        </is>
      </c>
      <c r="AE13" s="0" t="inlineStr">
        <is>
          <t xml:space="preserve"/>
        </is>
      </c>
      <c r="AF13" s="0" t="inlineStr">
        <is>
          <t xml:space="preserve"/>
        </is>
      </c>
      <c r="AG13" s="5" t="inlineStr">
        <is>
          <t xml:space="preserve">Mở task</t>
        </is>
      </c>
    </row>
    <row r="14" ht="72" customHeight="1">
      <c r="A14" s="2" t="inlineStr">
        <is>
          <t xml:space="preserve">BE-A13</t>
        </is>
      </c>
      <c r="B14" s="2" t="inlineStr">
        <is>
          <t xml:space="preserve">P5</t>
        </is>
      </c>
      <c r="C14" s="2">
        <v>13</v>
      </c>
      <c r="D14" s="6" t="inlineStr">
        <is>
          <t xml:space="preserve">A</t>
        </is>
      </c>
      <c r="E14" s="2" t="inlineStr">
        <is>
          <t xml:space="preserve">B</t>
        </is>
      </c>
      <c r="F14" s="2" t="inlineStr">
        <is>
          <t xml:space="preserve">Phát hành, thu đủ, hủy và thay hóa đơn</t>
        </is>
      </c>
      <c r="G14" s="2">
        <v>5</v>
      </c>
      <c r="H14" s="2">
        <v>4</v>
      </c>
      <c r="I14" s="2" t="inlineStr">
        <is>
          <t xml:space="preserve">API-149, API-150, API-151, API-152</t>
        </is>
      </c>
      <c r="J14" s="2" t="inlineStr">
        <is>
          <t xml:space="preserve">backend/src/modules/billing/**
backend/tests/billing/**
backend/contracts/billing.*</t>
        </is>
      </c>
      <c r="K14" s="2" t="inlineStr">
        <is>
          <t xml:space="preserve">BE-A10</t>
        </is>
      </c>
      <c r="L14" s="2" t="inlineStr">
        <is>
          <t xml:space="preserve"/>
        </is>
      </c>
      <c r="M14" s="2" t="inlineStr">
        <is>
          <t xml:space="preserve">D12</t>
        </is>
      </c>
      <c r="N14" s="2" t="inlineStr">
        <is>
          <t xml:space="preserve">Issue DRAFT có dòng tiền → UNPAID; PAID có người ghi nhận/time; hủy chưa thu có lý do.
Replacement giữ cùng contract/kỳ và liên kết bản đã hủy; không sửa lines phát hành.
JOB04 chuyển UNPAID quá due_date VN sang OVERDUE, chạy lặp an toàn; giữ quyền người trả cũ sau bàn giao, không giả có issued_at riêng.</t>
        </is>
      </c>
      <c r="O14" s="2" t="inlineStr">
        <is>
          <t xml:space="preserve">Hai lần thu cùng khóa không tạo thêm thu tiền; PAID/CANCELLED không sửa.
Kỳ mới lấy đại diện hiện tại, kỳ cũ vẫn đúng payer.</t>
        </is>
      </c>
      <c r="P14" s="2" t="inlineStr">
        <is>
          <t xml:space="preserve">Chưa làm</t>
        </is>
      </c>
      <c r="Q14" s="2" t="inlineStr">
        <is>
          <t xml:space="preserve">Chưa</t>
        </is>
      </c>
      <c r="R14" s="2" t="inlineStr">
        <is>
          <t xml:space="preserve">Chưa</t>
        </is>
      </c>
      <c r="S14" s="2" t="inlineStr">
        <is>
          <t xml:space="preserve">Chưa</t>
        </is>
      </c>
      <c r="T14" s="2" t="inlineStr">
        <is>
          <t xml:space="preserve">Chưa</t>
        </is>
      </c>
      <c r="U14" s="2" t="inlineStr">
        <is>
          <t xml:space="preserve">Chưa</t>
        </is>
      </c>
      <c r="V14" s="2" t="inlineStr">
        <is>
          <t xml:space="preserve">Chưa</t>
        </is>
      </c>
      <c r="W14" s="2" t="inlineStr">
        <is>
          <t xml:space="preserve">Chưa</t>
        </is>
      </c>
      <c r="X14" s="3">
        <f>COUNTIF(Q14:W14,"Xong")/7</f>
        <v>0</v>
      </c>
      <c r="Y14" s="2" t="str">
        <f>IF(AND(AND(INDEX(BE_Tasks!$P$2:$P$53,MATCH("BE-A10",BE_Tasks!$A$2:$A$53,0))="Hoàn thành",INDEX(BE_Tasks!$Z$2:$Z$53,MATCH("BE-A10",BE_Tasks!$A$2:$A$53,0))="")),"Đủ điều kiện","Chờ phụ thuộc")</f>
        <v>Chờ phụ thuộc</v>
      </c>
      <c r="Z14" s="2" t="str">
        <f>IF(AND(P14="Hoàn thành",OR(X14&lt;1,Y14&lt;&gt;"Đủ điều kiện",AND(AE14="",AD14=""))),"Thiếu bước / phụ thuộc / bằng chứng","")</f>
        <v/>
      </c>
      <c r="AA14" s="4" t="inlineStr">
        <is>
          <t xml:space="preserve"/>
        </is>
      </c>
      <c r="AB14" s="4" t="inlineStr">
        <is>
          <t xml:space="preserve"/>
        </is>
      </c>
      <c r="AC14" s="4" t="inlineStr">
        <is>
          <t xml:space="preserve"/>
        </is>
      </c>
      <c r="AD14" s="2" t="inlineStr">
        <is>
          <t xml:space="preserve"/>
        </is>
      </c>
      <c r="AE14" s="2" t="inlineStr">
        <is>
          <t xml:space="preserve"/>
        </is>
      </c>
      <c r="AF14" s="2" t="inlineStr">
        <is>
          <t xml:space="preserve"/>
        </is>
      </c>
      <c r="AG14" s="5" t="inlineStr">
        <is>
          <t xml:space="preserve">Mở task</t>
        </is>
      </c>
    </row>
    <row r="15" ht="72" customHeight="1">
      <c r="A15" s="0" t="inlineStr">
        <is>
          <t xml:space="preserve">BE-A14</t>
        </is>
      </c>
      <c r="B15" s="0" t="inlineStr">
        <is>
          <t xml:space="preserve">P5</t>
        </is>
      </c>
      <c r="C15" s="0">
        <v>14</v>
      </c>
      <c r="D15" s="6" t="inlineStr">
        <is>
          <t xml:space="preserve">A</t>
        </is>
      </c>
      <c r="E15" s="0" t="inlineStr">
        <is>
          <t xml:space="preserve">B</t>
        </is>
      </c>
      <c r="F15" s="0" t="inlineStr">
        <is>
          <t xml:space="preserve">SSE có xác thực và nối lại sự kiện</t>
        </is>
      </c>
      <c r="G15" s="0">
        <v>5</v>
      </c>
      <c r="H15" s="0">
        <v>1</v>
      </c>
      <c r="I15" s="0" t="inlineStr">
        <is>
          <t xml:space="preserve">API-090</t>
        </is>
      </c>
      <c r="J15" s="0" t="inlineStr">
        <is>
          <t xml:space="preserve">backend/src/modules/messaging/**
backend/src/modules/notifications/**
backend/tests/messaging/**
backend/contracts/messaging.*</t>
        </is>
      </c>
      <c r="K15" s="0" t="inlineStr">
        <is>
          <t xml:space="preserve">BE-A04, BE-A09</t>
        </is>
      </c>
      <c r="L15" s="0" t="inlineStr">
        <is>
          <t xml:space="preserve"/>
        </is>
      </c>
      <c r="M15" s="0" t="inlineStr">
        <is>
          <t xml:space="preserve">D09</t>
        </is>
      </c>
      <c r="N15" s="0" t="inlineStr">
        <is>
          <t xml:space="preserve">Auth phiên, Last-Event-ID, replay trong cửa sổ lưu, recipient scope và dedupe eventId.
Phát sau commit; reconnect không coi popup đã đóng là đã đọc.
Tải trọng tối thiểu rồi client fetch resource; kiểm tra session revoked khi stream còn mở.</t>
        </is>
      </c>
      <c r="O15" s="0" t="inlineStr">
        <is>
          <t xml:space="preserve">Mất kết nối/retry không mất nguồn dữ liệu gốc và không lộ sự kiện người khác.
Crash/delivery lặp vẫn cho client dedupe và đọc lại feed.</t>
        </is>
      </c>
      <c r="P15" s="0" t="inlineStr">
        <is>
          <t xml:space="preserve">Chưa làm</t>
        </is>
      </c>
      <c r="Q15" s="0" t="inlineStr">
        <is>
          <t xml:space="preserve">Chưa</t>
        </is>
      </c>
      <c r="R15" s="0" t="inlineStr">
        <is>
          <t xml:space="preserve">Chưa</t>
        </is>
      </c>
      <c r="S15" s="0" t="inlineStr">
        <is>
          <t xml:space="preserve">Chưa</t>
        </is>
      </c>
      <c r="T15" s="0" t="inlineStr">
        <is>
          <t xml:space="preserve">Chưa</t>
        </is>
      </c>
      <c r="U15" s="0" t="inlineStr">
        <is>
          <t xml:space="preserve">Chưa</t>
        </is>
      </c>
      <c r="V15" s="0" t="inlineStr">
        <is>
          <t xml:space="preserve">Chưa</t>
        </is>
      </c>
      <c r="W15" s="0" t="inlineStr">
        <is>
          <t xml:space="preserve">Chưa</t>
        </is>
      </c>
      <c r="X15" s="3">
        <f>COUNTIF(Q15:W15,"Xong")/7</f>
        <v>0</v>
      </c>
      <c r="Y15" s="0" t="str">
        <f>IF(AND(AND(INDEX(BE_Tasks!$P$2:$P$53,MATCH("BE-A04",BE_Tasks!$A$2:$A$53,0))="Hoàn thành",INDEX(BE_Tasks!$Z$2:$Z$53,MATCH("BE-A04",BE_Tasks!$A$2:$A$53,0))=""),AND(INDEX(BE_Tasks!$P$2:$P$53,MATCH("BE-A09",BE_Tasks!$A$2:$A$53,0))="Hoàn thành",INDEX(BE_Tasks!$Z$2:$Z$53,MATCH("BE-A09",BE_Tasks!$A$2:$A$53,0))="")),"Đủ điều kiện","Chờ phụ thuộc")</f>
        <v>Chờ phụ thuộc</v>
      </c>
      <c r="Z15" s="0" t="str">
        <f>IF(AND(P15="Hoàn thành",OR(X15&lt;1,Y15&lt;&gt;"Đủ điều kiện",AND(AE15="",AD15=""))),"Thiếu bước / phụ thuộc / bằng chứng","")</f>
        <v/>
      </c>
      <c r="AA15" s="4" t="inlineStr">
        <is>
          <t xml:space="preserve"/>
        </is>
      </c>
      <c r="AB15" s="4" t="inlineStr">
        <is>
          <t xml:space="preserve"/>
        </is>
      </c>
      <c r="AC15" s="4" t="inlineStr">
        <is>
          <t xml:space="preserve"/>
        </is>
      </c>
      <c r="AD15" s="0" t="inlineStr">
        <is>
          <t xml:space="preserve"/>
        </is>
      </c>
      <c r="AE15" s="0" t="inlineStr">
        <is>
          <t xml:space="preserve"/>
        </is>
      </c>
      <c r="AF15" s="0" t="inlineStr">
        <is>
          <t xml:space="preserve"/>
        </is>
      </c>
      <c r="AG15" s="5" t="inlineStr">
        <is>
          <t xml:space="preserve">Mở task</t>
        </is>
      </c>
    </row>
    <row r="16" ht="72" customHeight="1">
      <c r="A16" s="2" t="inlineStr">
        <is>
          <t xml:space="preserve">BE-A15</t>
        </is>
      </c>
      <c r="B16" s="2" t="inlineStr">
        <is>
          <t xml:space="preserve">P6</t>
        </is>
      </c>
      <c r="C16" s="2">
        <v>15</v>
      </c>
      <c r="D16" s="6" t="inlineStr">
        <is>
          <t xml:space="preserve">A</t>
        </is>
      </c>
      <c r="E16" s="2" t="inlineStr">
        <is>
          <t xml:space="preserve">B</t>
        </is>
      </c>
      <c r="F16" s="2" t="inlineStr">
        <is>
          <t xml:space="preserve">Retention, audit mở rộng và dashboard quản trị</t>
        </is>
      </c>
      <c r="G16" s="2">
        <v>3</v>
      </c>
      <c r="H16" s="2">
        <v>1</v>
      </c>
      <c r="I16" s="2" t="inlineStr">
        <is>
          <t xml:space="preserve">API-176</t>
        </is>
      </c>
      <c r="J16" s="2" t="inlineStr">
        <is>
          <t xml:space="preserve">backend/src/core/**
backend/contracts/core.*
backend/tests/fixtures/A/**
backend/tests/contracts/A/**
backend/tests/e2e/platform-*/**
backend/bootstrap.*
backend/package*
backend/lockfile
.github/workflows/backend-*
backend/src/modules/account-admin/**
backend/src/modules/audit/**
backend/src/modules/admin-dashboard/**
backend/tests/account-admin/**
database/schema.sql
database/migrations/*
scripts/build-database.cjs
backend/tests/e2e/release/**</t>
        </is>
      </c>
      <c r="K16" s="2" t="inlineStr">
        <is>
          <t xml:space="preserve">BE-A05, BE-A12, BE-A14</t>
        </is>
      </c>
      <c r="L16" s="2" t="inlineStr">
        <is>
          <t xml:space="preserve">BE-B14</t>
        </is>
      </c>
      <c r="M16" s="2" t="inlineStr">
        <is>
          <t xml:space="preserve">D04, D05, D14</t>
        </is>
      </c>
      <c r="N16" s="2" t="inlineStr">
        <is>
          <t xml:space="preserve">D14 có migration/adapters và contract target mới trước B16; không gán nhầm review thành post.
JOB05 dọn đúng scope/hạn lưu, tệp bị giữ làm chứng cứ được bảo toàn.
Admin dashboard đếm riêng account identity/house proof/posts/reports; flags email/push chỉ bật khi provider được chốt.</t>
        </is>
      </c>
      <c r="O16" s="2" t="inlineStr">
        <is>
          <t xml:space="preserve">Job lặp an toàn, không xóa bằng chứng đang tham chiếu.
Dashboard không công khai PII; số liệu có asOf và nguồn từng module.</t>
        </is>
      </c>
      <c r="P16" s="2" t="inlineStr">
        <is>
          <t xml:space="preserve">Chưa làm</t>
        </is>
      </c>
      <c r="Q16" s="2" t="inlineStr">
        <is>
          <t xml:space="preserve">Chưa</t>
        </is>
      </c>
      <c r="R16" s="2" t="inlineStr">
        <is>
          <t xml:space="preserve">Chưa</t>
        </is>
      </c>
      <c r="S16" s="2" t="inlineStr">
        <is>
          <t xml:space="preserve">Chưa</t>
        </is>
      </c>
      <c r="T16" s="2" t="inlineStr">
        <is>
          <t xml:space="preserve">Chưa</t>
        </is>
      </c>
      <c r="U16" s="2" t="inlineStr">
        <is>
          <t xml:space="preserve">Chưa</t>
        </is>
      </c>
      <c r="V16" s="2" t="inlineStr">
        <is>
          <t xml:space="preserve">Chưa</t>
        </is>
      </c>
      <c r="W16" s="2" t="inlineStr">
        <is>
          <t xml:space="preserve">Chưa</t>
        </is>
      </c>
      <c r="X16" s="3">
        <f>COUNTIF(Q16:W16,"Xong")/7</f>
        <v>0</v>
      </c>
      <c r="Y16" s="2" t="str">
        <f>IF(AND(AND(INDEX(BE_Tasks!$P$2:$P$53,MATCH("BE-A05",BE_Tasks!$A$2:$A$53,0))="Hoàn thành",INDEX(BE_Tasks!$Z$2:$Z$53,MATCH("BE-A05",BE_Tasks!$A$2:$A$53,0))=""),AND(INDEX(BE_Tasks!$P$2:$P$53,MATCH("BE-A12",BE_Tasks!$A$2:$A$53,0))="Hoàn thành",INDEX(BE_Tasks!$Z$2:$Z$53,MATCH("BE-A12",BE_Tasks!$A$2:$A$53,0))=""),AND(INDEX(BE_Tasks!$P$2:$P$53,MATCH("BE-A14",BE_Tasks!$A$2:$A$53,0))="Hoàn thành",INDEX(BE_Tasks!$Z$2:$Z$53,MATCH("BE-A14",BE_Tasks!$A$2:$A$53,0))=""),AND(INDEX(BE_Tasks!$P$2:$P$53,MATCH("BE-B14",BE_Tasks!$A$2:$A$53,0))="Hoàn thành",INDEX(BE_Tasks!$Z$2:$Z$53,MATCH("BE-B14",BE_Tasks!$A$2:$A$53,0))="")),"Đủ điều kiện","Chờ phụ thuộc")</f>
        <v>Chờ phụ thuộc</v>
      </c>
      <c r="Z16" s="2" t="str">
        <f>IF(AND(P16="Hoàn thành",OR(X16&lt;1,Y16&lt;&gt;"Đủ điều kiện",AND(AE16="",AD16=""))),"Thiếu bước / phụ thuộc / bằng chứng","")</f>
        <v/>
      </c>
      <c r="AA16" s="4" t="inlineStr">
        <is>
          <t xml:space="preserve"/>
        </is>
      </c>
      <c r="AB16" s="4" t="inlineStr">
        <is>
          <t xml:space="preserve"/>
        </is>
      </c>
      <c r="AC16" s="4" t="inlineStr">
        <is>
          <t xml:space="preserve"/>
        </is>
      </c>
      <c r="AD16" s="2" t="inlineStr">
        <is>
          <t xml:space="preserve"/>
        </is>
      </c>
      <c r="AE16" s="2" t="inlineStr">
        <is>
          <t xml:space="preserve"/>
        </is>
      </c>
      <c r="AF16" s="2" t="inlineStr">
        <is>
          <t xml:space="preserve"/>
        </is>
      </c>
      <c r="AG16" s="5" t="inlineStr">
        <is>
          <t xml:space="preserve">Mở task</t>
        </is>
      </c>
    </row>
    <row r="17" ht="72" customHeight="1">
      <c r="A17" s="0" t="inlineStr">
        <is>
          <t xml:space="preserve">BE-A16</t>
        </is>
      </c>
      <c r="B17" s="0" t="inlineStr">
        <is>
          <t xml:space="preserve">P7</t>
        </is>
      </c>
      <c r="C17" s="0">
        <v>16</v>
      </c>
      <c r="D17" s="6" t="inlineStr">
        <is>
          <t xml:space="preserve">A</t>
        </is>
      </c>
      <c r="E17" s="0" t="inlineStr">
        <is>
          <t xml:space="preserve">B</t>
        </is>
      </c>
      <c r="F17" s="0" t="inlineStr">
        <is>
          <t xml:space="preserve">Kiểm thử bảo mật, hóa đơn và lỗi hạ tầng</t>
        </is>
      </c>
      <c r="G17" s="0">
        <v>5</v>
      </c>
      <c r="H17" s="0">
        <v>0</v>
      </c>
      <c r="I17" s="0" t="inlineStr">
        <is>
          <t xml:space="preserve"/>
        </is>
      </c>
      <c r="J17" s="0" t="inlineStr">
        <is>
          <t xml:space="preserve">backend/src/core/**
backend/contracts/core.*
backend/tests/fixtures/A/**
backend/tests/contracts/A/**
backend/tests/e2e/platform-*/**
backend/bootstrap.*
backend/package*
backend/lockfile
.github/workflows/backend-*
backend/src/modules/billing/**
backend/tests/billing/**
backend/contracts/billing.*
backend/src/modules/messaging/**
backend/src/modules/notifications/**
backend/tests/messaging/**
backend/contracts/messaging.*</t>
        </is>
      </c>
      <c r="K17" s="0" t="inlineStr">
        <is>
          <t xml:space="preserve">BE-A15</t>
        </is>
      </c>
      <c r="L17" s="0" t="inlineStr">
        <is>
          <t xml:space="preserve"/>
        </is>
      </c>
      <c r="M17" s="0" t="inlineStr">
        <is>
          <t xml:space="preserve"/>
        </is>
      </c>
      <c r="N17" s="0" t="inlineStr">
        <is>
          <t xml:space="preserve">Test scope chéo ID, nhiều vai trò, revoke/LOCKED, OTP và tài liệu riêng.
Test idempotency sau commit/timeout, outbox/SSE reconnect và invoice snapshot.
Ghi bằng chứng chạy CI, migration mới và cách rollback/retry về mặt vận hành.</t>
        </is>
      </c>
      <c r="O17" s="0" t="inlineStr">
        <is>
          <t xml:space="preserve">QA10/11/12/15/16 đạt trên DB tạm và storage test.
Không dùng localStorage wireframe làm bằng chứng backend đã chạy.</t>
        </is>
      </c>
      <c r="P17" s="0" t="inlineStr">
        <is>
          <t xml:space="preserve">Chưa làm</t>
        </is>
      </c>
      <c r="Q17" s="0" t="inlineStr">
        <is>
          <t xml:space="preserve">Chưa</t>
        </is>
      </c>
      <c r="R17" s="0" t="inlineStr">
        <is>
          <t xml:space="preserve">Chưa</t>
        </is>
      </c>
      <c r="S17" s="0" t="inlineStr">
        <is>
          <t xml:space="preserve">Chưa</t>
        </is>
      </c>
      <c r="T17" s="0" t="inlineStr">
        <is>
          <t xml:space="preserve">Chưa</t>
        </is>
      </c>
      <c r="U17" s="0" t="inlineStr">
        <is>
          <t xml:space="preserve">Chưa</t>
        </is>
      </c>
      <c r="V17" s="0" t="inlineStr">
        <is>
          <t xml:space="preserve">Chưa</t>
        </is>
      </c>
      <c r="W17" s="0" t="inlineStr">
        <is>
          <t xml:space="preserve">Chưa</t>
        </is>
      </c>
      <c r="X17" s="3">
        <f>COUNTIF(Q17:W17,"Xong")/7</f>
        <v>0</v>
      </c>
      <c r="Y17" s="0" t="str">
        <f>IF(AND(AND(INDEX(BE_Tasks!$P$2:$P$53,MATCH("BE-A15",BE_Tasks!$A$2:$A$53,0))="Hoàn thành",INDEX(BE_Tasks!$Z$2:$Z$53,MATCH("BE-A15",BE_Tasks!$A$2:$A$53,0))="")),"Đủ điều kiện","Chờ phụ thuộc")</f>
        <v>Chờ phụ thuộc</v>
      </c>
      <c r="Z17" s="0" t="str">
        <f>IF(AND(P17="Hoàn thành",OR(X17&lt;1,Y17&lt;&gt;"Đủ điều kiện",AND(AE17="",AD17=""))),"Thiếu bước / phụ thuộc / bằng chứng","")</f>
        <v/>
      </c>
      <c r="AA17" s="4" t="inlineStr">
        <is>
          <t xml:space="preserve"/>
        </is>
      </c>
      <c r="AB17" s="4" t="inlineStr">
        <is>
          <t xml:space="preserve"/>
        </is>
      </c>
      <c r="AC17" s="4" t="inlineStr">
        <is>
          <t xml:space="preserve"/>
        </is>
      </c>
      <c r="AD17" s="0" t="inlineStr">
        <is>
          <t xml:space="preserve"/>
        </is>
      </c>
      <c r="AE17" s="0" t="inlineStr">
        <is>
          <t xml:space="preserve"/>
        </is>
      </c>
      <c r="AF17" s="0" t="inlineStr">
        <is>
          <t xml:space="preserve"/>
        </is>
      </c>
      <c r="AG17" s="5" t="inlineStr">
        <is>
          <t xml:space="preserve">Mở task</t>
        </is>
      </c>
    </row>
    <row r="18" ht="72" customHeight="1">
      <c r="A18" s="2" t="inlineStr">
        <is>
          <t xml:space="preserve">BE-A17</t>
        </is>
      </c>
      <c r="B18" s="2" t="inlineStr">
        <is>
          <t xml:space="preserve">P7</t>
        </is>
      </c>
      <c r="C18" s="2">
        <v>17</v>
      </c>
      <c r="D18" s="6" t="inlineStr">
        <is>
          <t xml:space="preserve">A</t>
        </is>
      </c>
      <c r="E18" s="2" t="inlineStr">
        <is>
          <t xml:space="preserve">B</t>
        </is>
      </c>
      <c r="F18" s="2" t="inlineStr">
        <is>
          <t xml:space="preserve">Tích hợp bản bàn giao Backend</t>
        </is>
      </c>
      <c r="G18" s="2">
        <v>3</v>
      </c>
      <c r="H18" s="2">
        <v>0</v>
      </c>
      <c r="I18" s="2" t="inlineStr">
        <is>
          <t xml:space="preserve"/>
        </is>
      </c>
      <c r="J18" s="2" t="inlineStr">
        <is>
          <t xml:space="preserve">database/schema.sql
database/migrations/*
scripts/build-database.cjs
backend/tests/e2e/release/**</t>
        </is>
      </c>
      <c r="K18" s="2" t="inlineStr">
        <is>
          <t xml:space="preserve">BE-A16, BE-B19, BE-C16</t>
        </is>
      </c>
      <c r="L18" s="2" t="inlineStr">
        <is>
          <t xml:space="preserve"/>
        </is>
      </c>
      <c r="M18" s="2" t="inlineStr">
        <is>
          <t xml:space="preserve"/>
        </is>
      </c>
      <c r="N18" s="2" t="inlineStr">
        <is>
          <t xml:space="preserve">Tái sinh schema từ toàn bộ source, chốt thứ tự migration; test tạo mới/nâng cấp trên DB tạm.
Đối chiếu 176 API có đúng một task/module owner, gom collection/API docs và hướng dẫn chạy.
Xác nhận toàn bộ gate; ghi các quyết định ngoài phạm vi còn hoãn, không gọi backend hoàn tất nếu endpoint tương ứng chưa đạt.</t>
        </is>
      </c>
      <c r="O18" s="2" t="inlineStr">
        <is>
          <t xml:space="preserve">Feature CI, DB check, contract tests và E2E ba lane đều xanh.
Không ai sửa tay schema sinh ra; không deploy hoặc áp dụng migration DB thật trong task tài liệu này.</t>
        </is>
      </c>
      <c r="P18" s="2" t="inlineStr">
        <is>
          <t xml:space="preserve">Chưa làm</t>
        </is>
      </c>
      <c r="Q18" s="2" t="inlineStr">
        <is>
          <t xml:space="preserve">Chưa</t>
        </is>
      </c>
      <c r="R18" s="2" t="inlineStr">
        <is>
          <t xml:space="preserve">Chưa</t>
        </is>
      </c>
      <c r="S18" s="2" t="inlineStr">
        <is>
          <t xml:space="preserve">Chưa</t>
        </is>
      </c>
      <c r="T18" s="2" t="inlineStr">
        <is>
          <t xml:space="preserve">Chưa</t>
        </is>
      </c>
      <c r="U18" s="2" t="inlineStr">
        <is>
          <t xml:space="preserve">Chưa</t>
        </is>
      </c>
      <c r="V18" s="2" t="inlineStr">
        <is>
          <t xml:space="preserve">Chưa</t>
        </is>
      </c>
      <c r="W18" s="2" t="inlineStr">
        <is>
          <t xml:space="preserve">Chưa</t>
        </is>
      </c>
      <c r="X18" s="3">
        <f>COUNTIF(Q18:W18,"Xong")/7</f>
        <v>0</v>
      </c>
      <c r="Y18" s="2" t="str">
        <f>IF(AND(AND(INDEX(BE_Tasks!$P$2:$P$53,MATCH("BE-A16",BE_Tasks!$A$2:$A$53,0))="Hoàn thành",INDEX(BE_Tasks!$Z$2:$Z$53,MATCH("BE-A16",BE_Tasks!$A$2:$A$53,0))=""),AND(INDEX(BE_Tasks!$P$2:$P$53,MATCH("BE-B19",BE_Tasks!$A$2:$A$53,0))="Hoàn thành",INDEX(BE_Tasks!$Z$2:$Z$53,MATCH("BE-B19",BE_Tasks!$A$2:$A$53,0))=""),AND(INDEX(BE_Tasks!$P$2:$P$53,MATCH("BE-C16",BE_Tasks!$A$2:$A$53,0))="Hoàn thành",INDEX(BE_Tasks!$Z$2:$Z$53,MATCH("BE-C16",BE_Tasks!$A$2:$A$53,0))="")),"Đủ điều kiện","Chờ phụ thuộc")</f>
        <v>Chờ phụ thuộc</v>
      </c>
      <c r="Z18" s="2" t="str">
        <f>IF(AND(P18="Hoàn thành",OR(X18&lt;1,Y18&lt;&gt;"Đủ điều kiện",AND(AE18="",AD18=""))),"Thiếu bước / phụ thuộc / bằng chứng","")</f>
        <v/>
      </c>
      <c r="AA18" s="4" t="inlineStr">
        <is>
          <t xml:space="preserve"/>
        </is>
      </c>
      <c r="AB18" s="4" t="inlineStr">
        <is>
          <t xml:space="preserve"/>
        </is>
      </c>
      <c r="AC18" s="4" t="inlineStr">
        <is>
          <t xml:space="preserve"/>
        </is>
      </c>
      <c r="AD18" s="2" t="inlineStr">
        <is>
          <t xml:space="preserve"/>
        </is>
      </c>
      <c r="AE18" s="2" t="inlineStr">
        <is>
          <t xml:space="preserve"/>
        </is>
      </c>
      <c r="AF18" s="2" t="inlineStr">
        <is>
          <t xml:space="preserve"/>
        </is>
      </c>
      <c r="AG18" s="5" t="inlineStr">
        <is>
          <t xml:space="preserve">Mở task</t>
        </is>
      </c>
    </row>
    <row r="19" ht="72" customHeight="1">
      <c r="A19" s="0" t="inlineStr">
        <is>
          <t xml:space="preserve">BE-B01</t>
        </is>
      </c>
      <c r="B19" s="0" t="inlineStr">
        <is>
          <t xml:space="preserve">P0</t>
        </is>
      </c>
      <c r="C19" s="0">
        <v>1</v>
      </c>
      <c r="D19" s="7" t="inlineStr">
        <is>
          <t xml:space="preserve">B</t>
        </is>
      </c>
      <c r="E19" s="0" t="inlineStr">
        <is>
          <t xml:space="preserve">C</t>
        </is>
      </c>
      <c r="F19" s="0" t="inlineStr">
        <is>
          <t xml:space="preserve">Chốt module nhà/tin/lịch và dữ liệu bàn giao</t>
        </is>
      </c>
      <c r="G19" s="0">
        <v>3</v>
      </c>
      <c r="H19" s="0">
        <v>0</v>
      </c>
      <c r="I19" s="0" t="inlineStr">
        <is>
          <t xml:space="preserve"/>
        </is>
      </c>
      <c r="J19" s="0" t="inlineStr">
        <is>
          <t xml:space="preserve">backend/src/modules/properties/**
backend/src/modules/house-rights/**
backend/tests/properties/**
backend/tests/fixtures/B/**
backend/tests/contracts/B/**
backend/tests/e2e/property-*/**
backend/contracts/properties.*
backend/src/modules/posts/**
backend/tests/posts/**
backend/contracts/posts.*
backend/src/modules/services/**
backend/tests/services/**
backend/contracts/services.*
backend/src/modules/viewings/**
backend/tests/viewings/**
backend/tests/e2e/viewing-contract/**
backend/contracts/viewings.*
backend/src/modules/roommates/**
backend/tests/roommates/**
backend/contracts/roommates.*</t>
        </is>
      </c>
      <c r="K19" s="0" t="inlineStr">
        <is>
          <t xml:space="preserve"/>
        </is>
      </c>
      <c r="L19" s="0" t="inlineStr">
        <is>
          <t xml:space="preserve"/>
        </is>
      </c>
      <c r="M19" s="0" t="inlineStr">
        <is>
          <t xml:space="preserve">D02, D07, D08, D13</t>
        </is>
      </c>
      <c r="N19" s="0" t="inlineStr">
        <is>
          <t xml:space="preserve">Phân biệt postId/roomId, quyền nhà, capacity load, quote service và trạng thái kết nối.
Tạo fixture trong backend/tests/fixtures/B/**; không sửa seed chung của A/C.
Chốt cổng IF-ROOM/IF-SERVICE/IF-CONNECTION với A02/C01; các loại payload không đổi âm thầm.</t>
        </is>
      </c>
      <c r="O19" s="0" t="inlineStr">
        <is>
          <t xml:space="preserve">Consumer có thể chạy contract test với fixture chưa cần endpoint thật.
D02/D07/D08/D13 được ghi rõ người đề xuất/người chốt và route bị ảnh hưởng.</t>
        </is>
      </c>
      <c r="P19" s="0" t="inlineStr">
        <is>
          <t xml:space="preserve">Chưa làm</t>
        </is>
      </c>
      <c r="Q19" s="0" t="inlineStr">
        <is>
          <t xml:space="preserve">Chưa</t>
        </is>
      </c>
      <c r="R19" s="0" t="inlineStr">
        <is>
          <t xml:space="preserve">Chưa</t>
        </is>
      </c>
      <c r="S19" s="0" t="inlineStr">
        <is>
          <t xml:space="preserve">Chưa</t>
        </is>
      </c>
      <c r="T19" s="0" t="inlineStr">
        <is>
          <t xml:space="preserve">Chưa</t>
        </is>
      </c>
      <c r="U19" s="0" t="inlineStr">
        <is>
          <t xml:space="preserve">Chưa</t>
        </is>
      </c>
      <c r="V19" s="0" t="inlineStr">
        <is>
          <t xml:space="preserve">Chưa</t>
        </is>
      </c>
      <c r="W19" s="0" t="inlineStr">
        <is>
          <t xml:space="preserve">Chưa</t>
        </is>
      </c>
      <c r="X19" s="3">
        <f>COUNTIF(Q19:W19,"Xong")/7</f>
        <v>0</v>
      </c>
      <c r="Y19" s="0" t="str">
        <f>IF(TRUE,"Đủ điều kiện","Chờ phụ thuộc")</f>
        <v>Đủ điều kiện</v>
      </c>
      <c r="Z19" s="0" t="str">
        <f>IF(AND(P19="Hoàn thành",OR(X19&lt;1,Y19&lt;&gt;"Đủ điều kiện",AND(AE19="",AD19=""))),"Thiếu bước / phụ thuộc / bằng chứng","")</f>
        <v/>
      </c>
      <c r="AA19" s="4" t="inlineStr">
        <is>
          <t xml:space="preserve"/>
        </is>
      </c>
      <c r="AB19" s="4" t="inlineStr">
        <is>
          <t xml:space="preserve"/>
        </is>
      </c>
      <c r="AC19" s="4" t="inlineStr">
        <is>
          <t xml:space="preserve"/>
        </is>
      </c>
      <c r="AD19" s="0" t="inlineStr">
        <is>
          <t xml:space="preserve"/>
        </is>
      </c>
      <c r="AE19" s="0" t="inlineStr">
        <is>
          <t xml:space="preserve"/>
        </is>
      </c>
      <c r="AF19" s="0" t="inlineStr">
        <is>
          <t xml:space="preserve"/>
        </is>
      </c>
      <c r="AG19" s="5" t="inlineStr">
        <is>
          <t xml:space="preserve">Mở task</t>
        </is>
      </c>
    </row>
    <row r="20" ht="72" customHeight="1">
      <c r="A20" s="2" t="inlineStr">
        <is>
          <t xml:space="preserve">BE-B02</t>
        </is>
      </c>
      <c r="B20" s="2" t="inlineStr">
        <is>
          <t xml:space="preserve">P1</t>
        </is>
      </c>
      <c r="C20" s="2">
        <v>2</v>
      </c>
      <c r="D20" s="7" t="inlineStr">
        <is>
          <t xml:space="preserve">B</t>
        </is>
      </c>
      <c r="E20" s="2" t="inlineStr">
        <is>
          <t xml:space="preserve">C</t>
        </is>
      </c>
      <c r="F20" s="2" t="inlineStr">
        <is>
          <t xml:space="preserve">Nhà/phòng CRUD và sức chứa</t>
        </is>
      </c>
      <c r="G20" s="2">
        <v>8</v>
      </c>
      <c r="H20" s="2">
        <v>8</v>
      </c>
      <c r="I20" s="2" t="inlineStr">
        <is>
          <t xml:space="preserve">API-029, API-030, API-031, API-032, API-042, API-043, API-044, API-045</t>
        </is>
      </c>
      <c r="J20" s="2" t="inlineStr">
        <is>
          <t xml:space="preserve">backend/src/modules/properties/**
backend/src/modules/house-rights/**
backend/tests/properties/**
backend/tests/fixtures/B/**
backend/tests/contracts/B/**
backend/tests/e2e/property-*/**
backend/contracts/properties.*</t>
        </is>
      </c>
      <c r="K20" s="2" t="inlineStr">
        <is>
          <t xml:space="preserve">BE-A02, BE-B01</t>
        </is>
      </c>
      <c r="L20" s="2" t="inlineStr">
        <is>
          <t xml:space="preserve">BE-A03</t>
        </is>
      </c>
      <c r="M20" s="2" t="inlineStr">
        <is>
          <t xml:space="preserve"/>
        </is>
      </c>
      <c r="N20" s="2" t="inlineStr">
        <is>
          <t xml:space="preserve">Nhà create idempotency, update row_version/verification_version đúng procedure.
Mã phòng duy nhất/nhà; giá và diện tích hợp lệ, status suy từ người/hợp đồng.
Capacity gọi sp_set_room_capacity; procedure nằm workflows.sql của C, cần đổi thì gửi C patch request.</t>
        </is>
      </c>
      <c r="O20" s="2" t="inlineStr">
        <is>
          <t xml:space="preserve">Không đặt phòng có ACTIVE thành AVAILABLE; không giảm dưới ACTIVE+PLANNED mở+hold còn hạn.
Dùng auth middleware A khi tích hợp, không hardcode user Quân/demo.</t>
        </is>
      </c>
      <c r="P20" s="2" t="inlineStr">
        <is>
          <t xml:space="preserve">Chưa làm</t>
        </is>
      </c>
      <c r="Q20" s="2" t="inlineStr">
        <is>
          <t xml:space="preserve">Chưa</t>
        </is>
      </c>
      <c r="R20" s="2" t="inlineStr">
        <is>
          <t xml:space="preserve">Chưa</t>
        </is>
      </c>
      <c r="S20" s="2" t="inlineStr">
        <is>
          <t xml:space="preserve">Chưa</t>
        </is>
      </c>
      <c r="T20" s="2" t="inlineStr">
        <is>
          <t xml:space="preserve">Chưa</t>
        </is>
      </c>
      <c r="U20" s="2" t="inlineStr">
        <is>
          <t xml:space="preserve">Chưa</t>
        </is>
      </c>
      <c r="V20" s="2" t="inlineStr">
        <is>
          <t xml:space="preserve">Chưa</t>
        </is>
      </c>
      <c r="W20" s="2" t="inlineStr">
        <is>
          <t xml:space="preserve">Chưa</t>
        </is>
      </c>
      <c r="X20" s="3">
        <f>COUNTIF(Q20:W20,"Xong")/7</f>
        <v>0</v>
      </c>
      <c r="Y20" s="2" t="str">
        <f>IF(AND(AND(INDEX(BE_Tasks!$P$2:$P$53,MATCH("BE-A02",BE_Tasks!$A$2:$A$53,0))="Hoàn thành",INDEX(BE_Tasks!$Z$2:$Z$53,MATCH("BE-A02",BE_Tasks!$A$2:$A$53,0))=""),AND(INDEX(BE_Tasks!$P$2:$P$53,MATCH("BE-B01",BE_Tasks!$A$2:$A$53,0))="Hoàn thành",INDEX(BE_Tasks!$Z$2:$Z$53,MATCH("BE-B01",BE_Tasks!$A$2:$A$53,0))=""),AND(INDEX(BE_Tasks!$P$2:$P$53,MATCH("BE-A03",BE_Tasks!$A$2:$A$53,0))="Hoàn thành",INDEX(BE_Tasks!$Z$2:$Z$53,MATCH("BE-A03",BE_Tasks!$A$2:$A$53,0))="")),"Đủ điều kiện","Chờ phụ thuộc")</f>
        <v>Chờ phụ thuộc</v>
      </c>
      <c r="Z20" s="2" t="str">
        <f>IF(AND(P20="Hoàn thành",OR(X20&lt;1,Y20&lt;&gt;"Đủ điều kiện",AND(AE20="",AD20=""))),"Thiếu bước / phụ thuộc / bằng chứng","")</f>
        <v/>
      </c>
      <c r="AA20" s="4" t="inlineStr">
        <is>
          <t xml:space="preserve"/>
        </is>
      </c>
      <c r="AB20" s="4" t="inlineStr">
        <is>
          <t xml:space="preserve"/>
        </is>
      </c>
      <c r="AC20" s="4" t="inlineStr">
        <is>
          <t xml:space="preserve"/>
        </is>
      </c>
      <c r="AD20" s="2" t="inlineStr">
        <is>
          <t xml:space="preserve"/>
        </is>
      </c>
      <c r="AE20" s="2" t="inlineStr">
        <is>
          <t xml:space="preserve"/>
        </is>
      </c>
      <c r="AF20" s="2" t="inlineStr">
        <is>
          <t xml:space="preserve"/>
        </is>
      </c>
      <c r="AG20" s="5" t="inlineStr">
        <is>
          <t xml:space="preserve">Mở task</t>
        </is>
      </c>
    </row>
    <row r="21" ht="72" customHeight="1">
      <c r="A21" s="0" t="inlineStr">
        <is>
          <t xml:space="preserve">BE-B03</t>
        </is>
      </c>
      <c r="B21" s="0" t="inlineStr">
        <is>
          <t xml:space="preserve">P1</t>
        </is>
      </c>
      <c r="C21" s="0">
        <v>3</v>
      </c>
      <c r="D21" s="7" t="inlineStr">
        <is>
          <t xml:space="preserve">B</t>
        </is>
      </c>
      <c r="E21" s="0" t="inlineStr">
        <is>
          <t xml:space="preserve">C</t>
        </is>
      </c>
      <c r="F21" s="0" t="inlineStr">
        <is>
          <t xml:space="preserve">Dịch vụ nhà/phòng và giá hiệu lực</t>
        </is>
      </c>
      <c r="G21" s="0">
        <v>5</v>
      </c>
      <c r="H21" s="0">
        <v>9</v>
      </c>
      <c r="I21" s="0" t="inlineStr">
        <is>
          <t xml:space="preserve">API-049, API-137, API-138, API-139, API-140, API-141, API-142, API-143, API-144</t>
        </is>
      </c>
      <c r="J21" s="0" t="inlineStr">
        <is>
          <t xml:space="preserve">backend/src/modules/services/**
backend/tests/services/**
backend/contracts/services.*</t>
        </is>
      </c>
      <c r="K21" s="0" t="inlineStr">
        <is>
          <t xml:space="preserve">BE-A02, BE-B02</t>
        </is>
      </c>
      <c r="L21" s="0" t="inlineStr">
        <is>
          <t xml:space="preserve"/>
        </is>
      </c>
      <c r="M21" s="0" t="inlineStr">
        <is>
          <t xml:space="preserve"/>
        </is>
      </c>
      <c r="N21" s="0" t="inlineStr">
        <is>
          <t xml:space="preserve">Danh mục đúng rental_services hiện tại, không giả có code/active; dịch vụ riêng catalog_service_id null.
Upsert đúng nhà/phòng, active cả hai cấp; null kế thừa, override 0 giữ 0.
Công bố ServiceQuotePort có thể đọc bằng connection/UoW của consumer để chốt invoice snapshot.</t>
        </is>
      </c>
      <c r="O21" s="0" t="inlineStr">
        <is>
          <t xml:space="preserve">Không gán dịch vụ nhà khác; giá/phương pháp override hợp lệ.
Đổi cấu hình không cập nhật dòng invoice đã có.</t>
        </is>
      </c>
      <c r="P21" s="0" t="inlineStr">
        <is>
          <t xml:space="preserve">Chưa làm</t>
        </is>
      </c>
      <c r="Q21" s="0" t="inlineStr">
        <is>
          <t xml:space="preserve">Chưa</t>
        </is>
      </c>
      <c r="R21" s="0" t="inlineStr">
        <is>
          <t xml:space="preserve">Chưa</t>
        </is>
      </c>
      <c r="S21" s="0" t="inlineStr">
        <is>
          <t xml:space="preserve">Chưa</t>
        </is>
      </c>
      <c r="T21" s="0" t="inlineStr">
        <is>
          <t xml:space="preserve">Chưa</t>
        </is>
      </c>
      <c r="U21" s="0" t="inlineStr">
        <is>
          <t xml:space="preserve">Chưa</t>
        </is>
      </c>
      <c r="V21" s="0" t="inlineStr">
        <is>
          <t xml:space="preserve">Chưa</t>
        </is>
      </c>
      <c r="W21" s="0" t="inlineStr">
        <is>
          <t xml:space="preserve">Chưa</t>
        </is>
      </c>
      <c r="X21" s="3">
        <f>COUNTIF(Q21:W21,"Xong")/7</f>
        <v>0</v>
      </c>
      <c r="Y21" s="0" t="str">
        <f>IF(AND(AND(INDEX(BE_Tasks!$P$2:$P$53,MATCH("BE-A02",BE_Tasks!$A$2:$A$53,0))="Hoàn thành",INDEX(BE_Tasks!$Z$2:$Z$53,MATCH("BE-A02",BE_Tasks!$A$2:$A$53,0))=""),AND(INDEX(BE_Tasks!$P$2:$P$53,MATCH("BE-B02",BE_Tasks!$A$2:$A$53,0))="Hoàn thành",INDEX(BE_Tasks!$Z$2:$Z$53,MATCH("BE-B02",BE_Tasks!$A$2:$A$53,0))="")),"Đủ điều kiện","Chờ phụ thuộc")</f>
        <v>Chờ phụ thuộc</v>
      </c>
      <c r="Z21" s="0" t="str">
        <f>IF(AND(P21="Hoàn thành",OR(X21&lt;1,Y21&lt;&gt;"Đủ điều kiện",AND(AE21="",AD21=""))),"Thiếu bước / phụ thuộc / bằng chứng","")</f>
        <v/>
      </c>
      <c r="AA21" s="4" t="inlineStr">
        <is>
          <t xml:space="preserve"/>
        </is>
      </c>
      <c r="AB21" s="4" t="inlineStr">
        <is>
          <t xml:space="preserve"/>
        </is>
      </c>
      <c r="AC21" s="4" t="inlineStr">
        <is>
          <t xml:space="preserve"/>
        </is>
      </c>
      <c r="AD21" s="0" t="inlineStr">
        <is>
          <t xml:space="preserve"/>
        </is>
      </c>
      <c r="AE21" s="0" t="inlineStr">
        <is>
          <t xml:space="preserve"/>
        </is>
      </c>
      <c r="AF21" s="0" t="inlineStr">
        <is>
          <t xml:space="preserve"/>
        </is>
      </c>
      <c r="AG21" s="5" t="inlineStr">
        <is>
          <t xml:space="preserve">Mở task</t>
        </is>
      </c>
    </row>
    <row r="22" ht="72" customHeight="1">
      <c r="A22" s="2" t="inlineStr">
        <is>
          <t xml:space="preserve">BE-B04</t>
        </is>
      </c>
      <c r="B22" s="2" t="inlineStr">
        <is>
          <t xml:space="preserve">P1</t>
        </is>
      </c>
      <c r="C22" s="2">
        <v>4</v>
      </c>
      <c r="D22" s="7" t="inlineStr">
        <is>
          <t xml:space="preserve">B</t>
        </is>
      </c>
      <c r="E22" s="2" t="inlineStr">
        <is>
          <t xml:space="preserve">C</t>
        </is>
      </c>
      <c r="F22" s="2" t="inlineStr">
        <is>
          <t xml:space="preserve">Cổng đọc nhà/phòng và kết nối cho A/C</t>
        </is>
      </c>
      <c r="G22" s="2">
        <v>3</v>
      </c>
      <c r="H22" s="2">
        <v>0</v>
      </c>
      <c r="I22" s="2" t="inlineStr">
        <is>
          <t xml:space="preserve"/>
        </is>
      </c>
      <c r="J22" s="2" t="inlineStr">
        <is>
          <t xml:space="preserve">backend/src/modules/properties/**
backend/src/modules/house-rights/**
backend/tests/properties/**
backend/tests/fixtures/B/**
backend/tests/contracts/B/**
backend/tests/e2e/property-*/**
backend/contracts/properties.*
backend/src/modules/services/**
backend/tests/services/**
backend/contracts/services.*
backend/src/modules/roommates/**
backend/tests/roommates/**
backend/contracts/roommates.*</t>
        </is>
      </c>
      <c r="K22" s="2" t="inlineStr">
        <is>
          <t xml:space="preserve">BE-B02, BE-B03</t>
        </is>
      </c>
      <c r="L22" s="2" t="inlineStr">
        <is>
          <t xml:space="preserve"/>
        </is>
      </c>
      <c r="M22" s="2" t="inlineStr">
        <is>
          <t xml:space="preserve"/>
        </is>
      </c>
      <c r="N22" s="2" t="inlineStr">
        <is>
          <t xml:space="preserve">RoomSnapshot có capacity/status/effectiveRight/currentLoad, không chứa PII cư dân.
ConnectionPort đọc accepted/not-ended bằng transaction được truyền; dữ liệu test riêng dù B13 chưa tạo endpoint.
ServiceQuotePort và FileContext resolver không tạo import vòng; injection ở composition root do A quản lý.</t>
        </is>
      </c>
      <c r="O22" s="2" t="inlineStr">
        <is>
          <t xml:space="preserve">Contract tests chạy cùng bộ fixture với mock B01.
C vẫn recheck quyền/capacity dưới khóa trong procedure, không dùng snapshot cũ làm quyền thuê.</t>
        </is>
      </c>
      <c r="P22" s="2" t="inlineStr">
        <is>
          <t xml:space="preserve">Chưa làm</t>
        </is>
      </c>
      <c r="Q22" s="2" t="inlineStr">
        <is>
          <t xml:space="preserve">Chưa</t>
        </is>
      </c>
      <c r="R22" s="2" t="inlineStr">
        <is>
          <t xml:space="preserve">Chưa</t>
        </is>
      </c>
      <c r="S22" s="2" t="inlineStr">
        <is>
          <t xml:space="preserve">Chưa</t>
        </is>
      </c>
      <c r="T22" s="2" t="inlineStr">
        <is>
          <t xml:space="preserve">Chưa</t>
        </is>
      </c>
      <c r="U22" s="2" t="inlineStr">
        <is>
          <t xml:space="preserve">Chưa</t>
        </is>
      </c>
      <c r="V22" s="2" t="inlineStr">
        <is>
          <t xml:space="preserve">Chưa</t>
        </is>
      </c>
      <c r="W22" s="2" t="inlineStr">
        <is>
          <t xml:space="preserve">Chưa</t>
        </is>
      </c>
      <c r="X22" s="3">
        <f>COUNTIF(Q22:W22,"Xong")/7</f>
        <v>0</v>
      </c>
      <c r="Y22" s="2" t="str">
        <f>IF(AND(AND(INDEX(BE_Tasks!$P$2:$P$53,MATCH("BE-B02",BE_Tasks!$A$2:$A$53,0))="Hoàn thành",INDEX(BE_Tasks!$Z$2:$Z$53,MATCH("BE-B02",BE_Tasks!$A$2:$A$53,0))=""),AND(INDEX(BE_Tasks!$P$2:$P$53,MATCH("BE-B03",BE_Tasks!$A$2:$A$53,0))="Hoàn thành",INDEX(BE_Tasks!$Z$2:$Z$53,MATCH("BE-B03",BE_Tasks!$A$2:$A$53,0))="")),"Đủ điều kiện","Chờ phụ thuộc")</f>
        <v>Chờ phụ thuộc</v>
      </c>
      <c r="Z22" s="2" t="str">
        <f>IF(AND(P22="Hoàn thành",OR(X22&lt;1,Y22&lt;&gt;"Đủ điều kiện",AND(AE22="",AD22=""))),"Thiếu bước / phụ thuộc / bằng chứng","")</f>
        <v/>
      </c>
      <c r="AA22" s="4" t="inlineStr">
        <is>
          <t xml:space="preserve"/>
        </is>
      </c>
      <c r="AB22" s="4" t="inlineStr">
        <is>
          <t xml:space="preserve"/>
        </is>
      </c>
      <c r="AC22" s="4" t="inlineStr">
        <is>
          <t xml:space="preserve"/>
        </is>
      </c>
      <c r="AD22" s="2" t="inlineStr">
        <is>
          <t xml:space="preserve"/>
        </is>
      </c>
      <c r="AE22" s="2" t="inlineStr">
        <is>
          <t xml:space="preserve"/>
        </is>
      </c>
      <c r="AF22" s="2" t="inlineStr">
        <is>
          <t xml:space="preserve"/>
        </is>
      </c>
      <c r="AG22" s="5" t="inlineStr">
        <is>
          <t xml:space="preserve">Mở task</t>
        </is>
      </c>
    </row>
    <row r="23" ht="72" customHeight="1">
      <c r="A23" s="0" t="inlineStr">
        <is>
          <t xml:space="preserve">BE-B05</t>
        </is>
      </c>
      <c r="B23" s="0" t="inlineStr">
        <is>
          <t xml:space="preserve">P2</t>
        </is>
      </c>
      <c r="C23" s="0">
        <v>5</v>
      </c>
      <c r="D23" s="7" t="inlineStr">
        <is>
          <t xml:space="preserve">B</t>
        </is>
      </c>
      <c r="E23" s="0" t="inlineStr">
        <is>
          <t xml:space="preserve">C</t>
        </is>
      </c>
      <c r="F23" s="0" t="inlineStr">
        <is>
          <t xml:space="preserve">Xác minh quyền nhà và trạng thái hiệu lực</t>
        </is>
      </c>
      <c r="G23" s="0">
        <v>8</v>
      </c>
      <c r="H23" s="0">
        <v>9</v>
      </c>
      <c r="I23" s="0" t="inlineStr">
        <is>
          <t xml:space="preserve">API-033, API-034, API-035, API-036, API-037, API-038, API-039, API-040, API-041</t>
        </is>
      </c>
      <c r="J23" s="0" t="inlineStr">
        <is>
          <t xml:space="preserve">backend/src/modules/properties/**
backend/src/modules/house-rights/**
backend/tests/properties/**
backend/tests/fixtures/B/**
backend/tests/contracts/B/**
backend/tests/e2e/property-*/**
backend/contracts/properties.*
database/source/house-rights.sql
database/source/post-review-quota.sql
database/source/viewing-proposals.sql
backend/tests/sql-property/**</t>
        </is>
      </c>
      <c r="K23" s="0" t="inlineStr">
        <is>
          <t xml:space="preserve">BE-B04, BE-A05</t>
        </is>
      </c>
      <c r="L23" s="0" t="inlineStr">
        <is>
          <t xml:space="preserve"/>
        </is>
      </c>
      <c r="M23" s="0" t="inlineStr">
        <is>
          <t xml:space="preserve">D05</t>
        </is>
      </c>
      <c r="N23" s="0" t="inlineStr">
        <is>
          <t xml:space="preserve">Nộp/rút/duyệt/từ chối/thu hồi đúng procedure, đủ loại giấy theo OWNER/AUTHORIZED/SUBLESSOR.
Ngày hiệu lực VN, định danh/version khớp; pending không tự làm mất quyền cũ.
Dùng effective view khi đọc; mất quyền chặn công khai/thuê mới nhưng giữ lịch sử.</t>
        </is>
      </c>
      <c r="O23" s="0" t="inlineStr">
        <is>
          <t xml:space="preserve">Không có quyền chỉ nhờ account landlord được duyệt; admin cần evidenceChecked=true.
Đổi định danh/rút/hết hạn/thu hồi giữ tệp bất biến và audit.</t>
        </is>
      </c>
      <c r="P23" s="0" t="inlineStr">
        <is>
          <t xml:space="preserve">Chưa làm</t>
        </is>
      </c>
      <c r="Q23" s="0" t="inlineStr">
        <is>
          <t xml:space="preserve">Chưa</t>
        </is>
      </c>
      <c r="R23" s="0" t="inlineStr">
        <is>
          <t xml:space="preserve">Chưa</t>
        </is>
      </c>
      <c r="S23" s="0" t="inlineStr">
        <is>
          <t xml:space="preserve">Chưa</t>
        </is>
      </c>
      <c r="T23" s="0" t="inlineStr">
        <is>
          <t xml:space="preserve">Chưa</t>
        </is>
      </c>
      <c r="U23" s="0" t="inlineStr">
        <is>
          <t xml:space="preserve">Chưa</t>
        </is>
      </c>
      <c r="V23" s="0" t="inlineStr">
        <is>
          <t xml:space="preserve">Chưa</t>
        </is>
      </c>
      <c r="W23" s="0" t="inlineStr">
        <is>
          <t xml:space="preserve">Chưa</t>
        </is>
      </c>
      <c r="X23" s="3">
        <f>COUNTIF(Q23:W23,"Xong")/7</f>
        <v>0</v>
      </c>
      <c r="Y23" s="0" t="str">
        <f>IF(AND(AND(INDEX(BE_Tasks!$P$2:$P$53,MATCH("BE-B04",BE_Tasks!$A$2:$A$53,0))="Hoàn thành",INDEX(BE_Tasks!$Z$2:$Z$53,MATCH("BE-B04",BE_Tasks!$A$2:$A$53,0))=""),AND(INDEX(BE_Tasks!$P$2:$P$53,MATCH("BE-A05",BE_Tasks!$A$2:$A$53,0))="Hoàn thành",INDEX(BE_Tasks!$Z$2:$Z$53,MATCH("BE-A05",BE_Tasks!$A$2:$A$53,0))="")),"Đủ điều kiện","Chờ phụ thuộc")</f>
        <v>Chờ phụ thuộc</v>
      </c>
      <c r="Z23" s="0" t="str">
        <f>IF(AND(P23="Hoàn thành",OR(X23&lt;1,Y23&lt;&gt;"Đủ điều kiện",AND(AE23="",AD23=""))),"Thiếu bước / phụ thuộc / bằng chứng","")</f>
        <v/>
      </c>
      <c r="AA23" s="4" t="inlineStr">
        <is>
          <t xml:space="preserve"/>
        </is>
      </c>
      <c r="AB23" s="4" t="inlineStr">
        <is>
          <t xml:space="preserve"/>
        </is>
      </c>
      <c r="AC23" s="4" t="inlineStr">
        <is>
          <t xml:space="preserve"/>
        </is>
      </c>
      <c r="AD23" s="0" t="inlineStr">
        <is>
          <t xml:space="preserve"/>
        </is>
      </c>
      <c r="AE23" s="0" t="inlineStr">
        <is>
          <t xml:space="preserve"/>
        </is>
      </c>
      <c r="AF23" s="0" t="inlineStr">
        <is>
          <t xml:space="preserve"/>
        </is>
      </c>
      <c r="AG23" s="5" t="inlineStr">
        <is>
          <t xml:space="preserve">Mở task</t>
        </is>
      </c>
    </row>
    <row r="24" ht="72" customHeight="1">
      <c r="A24" s="2" t="inlineStr">
        <is>
          <t xml:space="preserve">BE-B06</t>
        </is>
      </c>
      <c r="B24" s="2" t="inlineStr">
        <is>
          <t xml:space="preserve">P2</t>
        </is>
      </c>
      <c r="C24" s="2">
        <v>6</v>
      </c>
      <c r="D24" s="7" t="inlineStr">
        <is>
          <t xml:space="preserve">B</t>
        </is>
      </c>
      <c r="E24" s="2" t="inlineStr">
        <is>
          <t xml:space="preserve">C</t>
        </is>
      </c>
      <c r="F24" s="2" t="inlineStr">
        <is>
          <t xml:space="preserve">Gửi tin kèm ảnh nguyên tử và kiểm duyệt</t>
        </is>
      </c>
      <c r="G24" s="2">
        <v>8</v>
      </c>
      <c r="H24" s="2">
        <v>8</v>
      </c>
      <c r="I24" s="2" t="inlineStr">
        <is>
          <t xml:space="preserve">API-047, API-050, API-051, API-052, API-053, API-054, API-055, API-056</t>
        </is>
      </c>
      <c r="J24" s="2" t="inlineStr">
        <is>
          <t xml:space="preserve">backend/src/modules/posts/**
backend/tests/posts/**
backend/contracts/posts.*
database/source/house-rights.sql
database/source/post-review-quota.sql
database/source/viewing-proposals.sql
backend/tests/sql-property/**</t>
        </is>
      </c>
      <c r="K24" s="2" t="inlineStr">
        <is>
          <t xml:space="preserve">BE-B05, BE-A04, BE-A05</t>
        </is>
      </c>
      <c r="L24" s="2" t="inlineStr">
        <is>
          <t xml:space="preserve"/>
        </is>
      </c>
      <c r="M24" s="2" t="inlineStr">
        <is>
          <t xml:space="preserve">D07</t>
        </is>
      </c>
      <c r="N24" s="2" t="inlineStr">
        <is>
          <t xml:space="preserve">sp_submit_post nhận/ghi ảnh+amenities cùng transaction, content_version và quota 3 slot đúng hiện tại.
Edit giữ roomId; pending edit không chiếm thêm lượt; moderate/hide/restore theo đúng postId.
Các /admin/posts ở module posts; không sửa account-admin controller của A.</t>
        </is>
      </c>
      <c r="O24" s="2" t="inlineStr">
        <is>
          <t xml:space="preserve">4 submit tranh slot chỉ có tối đa 3 pending; lỗi ảnh rollback cả bài và slot.
Duyệt/restore yêu cầu quyền nhà hiệu lực; không ảnh hưởng các tin khác của phòng.</t>
        </is>
      </c>
      <c r="P24" s="2" t="inlineStr">
        <is>
          <t xml:space="preserve">Chưa làm</t>
        </is>
      </c>
      <c r="Q24" s="2" t="inlineStr">
        <is>
          <t xml:space="preserve">Chưa</t>
        </is>
      </c>
      <c r="R24" s="2" t="inlineStr">
        <is>
          <t xml:space="preserve">Chưa</t>
        </is>
      </c>
      <c r="S24" s="2" t="inlineStr">
        <is>
          <t xml:space="preserve">Chưa</t>
        </is>
      </c>
      <c r="T24" s="2" t="inlineStr">
        <is>
          <t xml:space="preserve">Chưa</t>
        </is>
      </c>
      <c r="U24" s="2" t="inlineStr">
        <is>
          <t xml:space="preserve">Chưa</t>
        </is>
      </c>
      <c r="V24" s="2" t="inlineStr">
        <is>
          <t xml:space="preserve">Chưa</t>
        </is>
      </c>
      <c r="W24" s="2" t="inlineStr">
        <is>
          <t xml:space="preserve">Chưa</t>
        </is>
      </c>
      <c r="X24" s="3">
        <f>COUNTIF(Q24:W24,"Xong")/7</f>
        <v>0</v>
      </c>
      <c r="Y24" s="2" t="str">
        <f>IF(AND(AND(INDEX(BE_Tasks!$P$2:$P$53,MATCH("BE-B05",BE_Tasks!$A$2:$A$53,0))="Hoàn thành",INDEX(BE_Tasks!$Z$2:$Z$53,MATCH("BE-B05",BE_Tasks!$A$2:$A$53,0))=""),AND(INDEX(BE_Tasks!$P$2:$P$53,MATCH("BE-A04",BE_Tasks!$A$2:$A$53,0))="Hoàn thành",INDEX(BE_Tasks!$Z$2:$Z$53,MATCH("BE-A04",BE_Tasks!$A$2:$A$53,0))=""),AND(INDEX(BE_Tasks!$P$2:$P$53,MATCH("BE-A05",BE_Tasks!$A$2:$A$53,0))="Hoàn thành",INDEX(BE_Tasks!$Z$2:$Z$53,MATCH("BE-A05",BE_Tasks!$A$2:$A$53,0))="")),"Đủ điều kiện","Chờ phụ thuộc")</f>
        <v>Chờ phụ thuộc</v>
      </c>
      <c r="Z24" s="2" t="str">
        <f>IF(AND(P24="Hoàn thành",OR(X24&lt;1,Y24&lt;&gt;"Đủ điều kiện",AND(AE24="",AD24=""))),"Thiếu bước / phụ thuộc / bằng chứng","")</f>
        <v/>
      </c>
      <c r="AA24" s="4" t="inlineStr">
        <is>
          <t xml:space="preserve"/>
        </is>
      </c>
      <c r="AB24" s="4" t="inlineStr">
        <is>
          <t xml:space="preserve"/>
        </is>
      </c>
      <c r="AC24" s="4" t="inlineStr">
        <is>
          <t xml:space="preserve"/>
        </is>
      </c>
      <c r="AD24" s="2" t="inlineStr">
        <is>
          <t xml:space="preserve"/>
        </is>
      </c>
      <c r="AE24" s="2" t="inlineStr">
        <is>
          <t xml:space="preserve"/>
        </is>
      </c>
      <c r="AF24" s="2" t="inlineStr">
        <is>
          <t xml:space="preserve"/>
        </is>
      </c>
      <c r="AG24" s="5" t="inlineStr">
        <is>
          <t xml:space="preserve">Mở task</t>
        </is>
      </c>
    </row>
    <row r="25" ht="72" customHeight="1">
      <c r="A25" s="0" t="inlineStr">
        <is>
          <t xml:space="preserve">BE-B07</t>
        </is>
      </c>
      <c r="B25" s="0" t="inlineStr">
        <is>
          <t xml:space="preserve">P2</t>
        </is>
      </c>
      <c r="C25" s="0">
        <v>7</v>
      </c>
      <c r="D25" s="7" t="inlineStr">
        <is>
          <t xml:space="preserve">B</t>
        </is>
      </c>
      <c r="E25" s="0" t="inlineStr">
        <is>
          <t xml:space="preserve">C</t>
        </is>
      </c>
      <c r="F25" s="0" t="inlineStr">
        <is>
          <t xml:space="preserve">Tìm phòng, chi tiết và lưu tin công khai</t>
        </is>
      </c>
      <c r="G25" s="0">
        <v>5</v>
      </c>
      <c r="H25" s="0">
        <v>6</v>
      </c>
      <c r="I25" s="0" t="inlineStr">
        <is>
          <t xml:space="preserve">API-046, API-057, API-058, API-059, API-060, API-061</t>
        </is>
      </c>
      <c r="J25" s="0" t="inlineStr">
        <is>
          <t xml:space="preserve">backend/src/modules/posts/**
backend/tests/posts/**
backend/contracts/posts.*
backend/src/modules/properties/**
backend/src/modules/house-rights/**
backend/tests/properties/**
backend/tests/fixtures/B/**
backend/tests/contracts/B/**
backend/tests/e2e/property-*/**
backend/contracts/properties.*</t>
        </is>
      </c>
      <c r="K25" s="0" t="inlineStr">
        <is>
          <t xml:space="preserve">BE-B06</t>
        </is>
      </c>
      <c r="L25" s="0" t="inlineStr">
        <is>
          <t xml:space="preserve"/>
        </is>
      </c>
      <c r="M25" s="0" t="inlineStr">
        <is>
          <t xml:space="preserve"/>
        </is>
      </c>
      <c r="N25" s="0" t="inlineStr">
        <is>
          <t xml:space="preserve">Lọc/search/paging/sort whitelist; không lộ PII người ở trong room detail.
Lưu theo postId; tin ẩn trả placeholder/404, không chuyển sang tin khác cùng phòng.
Bàn giao PublicPostPort để A share card và tạo inquiry từ postId.</t>
        </is>
      </c>
      <c r="O25" s="0" t="inlineStr">
        <is>
          <t xml:space="preserve">Hết quyền nhà ẩn ngay không chờ job; khám phá loại OCCUPIED đúng rule.
Public JSON không có residents/CCCD/tin chưa duyệt.</t>
        </is>
      </c>
      <c r="P25" s="0" t="inlineStr">
        <is>
          <t xml:space="preserve">Chưa làm</t>
        </is>
      </c>
      <c r="Q25" s="0" t="inlineStr">
        <is>
          <t xml:space="preserve">Chưa</t>
        </is>
      </c>
      <c r="R25" s="0" t="inlineStr">
        <is>
          <t xml:space="preserve">Chưa</t>
        </is>
      </c>
      <c r="S25" s="0" t="inlineStr">
        <is>
          <t xml:space="preserve">Chưa</t>
        </is>
      </c>
      <c r="T25" s="0" t="inlineStr">
        <is>
          <t xml:space="preserve">Chưa</t>
        </is>
      </c>
      <c r="U25" s="0" t="inlineStr">
        <is>
          <t xml:space="preserve">Chưa</t>
        </is>
      </c>
      <c r="V25" s="0" t="inlineStr">
        <is>
          <t xml:space="preserve">Chưa</t>
        </is>
      </c>
      <c r="W25" s="0" t="inlineStr">
        <is>
          <t xml:space="preserve">Chưa</t>
        </is>
      </c>
      <c r="X25" s="3">
        <f>COUNTIF(Q25:W25,"Xong")/7</f>
        <v>0</v>
      </c>
      <c r="Y25" s="0" t="str">
        <f>IF(AND(AND(INDEX(BE_Tasks!$P$2:$P$53,MATCH("BE-B06",BE_Tasks!$A$2:$A$53,0))="Hoàn thành",INDEX(BE_Tasks!$Z$2:$Z$53,MATCH("BE-B06",BE_Tasks!$A$2:$A$53,0))="")),"Đủ điều kiện","Chờ phụ thuộc")</f>
        <v>Chờ phụ thuộc</v>
      </c>
      <c r="Z25" s="0" t="str">
        <f>IF(AND(P25="Hoàn thành",OR(X25&lt;1,Y25&lt;&gt;"Đủ điều kiện",AND(AE25="",AD25=""))),"Thiếu bước / phụ thuộc / bằng chứng","")</f>
        <v/>
      </c>
      <c r="AA25" s="4" t="inlineStr">
        <is>
          <t xml:space="preserve"/>
        </is>
      </c>
      <c r="AB25" s="4" t="inlineStr">
        <is>
          <t xml:space="preserve"/>
        </is>
      </c>
      <c r="AC25" s="4" t="inlineStr">
        <is>
          <t xml:space="preserve"/>
        </is>
      </c>
      <c r="AD25" s="0" t="inlineStr">
        <is>
          <t xml:space="preserve"/>
        </is>
      </c>
      <c r="AE25" s="0" t="inlineStr">
        <is>
          <t xml:space="preserve"/>
        </is>
      </c>
      <c r="AF25" s="0" t="inlineStr">
        <is>
          <t xml:space="preserve"/>
        </is>
      </c>
      <c r="AG25" s="5" t="inlineStr">
        <is>
          <t xml:space="preserve">Mở task</t>
        </is>
      </c>
    </row>
    <row r="26" ht="72" customHeight="1">
      <c r="A26" s="2" t="inlineStr">
        <is>
          <t xml:space="preserve">BE-B08</t>
        </is>
      </c>
      <c r="B26" s="2" t="inlineStr">
        <is>
          <t xml:space="preserve">P3</t>
        </is>
      </c>
      <c r="C26" s="2">
        <v>8</v>
      </c>
      <c r="D26" s="7" t="inlineStr">
        <is>
          <t xml:space="preserve">B</t>
        </is>
      </c>
      <c r="E26" s="2" t="inlineStr">
        <is>
          <t xml:space="preserve">C</t>
        </is>
      </c>
      <c r="F26" s="2" t="inlineStr">
        <is>
          <t xml:space="preserve">Đề nghị lịch xem và xét duyệt</t>
        </is>
      </c>
      <c r="G26" s="2">
        <v>5</v>
      </c>
      <c r="H26" s="2">
        <v>4</v>
      </c>
      <c r="I26" s="2" t="inlineStr">
        <is>
          <t xml:space="preserve">API-091, API-092, API-093, API-094</t>
        </is>
      </c>
      <c r="J26" s="2" t="inlineStr">
        <is>
          <t xml:space="preserve">backend/src/modules/viewings/**
backend/tests/viewings/**
backend/tests/e2e/viewing-contract/**
backend/contracts/viewings.*
database/source/house-rights.sql
database/source/post-review-quota.sql
database/source/viewing-proposals.sql
backend/tests/sql-property/**</t>
        </is>
      </c>
      <c r="K26" s="2" t="inlineStr">
        <is>
          <t xml:space="preserve">BE-A08, BE-B07</t>
        </is>
      </c>
      <c r="L26" s="2" t="inlineStr">
        <is>
          <t xml:space="preserve"/>
        </is>
      </c>
      <c r="M26" s="2" t="inlineStr">
        <is>
          <t xml:space="preserve"/>
        </is>
      </c>
      <c r="N26" s="2" t="inlineStr">
        <is>
          <t xml:space="preserve">Idempotency UUID; một PENDING/tenant+room; proposal chưa giữ giờ/chỗ.
Accept khóa room, recheck context/quyền/tài khoản và overlap; tạo đúng một schedule cùng transaction.
Withdraw/expire theo now, không đợi worker; kết quả gửi vào notification source.</t>
        </is>
      </c>
      <c r="O26" s="2" t="inlineStr">
        <is>
          <t xml:space="preserve">Hai proposal trùng giờ có thể chờ nhưng chỉ một schedule nếu xung đột.
Duyệt lại trả linked schedule, không tạo lần hai.</t>
        </is>
      </c>
      <c r="P26" s="2" t="inlineStr">
        <is>
          <t xml:space="preserve">Chưa làm</t>
        </is>
      </c>
      <c r="Q26" s="2" t="inlineStr">
        <is>
          <t xml:space="preserve">Chưa</t>
        </is>
      </c>
      <c r="R26" s="2" t="inlineStr">
        <is>
          <t xml:space="preserve">Chưa</t>
        </is>
      </c>
      <c r="S26" s="2" t="inlineStr">
        <is>
          <t xml:space="preserve">Chưa</t>
        </is>
      </c>
      <c r="T26" s="2" t="inlineStr">
        <is>
          <t xml:space="preserve">Chưa</t>
        </is>
      </c>
      <c r="U26" s="2" t="inlineStr">
        <is>
          <t xml:space="preserve">Chưa</t>
        </is>
      </c>
      <c r="V26" s="2" t="inlineStr">
        <is>
          <t xml:space="preserve">Chưa</t>
        </is>
      </c>
      <c r="W26" s="2" t="inlineStr">
        <is>
          <t xml:space="preserve">Chưa</t>
        </is>
      </c>
      <c r="X26" s="3">
        <f>COUNTIF(Q26:W26,"Xong")/7</f>
        <v>0</v>
      </c>
      <c r="Y26" s="2" t="str">
        <f>IF(AND(AND(INDEX(BE_Tasks!$P$2:$P$53,MATCH("BE-A08",BE_Tasks!$A$2:$A$53,0))="Hoàn thành",INDEX(BE_Tasks!$Z$2:$Z$53,MATCH("BE-A08",BE_Tasks!$A$2:$A$53,0))=""),AND(INDEX(BE_Tasks!$P$2:$P$53,MATCH("BE-B07",BE_Tasks!$A$2:$A$53,0))="Hoàn thành",INDEX(BE_Tasks!$Z$2:$Z$53,MATCH("BE-B07",BE_Tasks!$A$2:$A$53,0))="")),"Đủ điều kiện","Chờ phụ thuộc")</f>
        <v>Chờ phụ thuộc</v>
      </c>
      <c r="Z26" s="2" t="str">
        <f>IF(AND(P26="Hoàn thành",OR(X26&lt;1,Y26&lt;&gt;"Đủ điều kiện",AND(AE26="",AD26=""))),"Thiếu bước / phụ thuộc / bằng chứng","")</f>
        <v/>
      </c>
      <c r="AA26" s="4" t="inlineStr">
        <is>
          <t xml:space="preserve"/>
        </is>
      </c>
      <c r="AB26" s="4" t="inlineStr">
        <is>
          <t xml:space="preserve"/>
        </is>
      </c>
      <c r="AC26" s="4" t="inlineStr">
        <is>
          <t xml:space="preserve"/>
        </is>
      </c>
      <c r="AD26" s="2" t="inlineStr">
        <is>
          <t xml:space="preserve"/>
        </is>
      </c>
      <c r="AE26" s="2" t="inlineStr">
        <is>
          <t xml:space="preserve"/>
        </is>
      </c>
      <c r="AF26" s="2" t="inlineStr">
        <is>
          <t xml:space="preserve"/>
        </is>
      </c>
      <c r="AG26" s="5" t="inlineStr">
        <is>
          <t xml:space="preserve">Mở task</t>
        </is>
      </c>
    </row>
    <row r="27" ht="72" customHeight="1">
      <c r="A27" s="0" t="inlineStr">
        <is>
          <t xml:space="preserve">BE-B09</t>
        </is>
      </c>
      <c r="B27" s="0" t="inlineStr">
        <is>
          <t xml:space="preserve">P3</t>
        </is>
      </c>
      <c r="C27" s="0">
        <v>9</v>
      </c>
      <c r="D27" s="7" t="inlineStr">
        <is>
          <t xml:space="preserve">B</t>
        </is>
      </c>
      <c r="E27" s="0" t="inlineStr">
        <is>
          <t xml:space="preserve">C</t>
        </is>
      </c>
      <c r="F27" s="0" t="inlineStr">
        <is>
          <t xml:space="preserve">Tạo lịch trực tiếp, tham dự và ý định thuê</t>
        </is>
      </c>
      <c r="G27" s="0">
        <v>5</v>
      </c>
      <c r="H27" s="0">
        <v>6</v>
      </c>
      <c r="I27" s="0" t="inlineStr">
        <is>
          <t xml:space="preserve">API-095, API-096, API-097, API-098, API-099, API-100</t>
        </is>
      </c>
      <c r="J27" s="0" t="inlineStr">
        <is>
          <t xml:space="preserve">backend/src/modules/viewings/**
backend/tests/viewings/**
backend/tests/e2e/viewing-contract/**
backend/contracts/viewings.*
database/source/house-rights.sql
database/source/post-review-quota.sql
database/source/viewing-proposals.sql
backend/tests/sql-property/**</t>
        </is>
      </c>
      <c r="K27" s="0" t="inlineStr">
        <is>
          <t xml:space="preserve">BE-B08</t>
        </is>
      </c>
      <c r="L27" s="0" t="inlineStr">
        <is>
          <t xml:space="preserve"/>
        </is>
      </c>
      <c r="M27" s="0" t="inlineStr">
        <is>
          <t xml:space="preserve"/>
        </is>
      </c>
      <c r="N27" s="0" t="inlineStr">
        <is>
          <t xml:space="preserve">Hẹn trực tiếp cần tin thuê đúng conversation/room; UTC và duration 30/60/90/120.
ATTENDED/NO_SHOW/CANCEL đúng vai trò/thời điểm; quyết định thuê theo chuyển trạng thái cho phép.
Công bố fixture viewing đủ điều kiện và không đủ điều kiện; C không viết một lịch riêng.</t>
        </is>
      </c>
      <c r="O27" s="0" t="inlineStr">
        <is>
          <t xml:space="preserve">Khoảng [start,end) không chồng nhau, liền kề được; không hẹn bằng ROOMMATE.
AGREED không giữ phòng; withdrawal bị chặn khi còn hợp đồng mở.</t>
        </is>
      </c>
      <c r="P27" s="0" t="inlineStr">
        <is>
          <t xml:space="preserve">Chưa làm</t>
        </is>
      </c>
      <c r="Q27" s="0" t="inlineStr">
        <is>
          <t xml:space="preserve">Chưa</t>
        </is>
      </c>
      <c r="R27" s="0" t="inlineStr">
        <is>
          <t xml:space="preserve">Chưa</t>
        </is>
      </c>
      <c r="S27" s="0" t="inlineStr">
        <is>
          <t xml:space="preserve">Chưa</t>
        </is>
      </c>
      <c r="T27" s="0" t="inlineStr">
        <is>
          <t xml:space="preserve">Chưa</t>
        </is>
      </c>
      <c r="U27" s="0" t="inlineStr">
        <is>
          <t xml:space="preserve">Chưa</t>
        </is>
      </c>
      <c r="V27" s="0" t="inlineStr">
        <is>
          <t xml:space="preserve">Chưa</t>
        </is>
      </c>
      <c r="W27" s="0" t="inlineStr">
        <is>
          <t xml:space="preserve">Chưa</t>
        </is>
      </c>
      <c r="X27" s="3">
        <f>COUNTIF(Q27:W27,"Xong")/7</f>
        <v>0</v>
      </c>
      <c r="Y27" s="0" t="str">
        <f>IF(AND(AND(INDEX(BE_Tasks!$P$2:$P$53,MATCH("BE-B08",BE_Tasks!$A$2:$A$53,0))="Hoàn thành",INDEX(BE_Tasks!$Z$2:$Z$53,MATCH("BE-B08",BE_Tasks!$A$2:$A$53,0))="")),"Đủ điều kiện","Chờ phụ thuộc")</f>
        <v>Chờ phụ thuộc</v>
      </c>
      <c r="Z27" s="0" t="str">
        <f>IF(AND(P27="Hoàn thành",OR(X27&lt;1,Y27&lt;&gt;"Đủ điều kiện",AND(AE27="",AD27=""))),"Thiếu bước / phụ thuộc / bằng chứng","")</f>
        <v/>
      </c>
      <c r="AA27" s="4" t="inlineStr">
        <is>
          <t xml:space="preserve"/>
        </is>
      </c>
      <c r="AB27" s="4" t="inlineStr">
        <is>
          <t xml:space="preserve"/>
        </is>
      </c>
      <c r="AC27" s="4" t="inlineStr">
        <is>
          <t xml:space="preserve"/>
        </is>
      </c>
      <c r="AD27" s="0" t="inlineStr">
        <is>
          <t xml:space="preserve"/>
        </is>
      </c>
      <c r="AE27" s="0" t="inlineStr">
        <is>
          <t xml:space="preserve"/>
        </is>
      </c>
      <c r="AF27" s="0" t="inlineStr">
        <is>
          <t xml:space="preserve"/>
        </is>
      </c>
      <c r="AG27" s="5" t="inlineStr">
        <is>
          <t xml:space="preserve">Mở task</t>
        </is>
      </c>
    </row>
    <row r="28" ht="72" customHeight="1">
      <c r="A28" s="2" t="inlineStr">
        <is>
          <t xml:space="preserve">BE-B10</t>
        </is>
      </c>
      <c r="B28" s="2" t="inlineStr">
        <is>
          <t xml:space="preserve">P3</t>
        </is>
      </c>
      <c r="C28" s="2">
        <v>10</v>
      </c>
      <c r="D28" s="7" t="inlineStr">
        <is>
          <t xml:space="preserve">B</t>
        </is>
      </c>
      <c r="E28" s="2" t="inlineStr">
        <is>
          <t xml:space="preserve">C</t>
        </is>
      </c>
      <c r="F28" s="2" t="inlineStr">
        <is>
          <t xml:space="preserve">Bàn giao và kiểm tra lịch khi hợp đồng giữ phòng</t>
        </is>
      </c>
      <c r="G28" s="2">
        <v>3</v>
      </c>
      <c r="H28" s="2">
        <v>0</v>
      </c>
      <c r="I28" s="2" t="inlineStr">
        <is>
          <t xml:space="preserve"/>
        </is>
      </c>
      <c r="J28" s="2" t="inlineStr">
        <is>
          <t xml:space="preserve">backend/src/modules/viewings/**
backend/tests/viewings/**
backend/tests/e2e/viewing-contract/**
backend/contracts/viewings.*</t>
        </is>
      </c>
      <c r="K28" s="2" t="inlineStr">
        <is>
          <t xml:space="preserve">BE-B09, BE-C05</t>
        </is>
      </c>
      <c r="L28" s="2" t="inlineStr">
        <is>
          <t xml:space="preserve"/>
        </is>
      </c>
      <c r="M28" s="2" t="inlineStr">
        <is>
          <t xml:space="preserve"/>
        </is>
      </c>
      <c r="N28" s="2" t="inlineStr">
        <is>
          <t xml:space="preserve">Gửi contract từ lịch bàn giao, kiểm tra lịch/proposal ở mọi post cùng room.
Phân biệt lịch chưa bắt đầu với đang diễn ra/đã hết; trả event tổng hợp cho A.
Hủy contract không khôi phục lịch cũ; lập bug đúng owner file/SQL thay vì sửa chéo.</t>
        </is>
      </c>
      <c r="O28" s="2" t="inlineStr">
        <is>
          <t xml:space="preserve">QA03/04 chạy với cả endpoint lịch và contract thật.
Timeline A11 và list lịch đều đọc cùng trạng thái.</t>
        </is>
      </c>
      <c r="P28" s="2" t="inlineStr">
        <is>
          <t xml:space="preserve">Chưa làm</t>
        </is>
      </c>
      <c r="Q28" s="2" t="inlineStr">
        <is>
          <t xml:space="preserve">Chưa</t>
        </is>
      </c>
      <c r="R28" s="2" t="inlineStr">
        <is>
          <t xml:space="preserve">Chưa</t>
        </is>
      </c>
      <c r="S28" s="2" t="inlineStr">
        <is>
          <t xml:space="preserve">Chưa</t>
        </is>
      </c>
      <c r="T28" s="2" t="inlineStr">
        <is>
          <t xml:space="preserve">Chưa</t>
        </is>
      </c>
      <c r="U28" s="2" t="inlineStr">
        <is>
          <t xml:space="preserve">Chưa</t>
        </is>
      </c>
      <c r="V28" s="2" t="inlineStr">
        <is>
          <t xml:space="preserve">Chưa</t>
        </is>
      </c>
      <c r="W28" s="2" t="inlineStr">
        <is>
          <t xml:space="preserve">Chưa</t>
        </is>
      </c>
      <c r="X28" s="3">
        <f>COUNTIF(Q28:W28,"Xong")/7</f>
        <v>0</v>
      </c>
      <c r="Y28" s="2" t="str">
        <f>IF(AND(AND(INDEX(BE_Tasks!$P$2:$P$53,MATCH("BE-B09",BE_Tasks!$A$2:$A$53,0))="Hoàn thành",INDEX(BE_Tasks!$Z$2:$Z$53,MATCH("BE-B09",BE_Tasks!$A$2:$A$53,0))=""),AND(INDEX(BE_Tasks!$P$2:$P$53,MATCH("BE-C05",BE_Tasks!$A$2:$A$53,0))="Hoàn thành",INDEX(BE_Tasks!$Z$2:$Z$53,MATCH("BE-C05",BE_Tasks!$A$2:$A$53,0))="")),"Đủ điều kiện","Chờ phụ thuộc")</f>
        <v>Chờ phụ thuộc</v>
      </c>
      <c r="Z28" s="2" t="str">
        <f>IF(AND(P28="Hoàn thành",OR(X28&lt;1,Y28&lt;&gt;"Đủ điều kiện",AND(AE28="",AD28=""))),"Thiếu bước / phụ thuộc / bằng chứng","")</f>
        <v/>
      </c>
      <c r="AA28" s="4" t="inlineStr">
        <is>
          <t xml:space="preserve"/>
        </is>
      </c>
      <c r="AB28" s="4" t="inlineStr">
        <is>
          <t xml:space="preserve"/>
        </is>
      </c>
      <c r="AC28" s="4" t="inlineStr">
        <is>
          <t xml:space="preserve"/>
        </is>
      </c>
      <c r="AD28" s="2" t="inlineStr">
        <is>
          <t xml:space="preserve"/>
        </is>
      </c>
      <c r="AE28" s="2" t="inlineStr">
        <is>
          <t xml:space="preserve"/>
        </is>
      </c>
      <c r="AF28" s="2" t="inlineStr">
        <is>
          <t xml:space="preserve"/>
        </is>
      </c>
      <c r="AG28" s="5" t="inlineStr">
        <is>
          <t xml:space="preserve">Mở task</t>
        </is>
      </c>
    </row>
    <row r="29" ht="72" customHeight="1">
      <c r="A29" s="0" t="inlineStr">
        <is>
          <t xml:space="preserve">BE-B11</t>
        </is>
      </c>
      <c r="B29" s="0" t="inlineStr">
        <is>
          <t xml:space="preserve">P4</t>
        </is>
      </c>
      <c r="C29" s="0">
        <v>11</v>
      </c>
      <c r="D29" s="7" t="inlineStr">
        <is>
          <t xml:space="preserve">B</t>
        </is>
      </c>
      <c r="E29" s="0" t="inlineStr">
        <is>
          <t xml:space="preserve">C</t>
        </is>
      </c>
      <c r="F29" s="0" t="inlineStr">
        <is>
          <t xml:space="preserve">Hồ sơ ở ghép và tình trạng nhà ở</t>
        </is>
      </c>
      <c r="G29" s="0">
        <v>5</v>
      </c>
      <c r="H29" s="0">
        <v>5</v>
      </c>
      <c r="I29" s="0" t="inlineStr">
        <is>
          <t xml:space="preserve">API-062, API-063, API-064, API-066, API-067</t>
        </is>
      </c>
      <c r="J29" s="0" t="inlineStr">
        <is>
          <t xml:space="preserve">backend/src/modules/roommates/**
backend/tests/roommates/**
backend/contracts/roommates.*</t>
        </is>
      </c>
      <c r="K29" s="0" t="inlineStr">
        <is>
          <t xml:space="preserve">BE-B04, BE-C02</t>
        </is>
      </c>
      <c r="L29" s="0" t="inlineStr">
        <is>
          <t xml:space="preserve"/>
        </is>
      </c>
      <c r="M29" s="0" t="inlineStr">
        <is>
          <t xml:space="preserve"/>
        </is>
      </c>
      <c r="N29" s="0" t="inlineStr">
        <is>
          <t xml:space="preserve">PUT profile version, budget/location/available date; IN_SYSTEM do server suy từ đúng member ACTIVE.
EXTERNAL tối đa 1.000 ký tự và bỏ mô tả khi đổi trạng thái.
Giá trị lifestyle giữ schema JSON theo criterion, không thêm cột mỗi thói quen.</t>
        </is>
      </c>
      <c r="O29" s="0" t="inlineStr">
        <is>
          <t xml:space="preserve">Không tự gắn memberId client gửi; stale version 409.
Người chưa có ACTIVE được tự khai chưa có chỗ/ngoài hệ thống đúng rule.</t>
        </is>
      </c>
      <c r="P29" s="0" t="inlineStr">
        <is>
          <t xml:space="preserve">Chưa làm</t>
        </is>
      </c>
      <c r="Q29" s="0" t="inlineStr">
        <is>
          <t xml:space="preserve">Chưa</t>
        </is>
      </c>
      <c r="R29" s="0" t="inlineStr">
        <is>
          <t xml:space="preserve">Chưa</t>
        </is>
      </c>
      <c r="S29" s="0" t="inlineStr">
        <is>
          <t xml:space="preserve">Chưa</t>
        </is>
      </c>
      <c r="T29" s="0" t="inlineStr">
        <is>
          <t xml:space="preserve">Chưa</t>
        </is>
      </c>
      <c r="U29" s="0" t="inlineStr">
        <is>
          <t xml:space="preserve">Chưa</t>
        </is>
      </c>
      <c r="V29" s="0" t="inlineStr">
        <is>
          <t xml:space="preserve">Chưa</t>
        </is>
      </c>
      <c r="W29" s="0" t="inlineStr">
        <is>
          <t xml:space="preserve">Chưa</t>
        </is>
      </c>
      <c r="X29" s="3">
        <f>COUNTIF(Q29:W29,"Xong")/7</f>
        <v>0</v>
      </c>
      <c r="Y29" s="0" t="str">
        <f>IF(AND(AND(INDEX(BE_Tasks!$P$2:$P$53,MATCH("BE-B04",BE_Tasks!$A$2:$A$53,0))="Hoàn thành",INDEX(BE_Tasks!$Z$2:$Z$53,MATCH("BE-B04",BE_Tasks!$A$2:$A$53,0))=""),AND(INDEX(BE_Tasks!$P$2:$P$53,MATCH("BE-C02",BE_Tasks!$A$2:$A$53,0))="Hoàn thành",INDEX(BE_Tasks!$Z$2:$Z$53,MATCH("BE-C02",BE_Tasks!$A$2:$A$53,0))="")),"Đủ điều kiện","Chờ phụ thuộc")</f>
        <v>Chờ phụ thuộc</v>
      </c>
      <c r="Z29" s="0" t="str">
        <f>IF(AND(P29="Hoàn thành",OR(X29&lt;1,Y29&lt;&gt;"Đủ điều kiện",AND(AE29="",AD29=""))),"Thiếu bước / phụ thuộc / bằng chứng","")</f>
        <v/>
      </c>
      <c r="AA29" s="4" t="inlineStr">
        <is>
          <t xml:space="preserve"/>
        </is>
      </c>
      <c r="AB29" s="4" t="inlineStr">
        <is>
          <t xml:space="preserve"/>
        </is>
      </c>
      <c r="AC29" s="4" t="inlineStr">
        <is>
          <t xml:space="preserve"/>
        </is>
      </c>
      <c r="AD29" s="0" t="inlineStr">
        <is>
          <t xml:space="preserve"/>
        </is>
      </c>
      <c r="AE29" s="0" t="inlineStr">
        <is>
          <t xml:space="preserve"/>
        </is>
      </c>
      <c r="AF29" s="0" t="inlineStr">
        <is>
          <t xml:space="preserve"/>
        </is>
      </c>
      <c r="AG29" s="5" t="inlineStr">
        <is>
          <t xml:space="preserve">Mở task</t>
        </is>
      </c>
    </row>
    <row r="30" ht="72" customHeight="1">
      <c r="A30" s="2" t="inlineStr">
        <is>
          <t xml:space="preserve">BE-B12</t>
        </is>
      </c>
      <c r="B30" s="2" t="inlineStr">
        <is>
          <t xml:space="preserve">P4</t>
        </is>
      </c>
      <c r="C30" s="2">
        <v>12</v>
      </c>
      <c r="D30" s="7" t="inlineStr">
        <is>
          <t xml:space="preserve">B</t>
        </is>
      </c>
      <c r="E30" s="2" t="inlineStr">
        <is>
          <t xml:space="preserve">C</t>
        </is>
      </c>
      <c r="F30" s="2" t="inlineStr">
        <is>
          <t xml:space="preserve">Danh mục tiêu chí ghép linh động</t>
        </is>
      </c>
      <c r="G30" s="2">
        <v>3</v>
      </c>
      <c r="H30" s="2">
        <v>3</v>
      </c>
      <c r="I30" s="2" t="inlineStr">
        <is>
          <t xml:space="preserve">API-065, API-069, API-070</t>
        </is>
      </c>
      <c r="J30" s="2" t="inlineStr">
        <is>
          <t xml:space="preserve">backend/src/modules/roommates/**
backend/tests/roommates/**
backend/contracts/roommates.*</t>
        </is>
      </c>
      <c r="K30" s="2" t="inlineStr">
        <is>
          <t xml:space="preserve">BE-B11</t>
        </is>
      </c>
      <c r="L30" s="2" t="inlineStr">
        <is>
          <t xml:space="preserve"/>
        </is>
      </c>
      <c r="M30" s="2" t="inlineStr">
        <is>
          <t xml:space="preserve">D02</t>
        </is>
      </c>
      <c r="N30" s="2" t="inlineStr">
        <is>
          <t xml:space="preserve">Code duy nhất, valueType/allowedValues hợp lệ; mandatory cần preferredValue, importance 0–5.
Không đổi kiểu khiến profile cũ mất nghĩa; thay đổi tương thích cần version/plan.
Đề xuất D02 cho người chốt; giải thích score v1 và xử lý thiếu dữ liệu.</t>
        </is>
      </c>
      <c r="O30" s="2" t="inlineStr">
        <is>
          <t xml:space="preserve">Self/preferred JSON sai kiểu hoặc category ngoài tập bị chặn.
Ngừng tiêu chí vẫn giữ giá trị lịch sử theo chính sách.</t>
        </is>
      </c>
      <c r="P30" s="2" t="inlineStr">
        <is>
          <t xml:space="preserve">Chưa làm</t>
        </is>
      </c>
      <c r="Q30" s="2" t="inlineStr">
        <is>
          <t xml:space="preserve">Chưa</t>
        </is>
      </c>
      <c r="R30" s="2" t="inlineStr">
        <is>
          <t xml:space="preserve">Chưa</t>
        </is>
      </c>
      <c r="S30" s="2" t="inlineStr">
        <is>
          <t xml:space="preserve">Chưa</t>
        </is>
      </c>
      <c r="T30" s="2" t="inlineStr">
        <is>
          <t xml:space="preserve">Chưa</t>
        </is>
      </c>
      <c r="U30" s="2" t="inlineStr">
        <is>
          <t xml:space="preserve">Chưa</t>
        </is>
      </c>
      <c r="V30" s="2" t="inlineStr">
        <is>
          <t xml:space="preserve">Chưa</t>
        </is>
      </c>
      <c r="W30" s="2" t="inlineStr">
        <is>
          <t xml:space="preserve">Chưa</t>
        </is>
      </c>
      <c r="X30" s="3">
        <f>COUNTIF(Q30:W30,"Xong")/7</f>
        <v>0</v>
      </c>
      <c r="Y30" s="2" t="str">
        <f>IF(AND(AND(INDEX(BE_Tasks!$P$2:$P$53,MATCH("BE-B11",BE_Tasks!$A$2:$A$53,0))="Hoàn thành",INDEX(BE_Tasks!$Z$2:$Z$53,MATCH("BE-B11",BE_Tasks!$A$2:$A$53,0))="")),"Đủ điều kiện","Chờ phụ thuộc")</f>
        <v>Chờ phụ thuộc</v>
      </c>
      <c r="Z30" s="2" t="str">
        <f>IF(AND(P30="Hoàn thành",OR(X30&lt;1,Y30&lt;&gt;"Đủ điều kiện",AND(AE30="",AD30=""))),"Thiếu bước / phụ thuộc / bằng chứng","")</f>
        <v/>
      </c>
      <c r="AA30" s="4" t="inlineStr">
        <is>
          <t xml:space="preserve"/>
        </is>
      </c>
      <c r="AB30" s="4" t="inlineStr">
        <is>
          <t xml:space="preserve"/>
        </is>
      </c>
      <c r="AC30" s="4" t="inlineStr">
        <is>
          <t xml:space="preserve"/>
        </is>
      </c>
      <c r="AD30" s="2" t="inlineStr">
        <is>
          <t xml:space="preserve"/>
        </is>
      </c>
      <c r="AE30" s="2" t="inlineStr">
        <is>
          <t xml:space="preserve"/>
        </is>
      </c>
      <c r="AF30" s="2" t="inlineStr">
        <is>
          <t xml:space="preserve"/>
        </is>
      </c>
      <c r="AG30" s="5" t="inlineStr">
        <is>
          <t xml:space="preserve">Mở task</t>
        </is>
      </c>
    </row>
    <row r="31" ht="72" customHeight="1">
      <c r="A31" s="0" t="inlineStr">
        <is>
          <t xml:space="preserve">BE-B13</t>
        </is>
      </c>
      <c r="B31" s="0" t="inlineStr">
        <is>
          <t xml:space="preserve">P4</t>
        </is>
      </c>
      <c r="C31" s="0">
        <v>13</v>
      </c>
      <c r="D31" s="7" t="inlineStr">
        <is>
          <t xml:space="preserve">B</t>
        </is>
      </c>
      <c r="E31" s="0" t="inlineStr">
        <is>
          <t xml:space="preserve">C</t>
        </is>
      </c>
      <c r="F31" s="0" t="inlineStr">
        <is>
          <t xml:space="preserve">Mời kết nối và tạo chat đúng một lần</t>
        </is>
      </c>
      <c r="G31" s="0">
        <v>5</v>
      </c>
      <c r="H31" s="0">
        <v>5</v>
      </c>
      <c r="I31" s="0" t="inlineStr">
        <is>
          <t xml:space="preserve">API-071, API-072, API-073, API-074, API-075</t>
        </is>
      </c>
      <c r="J31" s="0" t="inlineStr">
        <is>
          <t xml:space="preserve">backend/src/modules/roommates/**
backend/tests/roommates/**
backend/contracts/roommates.*</t>
        </is>
      </c>
      <c r="K31" s="0" t="inlineStr">
        <is>
          <t xml:space="preserve">BE-B12, BE-A08</t>
        </is>
      </c>
      <c r="L31" s="0" t="inlineStr">
        <is>
          <t xml:space="preserve"/>
        </is>
      </c>
      <c r="M31" s="0" t="inlineStr">
        <is>
          <t xml:space="preserve">D03</t>
        </is>
      </c>
      <c r="N31" s="0" t="inlineStr">
        <is>
          <t xml:space="preserve">Người gửi có profile, cặp chuẩn hóa chống hai chiều, receiver mới được phản hồi.
ACCEPT ghi request và ensureRoommateConversation(tx) nguyên tử, không tạo join/hold.
End ghi ended_at/reason, chặn gửi mới; policy đọc lịch sử D03 phải chốt cùng A.</t>
        </is>
      </c>
      <c r="O31" s="0" t="inlineStr">
        <is>
          <t xml:space="preserve">Gửi chéo không tự accept; retry accept không sinh chat trùng.
Hồ sơ cũ vẫn phản hồi được; room capacity không chặn kết nối đơn thuần.</t>
        </is>
      </c>
      <c r="P31" s="0" t="inlineStr">
        <is>
          <t xml:space="preserve">Chưa làm</t>
        </is>
      </c>
      <c r="Q31" s="0" t="inlineStr">
        <is>
          <t xml:space="preserve">Chưa</t>
        </is>
      </c>
      <c r="R31" s="0" t="inlineStr">
        <is>
          <t xml:space="preserve">Chưa</t>
        </is>
      </c>
      <c r="S31" s="0" t="inlineStr">
        <is>
          <t xml:space="preserve">Chưa</t>
        </is>
      </c>
      <c r="T31" s="0" t="inlineStr">
        <is>
          <t xml:space="preserve">Chưa</t>
        </is>
      </c>
      <c r="U31" s="0" t="inlineStr">
        <is>
          <t xml:space="preserve">Chưa</t>
        </is>
      </c>
      <c r="V31" s="0" t="inlineStr">
        <is>
          <t xml:space="preserve">Chưa</t>
        </is>
      </c>
      <c r="W31" s="0" t="inlineStr">
        <is>
          <t xml:space="preserve">Chưa</t>
        </is>
      </c>
      <c r="X31" s="3">
        <f>COUNTIF(Q31:W31,"Xong")/7</f>
        <v>0</v>
      </c>
      <c r="Y31" s="0" t="str">
        <f>IF(AND(AND(INDEX(BE_Tasks!$P$2:$P$53,MATCH("BE-B12",BE_Tasks!$A$2:$A$53,0))="Hoàn thành",INDEX(BE_Tasks!$Z$2:$Z$53,MATCH("BE-B12",BE_Tasks!$A$2:$A$53,0))=""),AND(INDEX(BE_Tasks!$P$2:$P$53,MATCH("BE-A08",BE_Tasks!$A$2:$A$53,0))="Hoàn thành",INDEX(BE_Tasks!$Z$2:$Z$53,MATCH("BE-A08",BE_Tasks!$A$2:$A$53,0))="")),"Đủ điều kiện","Chờ phụ thuộc")</f>
        <v>Chờ phụ thuộc</v>
      </c>
      <c r="Z31" s="0" t="str">
        <f>IF(AND(P31="Hoàn thành",OR(X31&lt;1,Y31&lt;&gt;"Đủ điều kiện",AND(AE31="",AD31=""))),"Thiếu bước / phụ thuộc / bằng chứng","")</f>
        <v/>
      </c>
      <c r="AA31" s="4" t="inlineStr">
        <is>
          <t xml:space="preserve"/>
        </is>
      </c>
      <c r="AB31" s="4" t="inlineStr">
        <is>
          <t xml:space="preserve"/>
        </is>
      </c>
      <c r="AC31" s="4" t="inlineStr">
        <is>
          <t xml:space="preserve"/>
        </is>
      </c>
      <c r="AD31" s="0" t="inlineStr">
        <is>
          <t xml:space="preserve"/>
        </is>
      </c>
      <c r="AE31" s="0" t="inlineStr">
        <is>
          <t xml:space="preserve"/>
        </is>
      </c>
      <c r="AF31" s="0" t="inlineStr">
        <is>
          <t xml:space="preserve"/>
        </is>
      </c>
      <c r="AG31" s="5" t="inlineStr">
        <is>
          <t xml:space="preserve">Mở task</t>
        </is>
      </c>
    </row>
    <row r="32" ht="72" customHeight="1">
      <c r="A32" s="2" t="inlineStr">
        <is>
          <t xml:space="preserve">BE-B14</t>
        </is>
      </c>
      <c r="B32" s="2" t="inlineStr">
        <is>
          <t xml:space="preserve">P5</t>
        </is>
      </c>
      <c r="C32" s="2">
        <v>14</v>
      </c>
      <c r="D32" s="7" t="inlineStr">
        <is>
          <t xml:space="preserve">B</t>
        </is>
      </c>
      <c r="E32" s="2" t="inlineStr">
        <is>
          <t xml:space="preserve">C</t>
        </is>
      </c>
      <c r="F32" s="2" t="inlineStr">
        <is>
          <t xml:space="preserve">Báo cáo vi phạm và kết luận</t>
        </is>
      </c>
      <c r="G32" s="2">
        <v>5</v>
      </c>
      <c r="H32" s="2">
        <v>5</v>
      </c>
      <c r="I32" s="2" t="inlineStr">
        <is>
          <t xml:space="preserve">API-156, API-157, API-158, API-159, API-160</t>
        </is>
      </c>
      <c r="J32" s="2" t="inlineStr">
        <is>
          <t xml:space="preserve">backend/src/modules/reviews/**
backend/src/modules/reports/**
backend/tests/content-moderation/**</t>
        </is>
      </c>
      <c r="K32" s="2" t="inlineStr">
        <is>
          <t xml:space="preserve">BE-B07, BE-A05, BE-A04</t>
        </is>
      </c>
      <c r="L32" s="2" t="inlineStr">
        <is>
          <t xml:space="preserve"/>
        </is>
      </c>
      <c r="M32" s="2" t="inlineStr">
        <is>
          <t xml:space="preserve"/>
        </is>
      </c>
      <c r="N32" s="2" t="inlineStr">
        <is>
          <t xml:space="preserve">Target đúng một loại và người báo cáo có quyền đọc; file bằng chứng PRIVATE thuộc actor.
Hàng đợi/details/decision với actor/time/resolution; audit không tự khóa user hoặc hủy thuê.
Giữ các FK và che kết quả điều tra riêng tư khỏi reporter khi không được phép.</t>
        </is>
      </c>
      <c r="O32" s="2" t="inlineStr">
        <is>
          <t xml:space="preserve">Không nhắm nhiều target cùng report; bản đóng không bị form cũ mở lại.
Nếu cần khóa account, gọi cổng A theo nghiệp vụ; không viết users repository mới.</t>
        </is>
      </c>
      <c r="P32" s="2" t="inlineStr">
        <is>
          <t xml:space="preserve">Chưa làm</t>
        </is>
      </c>
      <c r="Q32" s="2" t="inlineStr">
        <is>
          <t xml:space="preserve">Chưa</t>
        </is>
      </c>
      <c r="R32" s="2" t="inlineStr">
        <is>
          <t xml:space="preserve">Chưa</t>
        </is>
      </c>
      <c r="S32" s="2" t="inlineStr">
        <is>
          <t xml:space="preserve">Chưa</t>
        </is>
      </c>
      <c r="T32" s="2" t="inlineStr">
        <is>
          <t xml:space="preserve">Chưa</t>
        </is>
      </c>
      <c r="U32" s="2" t="inlineStr">
        <is>
          <t xml:space="preserve">Chưa</t>
        </is>
      </c>
      <c r="V32" s="2" t="inlineStr">
        <is>
          <t xml:space="preserve">Chưa</t>
        </is>
      </c>
      <c r="W32" s="2" t="inlineStr">
        <is>
          <t xml:space="preserve">Chưa</t>
        </is>
      </c>
      <c r="X32" s="3">
        <f>COUNTIF(Q32:W32,"Xong")/7</f>
        <v>0</v>
      </c>
      <c r="Y32" s="2" t="str">
        <f>IF(AND(AND(INDEX(BE_Tasks!$P$2:$P$53,MATCH("BE-B07",BE_Tasks!$A$2:$A$53,0))="Hoàn thành",INDEX(BE_Tasks!$Z$2:$Z$53,MATCH("BE-B07",BE_Tasks!$A$2:$A$53,0))=""),AND(INDEX(BE_Tasks!$P$2:$P$53,MATCH("BE-A05",BE_Tasks!$A$2:$A$53,0))="Hoàn thành",INDEX(BE_Tasks!$Z$2:$Z$53,MATCH("BE-A05",BE_Tasks!$A$2:$A$53,0))=""),AND(INDEX(BE_Tasks!$P$2:$P$53,MATCH("BE-A04",BE_Tasks!$A$2:$A$53,0))="Hoàn thành",INDEX(BE_Tasks!$Z$2:$Z$53,MATCH("BE-A04",BE_Tasks!$A$2:$A$53,0))="")),"Đủ điều kiện","Chờ phụ thuộc")</f>
        <v>Chờ phụ thuộc</v>
      </c>
      <c r="Z32" s="2" t="str">
        <f>IF(AND(P32="Hoàn thành",OR(X32&lt;1,Y32&lt;&gt;"Đủ điều kiện",AND(AE32="",AD32=""))),"Thiếu bước / phụ thuộc / bằng chứng","")</f>
        <v/>
      </c>
      <c r="AA32" s="4" t="inlineStr">
        <is>
          <t xml:space="preserve"/>
        </is>
      </c>
      <c r="AB32" s="4" t="inlineStr">
        <is>
          <t xml:space="preserve"/>
        </is>
      </c>
      <c r="AC32" s="4" t="inlineStr">
        <is>
          <t xml:space="preserve"/>
        </is>
      </c>
      <c r="AD32" s="2" t="inlineStr">
        <is>
          <t xml:space="preserve"/>
        </is>
      </c>
      <c r="AE32" s="2" t="inlineStr">
        <is>
          <t xml:space="preserve"/>
        </is>
      </c>
      <c r="AF32" s="2" t="inlineStr">
        <is>
          <t xml:space="preserve"/>
        </is>
      </c>
      <c r="AG32" s="5" t="inlineStr">
        <is>
          <t xml:space="preserve">Mở task</t>
        </is>
      </c>
    </row>
    <row r="33" ht="72" customHeight="1">
      <c r="A33" s="0" t="inlineStr">
        <is>
          <t xml:space="preserve">BE-B15</t>
        </is>
      </c>
      <c r="B33" s="0" t="inlineStr">
        <is>
          <t xml:space="preserve">P6</t>
        </is>
      </c>
      <c r="C33" s="0">
        <v>15</v>
      </c>
      <c r="D33" s="7" t="inlineStr">
        <is>
          <t xml:space="preserve">B</t>
        </is>
      </c>
      <c r="E33" s="0" t="inlineStr">
        <is>
          <t xml:space="preserve">C</t>
        </is>
      </c>
      <c r="F33" s="0" t="inlineStr">
        <is>
          <t xml:space="preserve">Danh sách người phù hợp theo chính sách đã chốt</t>
        </is>
      </c>
      <c r="G33" s="0">
        <v>5</v>
      </c>
      <c r="H33" s="0">
        <v>1</v>
      </c>
      <c r="I33" s="0" t="inlineStr">
        <is>
          <t xml:space="preserve">API-068</t>
        </is>
      </c>
      <c r="J33" s="0" t="inlineStr">
        <is>
          <t xml:space="preserve">backend/src/modules/roommates/**
backend/tests/roommates/**
backend/contracts/roommates.*</t>
        </is>
      </c>
      <c r="K33" s="0" t="inlineStr">
        <is>
          <t xml:space="preserve">BE-B13</t>
        </is>
      </c>
      <c r="L33" s="0" t="inlineStr">
        <is>
          <t xml:space="preserve"/>
        </is>
      </c>
      <c r="M33" s="0" t="inlineStr">
        <is>
          <t xml:space="preserve">D02</t>
        </is>
      </c>
      <c r="N33" s="0" t="inlineStr">
        <is>
          <t xml:space="preserve">Lọc self/inactive, location/budget và tiêu chí bắt buộc.
AlgorithmVersion/score/explanations cố định theo D02, test cùng dữ liệu thiếu/ngân sách biên.
Nếu D02 chưa chốt, ghi Bị chặn cho task; không trả score mẫu như kết quả thật.</t>
        </is>
      </c>
      <c r="O33" s="0" t="inlineStr">
        <is>
          <t xml:space="preserve">Cùng input+algorithmVersion có kết quả xác định, không lộ PII cư dân.
Cấu trúc output giữ contract, có pagination/sort ổn định.</t>
        </is>
      </c>
      <c r="P33" s="0" t="inlineStr">
        <is>
          <t xml:space="preserve">Chưa làm</t>
        </is>
      </c>
      <c r="Q33" s="0" t="inlineStr">
        <is>
          <t xml:space="preserve">Chưa</t>
        </is>
      </c>
      <c r="R33" s="0" t="inlineStr">
        <is>
          <t xml:space="preserve">Chưa</t>
        </is>
      </c>
      <c r="S33" s="0" t="inlineStr">
        <is>
          <t xml:space="preserve">Chưa</t>
        </is>
      </c>
      <c r="T33" s="0" t="inlineStr">
        <is>
          <t xml:space="preserve">Chưa</t>
        </is>
      </c>
      <c r="U33" s="0" t="inlineStr">
        <is>
          <t xml:space="preserve">Chưa</t>
        </is>
      </c>
      <c r="V33" s="0" t="inlineStr">
        <is>
          <t xml:space="preserve">Chưa</t>
        </is>
      </c>
      <c r="W33" s="0" t="inlineStr">
        <is>
          <t xml:space="preserve">Chưa</t>
        </is>
      </c>
      <c r="X33" s="3">
        <f>COUNTIF(Q33:W33,"Xong")/7</f>
        <v>0</v>
      </c>
      <c r="Y33" s="0" t="str">
        <f>IF(AND(AND(INDEX(BE_Tasks!$P$2:$P$53,MATCH("BE-B13",BE_Tasks!$A$2:$A$53,0))="Hoàn thành",INDEX(BE_Tasks!$Z$2:$Z$53,MATCH("BE-B13",BE_Tasks!$A$2:$A$53,0))="")),"Đủ điều kiện","Chờ phụ thuộc")</f>
        <v>Chờ phụ thuộc</v>
      </c>
      <c r="Z33" s="0" t="str">
        <f>IF(AND(P33="Hoàn thành",OR(X33&lt;1,Y33&lt;&gt;"Đủ điều kiện",AND(AE33="",AD33=""))),"Thiếu bước / phụ thuộc / bằng chứng","")</f>
        <v/>
      </c>
      <c r="AA33" s="4" t="inlineStr">
        <is>
          <t xml:space="preserve"/>
        </is>
      </c>
      <c r="AB33" s="4" t="inlineStr">
        <is>
          <t xml:space="preserve"/>
        </is>
      </c>
      <c r="AC33" s="4" t="inlineStr">
        <is>
          <t xml:space="preserve"/>
        </is>
      </c>
      <c r="AD33" s="0" t="inlineStr">
        <is>
          <t xml:space="preserve"/>
        </is>
      </c>
      <c r="AE33" s="0" t="inlineStr">
        <is>
          <t xml:space="preserve"/>
        </is>
      </c>
      <c r="AF33" s="0" t="inlineStr">
        <is>
          <t xml:space="preserve"/>
        </is>
      </c>
      <c r="AG33" s="5" t="inlineStr">
        <is>
          <t xml:space="preserve">Mở task</t>
        </is>
      </c>
    </row>
    <row r="34" ht="72" customHeight="1">
      <c r="A34" s="2" t="inlineStr">
        <is>
          <t xml:space="preserve">BE-B16</t>
        </is>
      </c>
      <c r="B34" s="2" t="inlineStr">
        <is>
          <t xml:space="preserve">P6</t>
        </is>
      </c>
      <c r="C34" s="2">
        <v>16</v>
      </c>
      <c r="D34" s="7" t="inlineStr">
        <is>
          <t xml:space="preserve">B</t>
        </is>
      </c>
      <c r="E34" s="2" t="inlineStr">
        <is>
          <t xml:space="preserve">C</t>
        </is>
      </c>
      <c r="F34" s="2" t="inlineStr">
        <is>
          <t xml:space="preserve">Đánh giá theo bằng chứng cư trú và audit</t>
        </is>
      </c>
      <c r="G34" s="2">
        <v>5</v>
      </c>
      <c r="H34" s="2">
        <v>3</v>
      </c>
      <c r="I34" s="2" t="inlineStr">
        <is>
          <t xml:space="preserve">API-153, API-154, API-155</t>
        </is>
      </c>
      <c r="J34" s="2" t="inlineStr">
        <is>
          <t xml:space="preserve">backend/src/modules/reviews/**
backend/src/modules/reports/**
backend/tests/content-moderation/**</t>
        </is>
      </c>
      <c r="K34" s="2" t="inlineStr">
        <is>
          <t xml:space="preserve">BE-B14, BE-C02, BE-A15</t>
        </is>
      </c>
      <c r="L34" s="2" t="inlineStr">
        <is>
          <t xml:space="preserve"/>
        </is>
      </c>
      <c r="M34" s="2" t="inlineStr">
        <is>
          <t xml:space="preserve">D13, D14</t>
        </is>
      </c>
      <c r="N34" s="2" t="inlineStr">
        <is>
          <t xml:space="preserve">Unique reviewer+room+contract; đúng roomTenant evidence của actor, rating 1–5.
Public chỉ PUBLISHED, moderation không sửa bằng chứng hợp đồng/cư trú.
Giữ trạng thái cần chốt nếu D13/D14 chưa có quyết định, không ghi nhầm target_post_id.</t>
        </is>
      </c>
      <c r="O34" s="2" t="inlineStr">
        <is>
          <t xml:space="preserve">Tài khoản chỉ từng xem phòng không được review; không đánh giá trùng.
Ẩn review giữ audit đúng đối tượng và không làm mất cư trú.</t>
        </is>
      </c>
      <c r="P34" s="2" t="inlineStr">
        <is>
          <t xml:space="preserve">Chưa làm</t>
        </is>
      </c>
      <c r="Q34" s="2" t="inlineStr">
        <is>
          <t xml:space="preserve">Chưa</t>
        </is>
      </c>
      <c r="R34" s="2" t="inlineStr">
        <is>
          <t xml:space="preserve">Chưa</t>
        </is>
      </c>
      <c r="S34" s="2" t="inlineStr">
        <is>
          <t xml:space="preserve">Chưa</t>
        </is>
      </c>
      <c r="T34" s="2" t="inlineStr">
        <is>
          <t xml:space="preserve">Chưa</t>
        </is>
      </c>
      <c r="U34" s="2" t="inlineStr">
        <is>
          <t xml:space="preserve">Chưa</t>
        </is>
      </c>
      <c r="V34" s="2" t="inlineStr">
        <is>
          <t xml:space="preserve">Chưa</t>
        </is>
      </c>
      <c r="W34" s="2" t="inlineStr">
        <is>
          <t xml:space="preserve">Chưa</t>
        </is>
      </c>
      <c r="X34" s="3">
        <f>COUNTIF(Q34:W34,"Xong")/7</f>
        <v>0</v>
      </c>
      <c r="Y34" s="2" t="str">
        <f>IF(AND(AND(INDEX(BE_Tasks!$P$2:$P$53,MATCH("BE-B14",BE_Tasks!$A$2:$A$53,0))="Hoàn thành",INDEX(BE_Tasks!$Z$2:$Z$53,MATCH("BE-B14",BE_Tasks!$A$2:$A$53,0))=""),AND(INDEX(BE_Tasks!$P$2:$P$53,MATCH("BE-C02",BE_Tasks!$A$2:$A$53,0))="Hoàn thành",INDEX(BE_Tasks!$Z$2:$Z$53,MATCH("BE-C02",BE_Tasks!$A$2:$A$53,0))=""),AND(INDEX(BE_Tasks!$P$2:$P$53,MATCH("BE-A15",BE_Tasks!$A$2:$A$53,0))="Hoàn thành",INDEX(BE_Tasks!$Z$2:$Z$53,MATCH("BE-A15",BE_Tasks!$A$2:$A$53,0))="")),"Đủ điều kiện","Chờ phụ thuộc")</f>
        <v>Chờ phụ thuộc</v>
      </c>
      <c r="Z34" s="2" t="str">
        <f>IF(AND(P34="Hoàn thành",OR(X34&lt;1,Y34&lt;&gt;"Đủ điều kiện",AND(AE34="",AD34=""))),"Thiếu bước / phụ thuộc / bằng chứng","")</f>
        <v/>
      </c>
      <c r="AA34" s="4" t="inlineStr">
        <is>
          <t xml:space="preserve"/>
        </is>
      </c>
      <c r="AB34" s="4" t="inlineStr">
        <is>
          <t xml:space="preserve"/>
        </is>
      </c>
      <c r="AC34" s="4" t="inlineStr">
        <is>
          <t xml:space="preserve"/>
        </is>
      </c>
      <c r="AD34" s="2" t="inlineStr">
        <is>
          <t xml:space="preserve"/>
        </is>
      </c>
      <c r="AE34" s="2" t="inlineStr">
        <is>
          <t xml:space="preserve"/>
        </is>
      </c>
      <c r="AF34" s="2" t="inlineStr">
        <is>
          <t xml:space="preserve"/>
        </is>
      </c>
      <c r="AG34" s="5" t="inlineStr">
        <is>
          <t xml:space="preserve">Mở task</t>
        </is>
      </c>
    </row>
    <row r="35" ht="72" customHeight="1">
      <c r="A35" s="0" t="inlineStr">
        <is>
          <t xml:space="preserve">BE-B17</t>
        </is>
      </c>
      <c r="B35" s="0" t="inlineStr">
        <is>
          <t xml:space="preserve">P6</t>
        </is>
      </c>
      <c r="C35" s="0">
        <v>17</v>
      </c>
      <c r="D35" s="7" t="inlineStr">
        <is>
          <t xml:space="preserve">B</t>
        </is>
      </c>
      <c r="E35" s="0" t="inlineStr">
        <is>
          <t xml:space="preserve">C</t>
        </is>
      </c>
      <c r="F35" s="0" t="inlineStr">
        <is>
          <t xml:space="preserve">Dashboard chủ trọ bằng metric ports</t>
        </is>
      </c>
      <c r="G35" s="0">
        <v>3</v>
      </c>
      <c r="H35" s="0">
        <v>1</v>
      </c>
      <c r="I35" s="0" t="inlineStr">
        <is>
          <t xml:space="preserve">API-175</t>
        </is>
      </c>
      <c r="J35" s="0" t="inlineStr">
        <is>
          <t xml:space="preserve">backend/src/modules/properties/**
backend/src/modules/house-rights/**
backend/tests/properties/**
backend/tests/fixtures/B/**
backend/tests/contracts/B/**
backend/tests/e2e/property-*/**
backend/contracts/properties.*</t>
        </is>
      </c>
      <c r="K35" s="0" t="inlineStr">
        <is>
          <t xml:space="preserve">BE-B16, BE-A13, BE-C12</t>
        </is>
      </c>
      <c r="L35" s="0" t="inlineStr">
        <is>
          <t xml:space="preserve"/>
        </is>
      </c>
      <c r="M35" s="0" t="inlineStr">
        <is>
          <t xml:space="preserve"/>
        </is>
      </c>
      <c r="N35" s="0" t="inlineStr">
        <is>
          <t xml:space="preserve">Scope landlord cho từng metric; ACTIVE tính occupied, không đồng nhất reserved với occupied.
Lịch chưa hết giờ, hóa đơn UNPAID/OVERDUE và pending requests có nguồn đúng module.
Có asOf, tách truy vấn count khỏi trả danh tính cư dân.</t>
        </is>
      </c>
      <c r="O35" s="0" t="inlineStr">
        <is>
          <t xml:space="preserve">Không cộng nhầm dữ liệu chủ khác; amount decimal và status phù hợp.
Contract tests của metric ports phát hiện consumer dùng field cũ.</t>
        </is>
      </c>
      <c r="P35" s="0" t="inlineStr">
        <is>
          <t xml:space="preserve">Chưa làm</t>
        </is>
      </c>
      <c r="Q35" s="0" t="inlineStr">
        <is>
          <t xml:space="preserve">Chưa</t>
        </is>
      </c>
      <c r="R35" s="0" t="inlineStr">
        <is>
          <t xml:space="preserve">Chưa</t>
        </is>
      </c>
      <c r="S35" s="0" t="inlineStr">
        <is>
          <t xml:space="preserve">Chưa</t>
        </is>
      </c>
      <c r="T35" s="0" t="inlineStr">
        <is>
          <t xml:space="preserve">Chưa</t>
        </is>
      </c>
      <c r="U35" s="0" t="inlineStr">
        <is>
          <t xml:space="preserve">Chưa</t>
        </is>
      </c>
      <c r="V35" s="0" t="inlineStr">
        <is>
          <t xml:space="preserve">Chưa</t>
        </is>
      </c>
      <c r="W35" s="0" t="inlineStr">
        <is>
          <t xml:space="preserve">Chưa</t>
        </is>
      </c>
      <c r="X35" s="3">
        <f>COUNTIF(Q35:W35,"Xong")/7</f>
        <v>0</v>
      </c>
      <c r="Y35" s="0" t="str">
        <f>IF(AND(AND(INDEX(BE_Tasks!$P$2:$P$53,MATCH("BE-B16",BE_Tasks!$A$2:$A$53,0))="Hoàn thành",INDEX(BE_Tasks!$Z$2:$Z$53,MATCH("BE-B16",BE_Tasks!$A$2:$A$53,0))=""),AND(INDEX(BE_Tasks!$P$2:$P$53,MATCH("BE-A13",BE_Tasks!$A$2:$A$53,0))="Hoàn thành",INDEX(BE_Tasks!$Z$2:$Z$53,MATCH("BE-A13",BE_Tasks!$A$2:$A$53,0))=""),AND(INDEX(BE_Tasks!$P$2:$P$53,MATCH("BE-C12",BE_Tasks!$A$2:$A$53,0))="Hoàn thành",INDEX(BE_Tasks!$Z$2:$Z$53,MATCH("BE-C12",BE_Tasks!$A$2:$A$53,0))="")),"Đủ điều kiện","Chờ phụ thuộc")</f>
        <v>Chờ phụ thuộc</v>
      </c>
      <c r="Z35" s="0" t="str">
        <f>IF(AND(P35="Hoàn thành",OR(X35&lt;1,Y35&lt;&gt;"Đủ điều kiện",AND(AE35="",AD35=""))),"Thiếu bước / phụ thuộc / bằng chứng","")</f>
        <v/>
      </c>
      <c r="AA35" s="4" t="inlineStr">
        <is>
          <t xml:space="preserve"/>
        </is>
      </c>
      <c r="AB35" s="4" t="inlineStr">
        <is>
          <t xml:space="preserve"/>
        </is>
      </c>
      <c r="AC35" s="4" t="inlineStr">
        <is>
          <t xml:space="preserve"/>
        </is>
      </c>
      <c r="AD35" s="0" t="inlineStr">
        <is>
          <t xml:space="preserve"/>
        </is>
      </c>
      <c r="AE35" s="0" t="inlineStr">
        <is>
          <t xml:space="preserve"/>
        </is>
      </c>
      <c r="AF35" s="0" t="inlineStr">
        <is>
          <t xml:space="preserve"/>
        </is>
      </c>
      <c r="AG35" s="5" t="inlineStr">
        <is>
          <t xml:space="preserve">Mở task</t>
        </is>
      </c>
    </row>
    <row r="36" ht="72" customHeight="1">
      <c r="A36" s="2" t="inlineStr">
        <is>
          <t xml:space="preserve">BE-B18</t>
        </is>
      </c>
      <c r="B36" s="2" t="inlineStr">
        <is>
          <t xml:space="preserve">P6</t>
        </is>
      </c>
      <c r="C36" s="2">
        <v>18</v>
      </c>
      <c r="D36" s="7" t="inlineStr">
        <is>
          <t xml:space="preserve">B</t>
        </is>
      </c>
      <c r="E36" s="2" t="inlineStr">
        <is>
          <t xml:space="preserve">C</t>
        </is>
      </c>
      <c r="F36" s="2" t="inlineStr">
        <is>
          <t xml:space="preserve">Worker hết quyền nhà và bảo toàn dữ liệu cũ</t>
        </is>
      </c>
      <c r="G36" s="2">
        <v>2</v>
      </c>
      <c r="H36" s="2">
        <v>0</v>
      </c>
      <c r="I36" s="2" t="inlineStr">
        <is>
          <t xml:space="preserve"/>
        </is>
      </c>
      <c r="J36" s="2" t="inlineStr">
        <is>
          <t xml:space="preserve">backend/src/modules/properties/**
backend/src/modules/house-rights/**
backend/tests/properties/**
backend/tests/fixtures/B/**
backend/tests/contracts/B/**
backend/tests/e2e/property-*/**
backend/contracts/properties.*
database/source/house-rights.sql
database/source/post-review-quota.sql
database/source/viewing-proposals.sql
backend/tests/sql-property/**</t>
        </is>
      </c>
      <c r="K36" s="2" t="inlineStr">
        <is>
          <t xml:space="preserve">BE-B05</t>
        </is>
      </c>
      <c r="L36" s="2" t="inlineStr">
        <is>
          <t xml:space="preserve"/>
        </is>
      </c>
      <c r="M36" s="2" t="inlineStr">
        <is>
          <t xml:space="preserve"/>
        </is>
      </c>
      <c r="N36" s="2" t="inlineStr">
        <is>
          <t xml:space="preserve">APPROVED valid_until&lt;todayVN → EXPIRED theo chính sách, giữ proof/history.
Không xóa/ẩn vật lý từng post hoặc kết thúc contract để giả mất quyền.
Đăng ký worker qua manifest riêng, không sửa worker registry chung.</t>
        </is>
      </c>
      <c r="O36" s="2" t="inlineStr">
        <is>
          <t xml:space="preserve">Job chậm vẫn không công khai tin hết quyền; chạy lặp an toàn.
Luồng rời/kết thúc hợp đồng cũ tiếp tục dùng được.</t>
        </is>
      </c>
      <c r="P36" s="2" t="inlineStr">
        <is>
          <t xml:space="preserve">Chưa làm</t>
        </is>
      </c>
      <c r="Q36" s="2" t="inlineStr">
        <is>
          <t xml:space="preserve">Chưa</t>
        </is>
      </c>
      <c r="R36" s="2" t="inlineStr">
        <is>
          <t xml:space="preserve">Chưa</t>
        </is>
      </c>
      <c r="S36" s="2" t="inlineStr">
        <is>
          <t xml:space="preserve">Chưa</t>
        </is>
      </c>
      <c r="T36" s="2" t="inlineStr">
        <is>
          <t xml:space="preserve">Chưa</t>
        </is>
      </c>
      <c r="U36" s="2" t="inlineStr">
        <is>
          <t xml:space="preserve">Chưa</t>
        </is>
      </c>
      <c r="V36" s="2" t="inlineStr">
        <is>
          <t xml:space="preserve">Chưa</t>
        </is>
      </c>
      <c r="W36" s="2" t="inlineStr">
        <is>
          <t xml:space="preserve">Chưa</t>
        </is>
      </c>
      <c r="X36" s="3">
        <f>COUNTIF(Q36:W36,"Xong")/7</f>
        <v>0</v>
      </c>
      <c r="Y36" s="2" t="str">
        <f>IF(AND(AND(INDEX(BE_Tasks!$P$2:$P$53,MATCH("BE-B05",BE_Tasks!$A$2:$A$53,0))="Hoàn thành",INDEX(BE_Tasks!$Z$2:$Z$53,MATCH("BE-B05",BE_Tasks!$A$2:$A$53,0))="")),"Đủ điều kiện","Chờ phụ thuộc")</f>
        <v>Chờ phụ thuộc</v>
      </c>
      <c r="Z36" s="2" t="str">
        <f>IF(AND(P36="Hoàn thành",OR(X36&lt;1,Y36&lt;&gt;"Đủ điều kiện",AND(AE36="",AD36=""))),"Thiếu bước / phụ thuộc / bằng chứng","")</f>
        <v/>
      </c>
      <c r="AA36" s="4" t="inlineStr">
        <is>
          <t xml:space="preserve"/>
        </is>
      </c>
      <c r="AB36" s="4" t="inlineStr">
        <is>
          <t xml:space="preserve"/>
        </is>
      </c>
      <c r="AC36" s="4" t="inlineStr">
        <is>
          <t xml:space="preserve"/>
        </is>
      </c>
      <c r="AD36" s="2" t="inlineStr">
        <is>
          <t xml:space="preserve"/>
        </is>
      </c>
      <c r="AE36" s="2" t="inlineStr">
        <is>
          <t xml:space="preserve"/>
        </is>
      </c>
      <c r="AF36" s="2" t="inlineStr">
        <is>
          <t xml:space="preserve"/>
        </is>
      </c>
      <c r="AG36" s="5" t="inlineStr">
        <is>
          <t xml:space="preserve">Mở task</t>
        </is>
      </c>
    </row>
    <row r="37" ht="72" customHeight="1">
      <c r="A37" s="0" t="inlineStr">
        <is>
          <t xml:space="preserve">BE-B19</t>
        </is>
      </c>
      <c r="B37" s="0" t="inlineStr">
        <is>
          <t xml:space="preserve">P7</t>
        </is>
      </c>
      <c r="C37" s="0">
        <v>19</v>
      </c>
      <c r="D37" s="7" t="inlineStr">
        <is>
          <t xml:space="preserve">B</t>
        </is>
      </c>
      <c r="E37" s="0" t="inlineStr">
        <is>
          <t xml:space="preserve">C</t>
        </is>
      </c>
      <c r="F37" s="0" t="inlineStr">
        <is>
          <t xml:space="preserve">Kiểm thử module nhà/tin/lịch và nội dung</t>
        </is>
      </c>
      <c r="G37" s="0">
        <v>5</v>
      </c>
      <c r="H37" s="0">
        <v>0</v>
      </c>
      <c r="I37" s="0" t="inlineStr">
        <is>
          <t xml:space="preserve"/>
        </is>
      </c>
      <c r="J37" s="0" t="inlineStr">
        <is>
          <t xml:space="preserve">backend/src/modules/properties/**
backend/src/modules/house-rights/**
backend/tests/properties/**
backend/tests/fixtures/B/**
backend/tests/contracts/B/**
backend/tests/e2e/property-*/**
backend/contracts/properties.*
backend/src/modules/posts/**
backend/tests/posts/**
backend/contracts/posts.*
backend/src/modules/viewings/**
backend/tests/viewings/**
backend/tests/e2e/viewing-contract/**
backend/contracts/viewings.*
backend/src/modules/roommates/**
backend/tests/roommates/**
backend/contracts/roommates.*
backend/src/modules/reviews/**
backend/src/modules/reports/**
backend/tests/content-moderation/**</t>
        </is>
      </c>
      <c r="K37" s="0" t="inlineStr">
        <is>
          <t xml:space="preserve">BE-B10, BE-B15, BE-B16, BE-B17, BE-B18</t>
        </is>
      </c>
      <c r="L37" s="0" t="inlineStr">
        <is>
          <t xml:space="preserve"/>
        </is>
      </c>
      <c r="M37" s="0" t="inlineStr">
        <is>
          <t xml:space="preserve"/>
        </is>
      </c>
      <c r="N37" s="0" t="inlineStr">
        <is>
          <t xml:space="preserve">QA01/02/04/09/13/14/15 có test concurrency và quyền chéo tài khoản.
Kiểm tra D07 upload+post rollback; search/favorites/shared card sau mất quyền.
Nộp report test, collection requests và danh sách source SQL đã thay cho A.</t>
        </is>
      </c>
      <c r="O37" s="0" t="inlineStr">
        <is>
          <t xml:space="preserve">Mỗi endpoint B có DTO/auth/logic/test/docs/review và phạm vi file đúng owner.
Không sửa generated SQL/seed/tests của C để làm CI xanh.</t>
        </is>
      </c>
      <c r="P37" s="0" t="inlineStr">
        <is>
          <t xml:space="preserve">Chưa làm</t>
        </is>
      </c>
      <c r="Q37" s="0" t="inlineStr">
        <is>
          <t xml:space="preserve">Chưa</t>
        </is>
      </c>
      <c r="R37" s="0" t="inlineStr">
        <is>
          <t xml:space="preserve">Chưa</t>
        </is>
      </c>
      <c r="S37" s="0" t="inlineStr">
        <is>
          <t xml:space="preserve">Chưa</t>
        </is>
      </c>
      <c r="T37" s="0" t="inlineStr">
        <is>
          <t xml:space="preserve">Chưa</t>
        </is>
      </c>
      <c r="U37" s="0" t="inlineStr">
        <is>
          <t xml:space="preserve">Chưa</t>
        </is>
      </c>
      <c r="V37" s="0" t="inlineStr">
        <is>
          <t xml:space="preserve">Chưa</t>
        </is>
      </c>
      <c r="W37" s="0" t="inlineStr">
        <is>
          <t xml:space="preserve">Chưa</t>
        </is>
      </c>
      <c r="X37" s="3">
        <f>COUNTIF(Q37:W37,"Xong")/7</f>
        <v>0</v>
      </c>
      <c r="Y37" s="0" t="str">
        <f>IF(AND(AND(INDEX(BE_Tasks!$P$2:$P$53,MATCH("BE-B10",BE_Tasks!$A$2:$A$53,0))="Hoàn thành",INDEX(BE_Tasks!$Z$2:$Z$53,MATCH("BE-B10",BE_Tasks!$A$2:$A$53,0))=""),AND(INDEX(BE_Tasks!$P$2:$P$53,MATCH("BE-B15",BE_Tasks!$A$2:$A$53,0))="Hoàn thành",INDEX(BE_Tasks!$Z$2:$Z$53,MATCH("BE-B15",BE_Tasks!$A$2:$A$53,0))=""),AND(INDEX(BE_Tasks!$P$2:$P$53,MATCH("BE-B16",BE_Tasks!$A$2:$A$53,0))="Hoàn thành",INDEX(BE_Tasks!$Z$2:$Z$53,MATCH("BE-B16",BE_Tasks!$A$2:$A$53,0))=""),AND(INDEX(BE_Tasks!$P$2:$P$53,MATCH("BE-B17",BE_Tasks!$A$2:$A$53,0))="Hoàn thành",INDEX(BE_Tasks!$Z$2:$Z$53,MATCH("BE-B17",BE_Tasks!$A$2:$A$53,0))=""),AND(INDEX(BE_Tasks!$P$2:$P$53,MATCH("BE-B18",BE_Tasks!$A$2:$A$53,0))="Hoàn thành",INDEX(BE_Tasks!$Z$2:$Z$53,MATCH("BE-B18",BE_Tasks!$A$2:$A$53,0))="")),"Đủ điều kiện","Chờ phụ thuộc")</f>
        <v>Chờ phụ thuộc</v>
      </c>
      <c r="Z37" s="0" t="str">
        <f>IF(AND(P37="Hoàn thành",OR(X37&lt;1,Y37&lt;&gt;"Đủ điều kiện",AND(AE37="",AD37=""))),"Thiếu bước / phụ thuộc / bằng chứng","")</f>
        <v/>
      </c>
      <c r="AA37" s="4" t="inlineStr">
        <is>
          <t xml:space="preserve"/>
        </is>
      </c>
      <c r="AB37" s="4" t="inlineStr">
        <is>
          <t xml:space="preserve"/>
        </is>
      </c>
      <c r="AC37" s="4" t="inlineStr">
        <is>
          <t xml:space="preserve"/>
        </is>
      </c>
      <c r="AD37" s="0" t="inlineStr">
        <is>
          <t xml:space="preserve"/>
        </is>
      </c>
      <c r="AE37" s="0" t="inlineStr">
        <is>
          <t xml:space="preserve"/>
        </is>
      </c>
      <c r="AF37" s="0" t="inlineStr">
        <is>
          <t xml:space="preserve"/>
        </is>
      </c>
      <c r="AG37" s="5" t="inlineStr">
        <is>
          <t xml:space="preserve">Mở task</t>
        </is>
      </c>
    </row>
    <row r="38" ht="72" customHeight="1">
      <c r="A38" s="2" t="inlineStr">
        <is>
          <t xml:space="preserve">BE-C01</t>
        </is>
      </c>
      <c r="B38" s="2" t="inlineStr">
        <is>
          <t xml:space="preserve">P0</t>
        </is>
      </c>
      <c r="C38" s="2">
        <v>1</v>
      </c>
      <c r="D38" s="8" t="inlineStr">
        <is>
          <t xml:space="preserve">C</t>
        </is>
      </c>
      <c r="E38" s="2" t="inlineStr">
        <is>
          <t xml:space="preserve">A</t>
        </is>
      </c>
      <c r="F38" s="2" t="inlineStr">
        <is>
          <t xml:space="preserve">Chốt trạng thái thuê, transaction và cổng cư trú</t>
        </is>
      </c>
      <c r="G38" s="2">
        <v>5</v>
      </c>
      <c r="H38" s="2">
        <v>0</v>
      </c>
      <c r="I38" s="2" t="inlineStr">
        <is>
          <t xml:space="preserve"/>
        </is>
      </c>
      <c r="J38" s="2" t="inlineStr">
        <is>
          <t xml:space="preserve">backend/src/modules/rentals/**
backend/tests/rentals/**
backend/tests/fixtures/C/**
backend/tests/contracts/C/**
backend/tests/e2e/rental-*/**
backend/contracts/rentals.*
database/source/workflows.sql
database/source/contract-viewing-cleanup.sql
backend/tests/sql-rental/**</t>
        </is>
      </c>
      <c r="K38" s="2" t="inlineStr">
        <is>
          <t xml:space="preserve"/>
        </is>
      </c>
      <c r="L38" s="2" t="inlineStr">
        <is>
          <t xml:space="preserve"/>
        </is>
      </c>
      <c r="M38" s="2" t="inlineStr">
        <is>
          <t xml:space="preserve">D06, D10, D11</t>
        </is>
      </c>
      <c r="N38" s="2" t="inlineStr">
        <is>
          <t xml:space="preserve">Vẽ chuyển trạng thái và lock order roomId tăng dần; xác định procedure tự commit.
Công bố ResidencyReadPort/contract snapshot và fixture của C; A/B không join/ghi trực tiếp các bảng này trong service của họ.
D10 expectedRevision và D11 import được ghi là mở rộng cần làm; không xác nhận nhầm phiên bản.</t>
        </is>
      </c>
      <c r="O38" s="2" t="inlineStr">
        <is>
          <t xml:space="preserve">A02/B01 cùng duyệt contract; chưa chọn framework vẫn chuẩn bị SQL/fixture được.
Planned/active/left/cancelled, payer cũ, đại diện ban đầu/hiện tại được phân biệt.</t>
        </is>
      </c>
      <c r="P38" s="2" t="inlineStr">
        <is>
          <t xml:space="preserve">Chưa làm</t>
        </is>
      </c>
      <c r="Q38" s="2" t="inlineStr">
        <is>
          <t xml:space="preserve">Chưa</t>
        </is>
      </c>
      <c r="R38" s="2" t="inlineStr">
        <is>
          <t xml:space="preserve">Chưa</t>
        </is>
      </c>
      <c r="S38" s="2" t="inlineStr">
        <is>
          <t xml:space="preserve">Chưa</t>
        </is>
      </c>
      <c r="T38" s="2" t="inlineStr">
        <is>
          <t xml:space="preserve">Chưa</t>
        </is>
      </c>
      <c r="U38" s="2" t="inlineStr">
        <is>
          <t xml:space="preserve">Chưa</t>
        </is>
      </c>
      <c r="V38" s="2" t="inlineStr">
        <is>
          <t xml:space="preserve">Chưa</t>
        </is>
      </c>
      <c r="W38" s="2" t="inlineStr">
        <is>
          <t xml:space="preserve">Chưa</t>
        </is>
      </c>
      <c r="X38" s="3">
        <f>COUNTIF(Q38:W38,"Xong")/7</f>
        <v>0</v>
      </c>
      <c r="Y38" s="2" t="str">
        <f>IF(TRUE,"Đủ điều kiện","Chờ phụ thuộc")</f>
        <v>Đủ điều kiện</v>
      </c>
      <c r="Z38" s="2" t="str">
        <f>IF(AND(P38="Hoàn thành",OR(X38&lt;1,Y38&lt;&gt;"Đủ điều kiện",AND(AE38="",AD38=""))),"Thiếu bước / phụ thuộc / bằng chứng","")</f>
        <v/>
      </c>
      <c r="AA38" s="4" t="inlineStr">
        <is>
          <t xml:space="preserve"/>
        </is>
      </c>
      <c r="AB38" s="4" t="inlineStr">
        <is>
          <t xml:space="preserve"/>
        </is>
      </c>
      <c r="AC38" s="4" t="inlineStr">
        <is>
          <t xml:space="preserve"/>
        </is>
      </c>
      <c r="AD38" s="2" t="inlineStr">
        <is>
          <t xml:space="preserve"/>
        </is>
      </c>
      <c r="AE38" s="2" t="inlineStr">
        <is>
          <t xml:space="preserve"/>
        </is>
      </c>
      <c r="AF38" s="2" t="inlineStr">
        <is>
          <t xml:space="preserve"/>
        </is>
      </c>
      <c r="AG38" s="5" t="inlineStr">
        <is>
          <t xml:space="preserve">Mở task</t>
        </is>
      </c>
    </row>
    <row r="39" ht="72" customHeight="1">
      <c r="A39" s="0" t="inlineStr">
        <is>
          <t xml:space="preserve">BE-C02</t>
        </is>
      </c>
      <c r="B39" s="0" t="inlineStr">
        <is>
          <t xml:space="preserve">P1</t>
        </is>
      </c>
      <c r="C39" s="0">
        <v>2</v>
      </c>
      <c r="D39" s="8" t="inlineStr">
        <is>
          <t xml:space="preserve">C</t>
        </is>
      </c>
      <c r="E39" s="0" t="inlineStr">
        <is>
          <t xml:space="preserve">A</t>
        </is>
      </c>
      <c r="F39" s="0" t="inlineStr">
        <is>
          <t xml:space="preserve">Cổng đọc hợp đồng/cư trú, thành viên và lịch sử</t>
        </is>
      </c>
      <c r="G39" s="0">
        <v>5</v>
      </c>
      <c r="H39" s="0">
        <v>9</v>
      </c>
      <c r="I39" s="0" t="inlineStr">
        <is>
          <t xml:space="preserve">API-048, API-101, API-102, API-105, API-114, API-115, API-116, API-126, API-127</t>
        </is>
      </c>
      <c r="J39" s="0" t="inlineStr">
        <is>
          <t xml:space="preserve">backend/src/modules/rentals/**
backend/tests/rentals/**
backend/tests/fixtures/C/**
backend/tests/contracts/C/**
backend/tests/e2e/rental-*/**
backend/contracts/rentals.*</t>
        </is>
      </c>
      <c r="K39" s="0" t="inlineStr">
        <is>
          <t xml:space="preserve">BE-A02, BE-C01</t>
        </is>
      </c>
      <c r="L39" s="0" t="inlineStr">
        <is>
          <t xml:space="preserve"/>
        </is>
      </c>
      <c r="M39" s="0" t="inlineStr">
        <is>
          <t xml:space="preserve"/>
        </is>
      </c>
      <c r="N39" s="0" t="inlineStr">
        <is>
          <t xml:space="preserve">Danh sách/details/revisions/members/history, candidate representative và export CSV.
ResidencyReadPort lấy ACTIVE kể cả contract đóng sai, hỗ trợ connection/UoW của consumer.
Privacy theo quan hệ hợp đồng, không lộ CCCD thành viên khác; CSV chống formula injection.</t>
        </is>
      </c>
      <c r="O39" s="0" t="inlineStr">
        <is>
          <t xml:space="preserve">A lập invoice/B xác định IN_SYSTEM bằng port thật mà không import repository C.
Không suy người ở chỉ từ representative; time không rõ trả null/chưa rõ.</t>
        </is>
      </c>
      <c r="P39" s="0" t="inlineStr">
        <is>
          <t xml:space="preserve">Chưa làm</t>
        </is>
      </c>
      <c r="Q39" s="0" t="inlineStr">
        <is>
          <t xml:space="preserve">Chưa</t>
        </is>
      </c>
      <c r="R39" s="0" t="inlineStr">
        <is>
          <t xml:space="preserve">Chưa</t>
        </is>
      </c>
      <c r="S39" s="0" t="inlineStr">
        <is>
          <t xml:space="preserve">Chưa</t>
        </is>
      </c>
      <c r="T39" s="0" t="inlineStr">
        <is>
          <t xml:space="preserve">Chưa</t>
        </is>
      </c>
      <c r="U39" s="0" t="inlineStr">
        <is>
          <t xml:space="preserve">Chưa</t>
        </is>
      </c>
      <c r="V39" s="0" t="inlineStr">
        <is>
          <t xml:space="preserve">Chưa</t>
        </is>
      </c>
      <c r="W39" s="0" t="inlineStr">
        <is>
          <t xml:space="preserve">Chưa</t>
        </is>
      </c>
      <c r="X39" s="3">
        <f>COUNTIF(Q39:W39,"Xong")/7</f>
        <v>0</v>
      </c>
      <c r="Y39" s="0" t="str">
        <f>IF(AND(AND(INDEX(BE_Tasks!$P$2:$P$53,MATCH("BE-A02",BE_Tasks!$A$2:$A$53,0))="Hoàn thành",INDEX(BE_Tasks!$Z$2:$Z$53,MATCH("BE-A02",BE_Tasks!$A$2:$A$53,0))=""),AND(INDEX(BE_Tasks!$P$2:$P$53,MATCH("BE-C01",BE_Tasks!$A$2:$A$53,0))="Hoàn thành",INDEX(BE_Tasks!$Z$2:$Z$53,MATCH("BE-C01",BE_Tasks!$A$2:$A$53,0))="")),"Đủ điều kiện","Chờ phụ thuộc")</f>
        <v>Chờ phụ thuộc</v>
      </c>
      <c r="Z39" s="0" t="str">
        <f>IF(AND(P39="Hoàn thành",OR(X39&lt;1,Y39&lt;&gt;"Đủ điều kiện",AND(AE39="",AD39=""))),"Thiếu bước / phụ thuộc / bằng chứng","")</f>
        <v/>
      </c>
      <c r="AA39" s="4" t="inlineStr">
        <is>
          <t xml:space="preserve"/>
        </is>
      </c>
      <c r="AB39" s="4" t="inlineStr">
        <is>
          <t xml:space="preserve"/>
        </is>
      </c>
      <c r="AC39" s="4" t="inlineStr">
        <is>
          <t xml:space="preserve"/>
        </is>
      </c>
      <c r="AD39" s="0" t="inlineStr">
        <is>
          <t xml:space="preserve"/>
        </is>
      </c>
      <c r="AE39" s="0" t="inlineStr">
        <is>
          <t xml:space="preserve"/>
        </is>
      </c>
      <c r="AF39" s="0" t="inlineStr">
        <is>
          <t xml:space="preserve"/>
        </is>
      </c>
      <c r="AG39" s="5" t="inlineStr">
        <is>
          <t xml:space="preserve">Mở task</t>
        </is>
      </c>
    </row>
    <row r="40" ht="72" customHeight="1">
      <c r="A40" s="2" t="inlineStr">
        <is>
          <t xml:space="preserve">BE-C03</t>
        </is>
      </c>
      <c r="B40" s="2" t="inlineStr">
        <is>
          <t xml:space="preserve">P1</t>
        </is>
      </c>
      <c r="C40" s="2">
        <v>3</v>
      </c>
      <c r="D40" s="8" t="inlineStr">
        <is>
          <t xml:space="preserve">C</t>
        </is>
      </c>
      <c r="E40" s="2" t="inlineStr">
        <is>
          <t xml:space="preserve">A</t>
        </is>
      </c>
      <c r="F40" s="2" t="inlineStr">
        <is>
          <t xml:space="preserve">Mẫu hợp đồng và phiên bản mẫu</t>
        </is>
      </c>
      <c r="G40" s="2">
        <v>3</v>
      </c>
      <c r="H40" s="2">
        <v>3</v>
      </c>
      <c r="I40" s="2" t="inlineStr">
        <is>
          <t xml:space="preserve">API-165, API-166, API-167</t>
        </is>
      </c>
      <c r="J40" s="2" t="inlineStr">
        <is>
          <t xml:space="preserve">backend/src/modules/rentals/**
backend/tests/rentals/**
backend/tests/fixtures/C/**
backend/tests/contracts/C/**
backend/tests/e2e/rental-*/**
backend/contracts/rentals.*</t>
        </is>
      </c>
      <c r="K40" s="2" t="inlineStr">
        <is>
          <t xml:space="preserve">BE-C02</t>
        </is>
      </c>
      <c r="L40" s="2" t="inlineStr">
        <is>
          <t xml:space="preserve"/>
        </is>
      </c>
      <c r="M40" s="2" t="inlineStr">
        <is>
          <t xml:space="preserve">D14</t>
        </is>
      </c>
      <c r="N40" s="2" t="inlineStr">
        <is>
          <t xml:space="preserve">Tạo version mới theo name có unique/khóa; không sửa nội dung bản đã dùng.
Chủ chỉ thấy active; admin bật/ngừng, snapshot revision giữ nội dung riêng.
Nếu cần audit template, dùng A port và D14 sau khi đã mở rộng target.</t>
        </is>
      </c>
      <c r="O40" s="2" t="inlineStr">
        <is>
          <t xml:space="preserve">Hai lần tạo cùng name không đụng version; hợp đồng cũ không đổi khi ngừng mẫu.
Không thêm templateController vào file admin chung.</t>
        </is>
      </c>
      <c r="P40" s="2" t="inlineStr">
        <is>
          <t xml:space="preserve">Chưa làm</t>
        </is>
      </c>
      <c r="Q40" s="2" t="inlineStr">
        <is>
          <t xml:space="preserve">Chưa</t>
        </is>
      </c>
      <c r="R40" s="2" t="inlineStr">
        <is>
          <t xml:space="preserve">Chưa</t>
        </is>
      </c>
      <c r="S40" s="2" t="inlineStr">
        <is>
          <t xml:space="preserve">Chưa</t>
        </is>
      </c>
      <c r="T40" s="2" t="inlineStr">
        <is>
          <t xml:space="preserve">Chưa</t>
        </is>
      </c>
      <c r="U40" s="2" t="inlineStr">
        <is>
          <t xml:space="preserve">Chưa</t>
        </is>
      </c>
      <c r="V40" s="2" t="inlineStr">
        <is>
          <t xml:space="preserve">Chưa</t>
        </is>
      </c>
      <c r="W40" s="2" t="inlineStr">
        <is>
          <t xml:space="preserve">Chưa</t>
        </is>
      </c>
      <c r="X40" s="3">
        <f>COUNTIF(Q40:W40,"Xong")/7</f>
        <v>0</v>
      </c>
      <c r="Y40" s="2" t="str">
        <f>IF(AND(AND(INDEX(BE_Tasks!$P$2:$P$53,MATCH("BE-C02",BE_Tasks!$A$2:$A$53,0))="Hoàn thành",INDEX(BE_Tasks!$Z$2:$Z$53,MATCH("BE-C02",BE_Tasks!$A$2:$A$53,0))="")),"Đủ điều kiện","Chờ phụ thuộc")</f>
        <v>Chờ phụ thuộc</v>
      </c>
      <c r="Z40" s="2" t="str">
        <f>IF(AND(P40="Hoàn thành",OR(X40&lt;1,Y40&lt;&gt;"Đủ điều kiện",AND(AE40="",AD40=""))),"Thiếu bước / phụ thuộc / bằng chứng","")</f>
        <v/>
      </c>
      <c r="AA40" s="4" t="inlineStr">
        <is>
          <t xml:space="preserve"/>
        </is>
      </c>
      <c r="AB40" s="4" t="inlineStr">
        <is>
          <t xml:space="preserve"/>
        </is>
      </c>
      <c r="AC40" s="4" t="inlineStr">
        <is>
          <t xml:space="preserve"/>
        </is>
      </c>
      <c r="AD40" s="2" t="inlineStr">
        <is>
          <t xml:space="preserve"/>
        </is>
      </c>
      <c r="AE40" s="2" t="inlineStr">
        <is>
          <t xml:space="preserve"/>
        </is>
      </c>
      <c r="AF40" s="2" t="inlineStr">
        <is>
          <t xml:space="preserve"/>
        </is>
      </c>
      <c r="AG40" s="5" t="inlineStr">
        <is>
          <t xml:space="preserve">Mở task</t>
        </is>
      </c>
    </row>
    <row r="41" ht="72" customHeight="1">
      <c r="A41" s="0" t="inlineStr">
        <is>
          <t xml:space="preserve">BE-C04</t>
        </is>
      </c>
      <c r="B41" s="0" t="inlineStr">
        <is>
          <t xml:space="preserve">P2</t>
        </is>
      </c>
      <c r="C41" s="0">
        <v>4</v>
      </c>
      <c r="D41" s="8" t="inlineStr">
        <is>
          <t xml:space="preserve">C</t>
        </is>
      </c>
      <c r="E41" s="0" t="inlineStr">
        <is>
          <t xml:space="preserve">A</t>
        </is>
      </c>
      <c r="F41" s="0" t="inlineStr">
        <is>
          <t xml:space="preserve">Bảo vệ expected revision và adapter procedure</t>
        </is>
      </c>
      <c r="G41" s="0">
        <v>5</v>
      </c>
      <c r="H41" s="0">
        <v>0</v>
      </c>
      <c r="I41" s="0" t="inlineStr">
        <is>
          <t xml:space="preserve"/>
        </is>
      </c>
      <c r="J41" s="0" t="inlineStr">
        <is>
          <t xml:space="preserve">backend/src/modules/rentals/**
backend/tests/rentals/**
backend/tests/fixtures/C/**
backend/tests/contracts/C/**
backend/tests/e2e/rental-*/**
backend/contracts/rentals.*
database/source/workflows.sql
database/source/contract-viewing-cleanup.sql
backend/tests/sql-rental/**</t>
        </is>
      </c>
      <c r="K41" s="0" t="inlineStr">
        <is>
          <t xml:space="preserve">BE-C01, BE-A04</t>
        </is>
      </c>
      <c r="L41" s="0" t="inlineStr">
        <is>
          <t xml:space="preserve"/>
        </is>
      </c>
      <c r="M41" s="0" t="inlineStr">
        <is>
          <t xml:space="preserve">D10, D15</t>
        </is>
      </c>
      <c r="N41" s="0" t="inlineStr">
        <is>
          <t xml:space="preserve">Procedure confirm nhận expectedRevisionId và so dưới cùng khóa; stale 409 không xác nhận bản mới.
Mapper camelCase → SQL params/JSON snake_case; ProcedureRunner không bị bọc UoW ngoài.
Race/rollback fixture cho create/move-in/handover/transfer; đưa patch source cho A tái sinh SQL trước tích hợp.</t>
        </is>
      </c>
      <c r="O41" s="0" t="inlineStr">
        <is>
          <t xml:space="preserve">QA06 xác nhận A sau khi B đã gửi bị chặn; test không chỉ check trước CALL ở controller.
Các OUT ID và lỗi SIGNAL được ánh xạ ổn định, không lộ SQL ra HTTP.</t>
        </is>
      </c>
      <c r="P41" s="0" t="inlineStr">
        <is>
          <t xml:space="preserve">Chưa làm</t>
        </is>
      </c>
      <c r="Q41" s="0" t="inlineStr">
        <is>
          <t xml:space="preserve">Chưa</t>
        </is>
      </c>
      <c r="R41" s="0" t="inlineStr">
        <is>
          <t xml:space="preserve">Chưa</t>
        </is>
      </c>
      <c r="S41" s="0" t="inlineStr">
        <is>
          <t xml:space="preserve">Chưa</t>
        </is>
      </c>
      <c r="T41" s="0" t="inlineStr">
        <is>
          <t xml:space="preserve">Chưa</t>
        </is>
      </c>
      <c r="U41" s="0" t="inlineStr">
        <is>
          <t xml:space="preserve">Chưa</t>
        </is>
      </c>
      <c r="V41" s="0" t="inlineStr">
        <is>
          <t xml:space="preserve">Chưa</t>
        </is>
      </c>
      <c r="W41" s="0" t="inlineStr">
        <is>
          <t xml:space="preserve">Chưa</t>
        </is>
      </c>
      <c r="X41" s="3">
        <f>COUNTIF(Q41:W41,"Xong")/7</f>
        <v>0</v>
      </c>
      <c r="Y41" s="0" t="str">
        <f>IF(AND(AND(INDEX(BE_Tasks!$P$2:$P$53,MATCH("BE-C01",BE_Tasks!$A$2:$A$53,0))="Hoàn thành",INDEX(BE_Tasks!$Z$2:$Z$53,MATCH("BE-C01",BE_Tasks!$A$2:$A$53,0))=""),AND(INDEX(BE_Tasks!$P$2:$P$53,MATCH("BE-A04",BE_Tasks!$A$2:$A$53,0))="Hoàn thành",INDEX(BE_Tasks!$Z$2:$Z$53,MATCH("BE-A04",BE_Tasks!$A$2:$A$53,0))="")),"Đủ điều kiện","Chờ phụ thuộc")</f>
        <v>Chờ phụ thuộc</v>
      </c>
      <c r="Z41" s="0" t="str">
        <f>IF(AND(P41="Hoàn thành",OR(X41&lt;1,Y41&lt;&gt;"Đủ điều kiện",AND(AE41="",AD41=""))),"Thiếu bước / phụ thuộc / bằng chứng","")</f>
        <v/>
      </c>
      <c r="AA41" s="4" t="inlineStr">
        <is>
          <t xml:space="preserve"/>
        </is>
      </c>
      <c r="AB41" s="4" t="inlineStr">
        <is>
          <t xml:space="preserve"/>
        </is>
      </c>
      <c r="AC41" s="4" t="inlineStr">
        <is>
          <t xml:space="preserve"/>
        </is>
      </c>
      <c r="AD41" s="0" t="inlineStr">
        <is>
          <t xml:space="preserve"/>
        </is>
      </c>
      <c r="AE41" s="0" t="inlineStr">
        <is>
          <t xml:space="preserve"/>
        </is>
      </c>
      <c r="AF41" s="0" t="inlineStr">
        <is>
          <t xml:space="preserve"/>
        </is>
      </c>
      <c r="AG41" s="5" t="inlineStr">
        <is>
          <t xml:space="preserve">Mở task</t>
        </is>
      </c>
    </row>
    <row r="42" ht="72" customHeight="1">
      <c r="A42" s="2" t="inlineStr">
        <is>
          <t xml:space="preserve">BE-C05</t>
        </is>
      </c>
      <c r="B42" s="2" t="inlineStr">
        <is>
          <t xml:space="preserve">P3</t>
        </is>
      </c>
      <c r="C42" s="2">
        <v>5</v>
      </c>
      <c r="D42" s="8" t="inlineStr">
        <is>
          <t xml:space="preserve">C</t>
        </is>
      </c>
      <c r="E42" s="2" t="inlineStr">
        <is>
          <t xml:space="preserve">A</t>
        </is>
      </c>
      <c r="F42" s="2" t="inlineStr">
        <is>
          <t xml:space="preserve">Gửi hợp đồng thuê mới và đóng lịch tương lai</t>
        </is>
      </c>
      <c r="G42" s="2">
        <v>8</v>
      </c>
      <c r="H42" s="2">
        <v>2</v>
      </c>
      <c r="I42" s="2" t="inlineStr">
        <is>
          <t xml:space="preserve">API-103, API-104</t>
        </is>
      </c>
      <c r="J42" s="2" t="inlineStr">
        <is>
          <t xml:space="preserve">backend/src/modules/rentals/**
backend/tests/rentals/**
backend/tests/fixtures/C/**
backend/tests/contracts/C/**
backend/tests/e2e/rental-*/**
backend/contracts/rentals.*
database/source/workflows.sql
database/source/contract-viewing-cleanup.sql
backend/tests/sql-rental/**</t>
        </is>
      </c>
      <c r="K42" s="2" t="inlineStr">
        <is>
          <t xml:space="preserve">BE-C03, BE-C04, BE-B09</t>
        </is>
      </c>
      <c r="L42" s="2" t="inlineStr">
        <is>
          <t xml:space="preserve"/>
        </is>
      </c>
      <c r="M42" s="2" t="inlineStr">
        <is>
          <t xml:space="preserve"/>
        </is>
      </c>
      <c r="N42" s="2" t="inlineStr">
        <is>
          <t xml:space="preserve">Lịch COMPLETED+AGREED, phòng/quyền nhà/capacity, một open contract; tạo revision+PLANNED+history.
Đóng lịch/proposal theo room trên mọi post, thông báo cùng giao dịch; preview chỉ là read-only.
Không sửa source lịch của B để hủy contract/viewings; thay đổi helper thuộc B đi qua B.</t>
        </is>
      </c>
      <c r="O42" s="2" t="inlineStr">
        <is>
          <t xml:space="preserve">Tranh giữ phòng chỉ một hợp đồng thắng; lỗi bất kỳ rollback mọi side effect.
Hủy contract không hồi lịch cũ, đang diễn ra không bị tự hủy.</t>
        </is>
      </c>
      <c r="P42" s="2" t="inlineStr">
        <is>
          <t xml:space="preserve">Chưa làm</t>
        </is>
      </c>
      <c r="Q42" s="2" t="inlineStr">
        <is>
          <t xml:space="preserve">Chưa</t>
        </is>
      </c>
      <c r="R42" s="2" t="inlineStr">
        <is>
          <t xml:space="preserve">Chưa</t>
        </is>
      </c>
      <c r="S42" s="2" t="inlineStr">
        <is>
          <t xml:space="preserve">Chưa</t>
        </is>
      </c>
      <c r="T42" s="2" t="inlineStr">
        <is>
          <t xml:space="preserve">Chưa</t>
        </is>
      </c>
      <c r="U42" s="2" t="inlineStr">
        <is>
          <t xml:space="preserve">Chưa</t>
        </is>
      </c>
      <c r="V42" s="2" t="inlineStr">
        <is>
          <t xml:space="preserve">Chưa</t>
        </is>
      </c>
      <c r="W42" s="2" t="inlineStr">
        <is>
          <t xml:space="preserve">Chưa</t>
        </is>
      </c>
      <c r="X42" s="3">
        <f>COUNTIF(Q42:W42,"Xong")/7</f>
        <v>0</v>
      </c>
      <c r="Y42" s="2" t="str">
        <f>IF(AND(AND(INDEX(BE_Tasks!$P$2:$P$53,MATCH("BE-C03",BE_Tasks!$A$2:$A$53,0))="Hoàn thành",INDEX(BE_Tasks!$Z$2:$Z$53,MATCH("BE-C03",BE_Tasks!$A$2:$A$53,0))=""),AND(INDEX(BE_Tasks!$P$2:$P$53,MATCH("BE-C04",BE_Tasks!$A$2:$A$53,0))="Hoàn thành",INDEX(BE_Tasks!$Z$2:$Z$53,MATCH("BE-C04",BE_Tasks!$A$2:$A$53,0))=""),AND(INDEX(BE_Tasks!$P$2:$P$53,MATCH("BE-B09",BE_Tasks!$A$2:$A$53,0))="Hoàn thành",INDEX(BE_Tasks!$Z$2:$Z$53,MATCH("BE-B09",BE_Tasks!$A$2:$A$53,0))="")),"Đủ điều kiện","Chờ phụ thuộc")</f>
        <v>Chờ phụ thuộc</v>
      </c>
      <c r="Z42" s="2" t="str">
        <f>IF(AND(P42="Hoàn thành",OR(X42&lt;1,Y42&lt;&gt;"Đủ điều kiện",AND(AE42="",AD42=""))),"Thiếu bước / phụ thuộc / bằng chứng","")</f>
        <v/>
      </c>
      <c r="AA42" s="4" t="inlineStr">
        <is>
          <t xml:space="preserve"/>
        </is>
      </c>
      <c r="AB42" s="4" t="inlineStr">
        <is>
          <t xml:space="preserve"/>
        </is>
      </c>
      <c r="AC42" s="4" t="inlineStr">
        <is>
          <t xml:space="preserve"/>
        </is>
      </c>
      <c r="AD42" s="2" t="inlineStr">
        <is>
          <t xml:space="preserve"/>
        </is>
      </c>
      <c r="AE42" s="2" t="inlineStr">
        <is>
          <t xml:space="preserve"/>
        </is>
      </c>
      <c r="AF42" s="2" t="inlineStr">
        <is>
          <t xml:space="preserve"/>
        </is>
      </c>
      <c r="AG42" s="5" t="inlineStr">
        <is>
          <t xml:space="preserve">Mở task</t>
        </is>
      </c>
    </row>
    <row r="43" ht="72" customHeight="1">
      <c r="A43" s="0" t="inlineStr">
        <is>
          <t xml:space="preserve">BE-C06</t>
        </is>
      </c>
      <c r="B43" s="0" t="inlineStr">
        <is>
          <t xml:space="preserve">P4</t>
        </is>
      </c>
      <c r="C43" s="0">
        <v>6</v>
      </c>
      <c r="D43" s="8" t="inlineStr">
        <is>
          <t xml:space="preserve">C</t>
        </is>
      </c>
      <c r="E43" s="0" t="inlineStr">
        <is>
          <t xml:space="preserve">A</t>
        </is>
      </c>
      <c r="F43" s="0" t="inlineStr">
        <is>
          <t xml:space="preserve">Yêu cầu sửa, gửi lại và xác nhận phiên bản</t>
        </is>
      </c>
      <c r="G43" s="0">
        <v>5</v>
      </c>
      <c r="H43" s="0">
        <v>4</v>
      </c>
      <c r="I43" s="0" t="inlineStr">
        <is>
          <t xml:space="preserve">API-106, API-107, API-108, API-109</t>
        </is>
      </c>
      <c r="J43" s="0" t="inlineStr">
        <is>
          <t xml:space="preserve">backend/src/modules/rentals/**
backend/tests/rentals/**
backend/tests/fixtures/C/**
backend/tests/contracts/C/**
backend/tests/e2e/rental-*/**
backend/contracts/rentals.*
database/source/workflows.sql
database/source/contract-viewing-cleanup.sql
backend/tests/sql-rental/**</t>
        </is>
      </c>
      <c r="K43" s="0" t="inlineStr">
        <is>
          <t xml:space="preserve">BE-C05</t>
        </is>
      </c>
      <c r="L43" s="0" t="inlineStr">
        <is>
          <t xml:space="preserve"/>
        </is>
      </c>
      <c r="M43" s="0" t="inlineStr">
        <is>
          <t xml:space="preserve">D10</t>
        </is>
      </c>
      <c r="N43" s="0" t="inlineStr">
        <is>
          <t xml:space="preserve">Feedback hủy bản chờ/tạo DRAFT mới; chỉ sửa nháp rồi submit phiên bản có snapshot.
Confirm đúng đại diện và expected revision bằng procedure đã sửa ở C04.
Ghi đủ landlord/tenant confirmation/time; quyền nhà kiểm tra lại, không tự ACTIVE.</t>
        </is>
      </c>
      <c r="O43" s="0" t="inlineStr">
        <is>
          <t xml:space="preserve">Form revision cũ không ghi đè/xác nhận bản mới.
Xác nhận giữ người PLANNED và hợp đồng CONFIRMED.</t>
        </is>
      </c>
      <c r="P43" s="0" t="inlineStr">
        <is>
          <t xml:space="preserve">Chưa làm</t>
        </is>
      </c>
      <c r="Q43" s="0" t="inlineStr">
        <is>
          <t xml:space="preserve">Chưa</t>
        </is>
      </c>
      <c r="R43" s="0" t="inlineStr">
        <is>
          <t xml:space="preserve">Chưa</t>
        </is>
      </c>
      <c r="S43" s="0" t="inlineStr">
        <is>
          <t xml:space="preserve">Chưa</t>
        </is>
      </c>
      <c r="T43" s="0" t="inlineStr">
        <is>
          <t xml:space="preserve">Chưa</t>
        </is>
      </c>
      <c r="U43" s="0" t="inlineStr">
        <is>
          <t xml:space="preserve">Chưa</t>
        </is>
      </c>
      <c r="V43" s="0" t="inlineStr">
        <is>
          <t xml:space="preserve">Chưa</t>
        </is>
      </c>
      <c r="W43" s="0" t="inlineStr">
        <is>
          <t xml:space="preserve">Chưa</t>
        </is>
      </c>
      <c r="X43" s="3">
        <f>COUNTIF(Q43:W43,"Xong")/7</f>
        <v>0</v>
      </c>
      <c r="Y43" s="0" t="str">
        <f>IF(AND(AND(INDEX(BE_Tasks!$P$2:$P$53,MATCH("BE-C05",BE_Tasks!$A$2:$A$53,0))="Hoàn thành",INDEX(BE_Tasks!$Z$2:$Z$53,MATCH("BE-C05",BE_Tasks!$A$2:$A$53,0))="")),"Đủ điều kiện","Chờ phụ thuộc")</f>
        <v>Chờ phụ thuộc</v>
      </c>
      <c r="Z43" s="0" t="str">
        <f>IF(AND(P43="Hoàn thành",OR(X43&lt;1,Y43&lt;&gt;"Đủ điều kiện",AND(AE43="",AD43=""))),"Thiếu bước / phụ thuộc / bằng chứng","")</f>
        <v/>
      </c>
      <c r="AA43" s="4" t="inlineStr">
        <is>
          <t xml:space="preserve"/>
        </is>
      </c>
      <c r="AB43" s="4" t="inlineStr">
        <is>
          <t xml:space="preserve"/>
        </is>
      </c>
      <c r="AC43" s="4" t="inlineStr">
        <is>
          <t xml:space="preserve"/>
        </is>
      </c>
      <c r="AD43" s="0" t="inlineStr">
        <is>
          <t xml:space="preserve"/>
        </is>
      </c>
      <c r="AE43" s="0" t="inlineStr">
        <is>
          <t xml:space="preserve"/>
        </is>
      </c>
      <c r="AF43" s="0" t="inlineStr">
        <is>
          <t xml:space="preserve"/>
        </is>
      </c>
      <c r="AG43" s="5" t="inlineStr">
        <is>
          <t xml:space="preserve">Mở task</t>
        </is>
      </c>
    </row>
    <row r="44" ht="72" customHeight="1">
      <c r="A44" s="2" t="inlineStr">
        <is>
          <t xml:space="preserve">BE-C07</t>
        </is>
      </c>
      <c r="B44" s="2" t="inlineStr">
        <is>
          <t xml:space="preserve">P4</t>
        </is>
      </c>
      <c r="C44" s="2">
        <v>7</v>
      </c>
      <c r="D44" s="8" t="inlineStr">
        <is>
          <t xml:space="preserve">C</t>
        </is>
      </c>
      <c r="E44" s="2" t="inlineStr">
        <is>
          <t xml:space="preserve">A</t>
        </is>
      </c>
      <c r="F44" s="2" t="inlineStr">
        <is>
          <t xml:space="preserve">Vào ở từng người, hủy dự kiến và hủy trước ở</t>
        </is>
      </c>
      <c r="G44" s="2">
        <v>5</v>
      </c>
      <c r="H44" s="2">
        <v>3</v>
      </c>
      <c r="I44" s="2" t="inlineStr">
        <is>
          <t xml:space="preserve">API-110, API-111, API-112</t>
        </is>
      </c>
      <c r="J44" s="2" t="inlineStr">
        <is>
          <t xml:space="preserve">backend/src/modules/rentals/**
backend/tests/rentals/**
backend/tests/fixtures/C/**
backend/tests/contracts/C/**
backend/tests/e2e/rental-*/**
backend/contracts/rentals.*
database/source/workflows.sql
database/source/contract-viewing-cleanup.sql
backend/tests/sql-rental/**</t>
        </is>
      </c>
      <c r="K44" s="2" t="inlineStr">
        <is>
          <t xml:space="preserve">BE-C06</t>
        </is>
      </c>
      <c r="L44" s="2" t="inlineStr">
        <is>
          <t xml:space="preserve"/>
        </is>
      </c>
      <c r="M44" s="2" t="inlineStr">
        <is>
          <t xml:space="preserve"/>
        </is>
      </c>
      <c r="N44" s="2" t="inlineStr">
        <is>
          <t xml:space="preserve">Lần đầu có đại diện; đúng ngày VN/contract/revision/quyền nhà; một ACTIVE/account toàn hệ thống.
Hủy member chỉ PLANNED và không hủy riêng đại diện; hủy contract trước ACTIVE.
Publish snapshot/metrics mới, không tạo invoice hoặc sửa roommate profile thay A/B.</t>
        </is>
      </c>
      <c r="O44" s="2" t="inlineStr">
        <is>
          <t xml:space="preserve">Confirm contract không tự move-in; date tương lai/ngoài kỳ bị chặn.
Load phòng không đếm trùng, hủy không giả ngày vào/ra.</t>
        </is>
      </c>
      <c r="P44" s="2" t="inlineStr">
        <is>
          <t xml:space="preserve">Chưa làm</t>
        </is>
      </c>
      <c r="Q44" s="2" t="inlineStr">
        <is>
          <t xml:space="preserve">Chưa</t>
        </is>
      </c>
      <c r="R44" s="2" t="inlineStr">
        <is>
          <t xml:space="preserve">Chưa</t>
        </is>
      </c>
      <c r="S44" s="2" t="inlineStr">
        <is>
          <t xml:space="preserve">Chưa</t>
        </is>
      </c>
      <c r="T44" s="2" t="inlineStr">
        <is>
          <t xml:space="preserve">Chưa</t>
        </is>
      </c>
      <c r="U44" s="2" t="inlineStr">
        <is>
          <t xml:space="preserve">Chưa</t>
        </is>
      </c>
      <c r="V44" s="2" t="inlineStr">
        <is>
          <t xml:space="preserve">Chưa</t>
        </is>
      </c>
      <c r="W44" s="2" t="inlineStr">
        <is>
          <t xml:space="preserve">Chưa</t>
        </is>
      </c>
      <c r="X44" s="3">
        <f>COUNTIF(Q44:W44,"Xong")/7</f>
        <v>0</v>
      </c>
      <c r="Y44" s="2" t="str">
        <f>IF(AND(AND(INDEX(BE_Tasks!$P$2:$P$53,MATCH("BE-C06",BE_Tasks!$A$2:$A$53,0))="Hoàn thành",INDEX(BE_Tasks!$Z$2:$Z$53,MATCH("BE-C06",BE_Tasks!$A$2:$A$53,0))="")),"Đủ điều kiện","Chờ phụ thuộc")</f>
        <v>Chờ phụ thuộc</v>
      </c>
      <c r="Z44" s="2" t="str">
        <f>IF(AND(P44="Hoàn thành",OR(X44&lt;1,Y44&lt;&gt;"Đủ điều kiện",AND(AE44="",AD44=""))),"Thiếu bước / phụ thuộc / bằng chứng","")</f>
        <v/>
      </c>
      <c r="AA44" s="4" t="inlineStr">
        <is>
          <t xml:space="preserve"/>
        </is>
      </c>
      <c r="AB44" s="4" t="inlineStr">
        <is>
          <t xml:space="preserve"/>
        </is>
      </c>
      <c r="AC44" s="4" t="inlineStr">
        <is>
          <t xml:space="preserve"/>
        </is>
      </c>
      <c r="AD44" s="2" t="inlineStr">
        <is>
          <t xml:space="preserve"/>
        </is>
      </c>
      <c r="AE44" s="2" t="inlineStr">
        <is>
          <t xml:space="preserve"/>
        </is>
      </c>
      <c r="AF44" s="2" t="inlineStr">
        <is>
          <t xml:space="preserve"/>
        </is>
      </c>
      <c r="AG44" s="5" t="inlineStr">
        <is>
          <t xml:space="preserve">Mở task</t>
        </is>
      </c>
    </row>
    <row r="45" ht="72" customHeight="1">
      <c r="A45" s="0" t="inlineStr">
        <is>
          <t xml:space="preserve">BE-C08</t>
        </is>
      </c>
      <c r="B45" s="0" t="inlineStr">
        <is>
          <t xml:space="preserve">P4</t>
        </is>
      </c>
      <c r="C45" s="0">
        <v>8</v>
      </c>
      <c r="D45" s="8" t="inlineStr">
        <is>
          <t xml:space="preserve">C</t>
        </is>
      </c>
      <c r="E45" s="0" t="inlineStr">
        <is>
          <t xml:space="preserve">A</t>
        </is>
      </c>
      <c r="F45" s="0" t="inlineStr">
        <is>
          <t xml:space="preserve">Liên kết cư dân với tài khoản bằng token</t>
        </is>
      </c>
      <c r="G45" s="0">
        <v>5</v>
      </c>
      <c r="H45" s="0">
        <v>2</v>
      </c>
      <c r="I45" s="0" t="inlineStr">
        <is>
          <t xml:space="preserve">API-027, API-028</t>
        </is>
      </c>
      <c r="J45" s="0" t="inlineStr">
        <is>
          <t xml:space="preserve">backend/src/modules/rentals/**
backend/tests/rentals/**
backend/tests/fixtures/C/**
backend/tests/contracts/C/**
backend/tests/e2e/rental-*/**
backend/contracts/rentals.*</t>
        </is>
      </c>
      <c r="K45" s="0" t="inlineStr">
        <is>
          <t xml:space="preserve">BE-C07, BE-A07</t>
        </is>
      </c>
      <c r="L45" s="0" t="inlineStr">
        <is>
          <t xml:space="preserve"/>
        </is>
      </c>
      <c r="M45" s="0" t="inlineStr">
        <is>
          <t xml:space="preserve">D06</t>
        </is>
      </c>
      <c r="N45" s="0" t="inlineStr">
        <is>
          <t xml:space="preserve">Chủ mời member đúng contract chưa có tenant; OCCUPANT_LINK gắn target room_tenant.
Tiêu thụ token và gắn account trong UoW của C, gọi A token adapter bằng cùng connection.
Chốt D06 kênh/đối chiếu người nhận; không gắn tài khoản theo tên tự khai.</t>
        </is>
      </c>
      <c r="O45" s="0" t="inlineStr">
        <is>
          <t xml:space="preserve">User đang ACTIVE nơi khác không được gắn thêm ACTIVE; token dùng lại/hết hạn thất bại.
Rollback gắn member cũng rollback consume, không mất token sau lỗi.</t>
        </is>
      </c>
      <c r="P45" s="0" t="inlineStr">
        <is>
          <t xml:space="preserve">Chưa làm</t>
        </is>
      </c>
      <c r="Q45" s="0" t="inlineStr">
        <is>
          <t xml:space="preserve">Chưa</t>
        </is>
      </c>
      <c r="R45" s="0" t="inlineStr">
        <is>
          <t xml:space="preserve">Chưa</t>
        </is>
      </c>
      <c r="S45" s="0" t="inlineStr">
        <is>
          <t xml:space="preserve">Chưa</t>
        </is>
      </c>
      <c r="T45" s="0" t="inlineStr">
        <is>
          <t xml:space="preserve">Chưa</t>
        </is>
      </c>
      <c r="U45" s="0" t="inlineStr">
        <is>
          <t xml:space="preserve">Chưa</t>
        </is>
      </c>
      <c r="V45" s="0" t="inlineStr">
        <is>
          <t xml:space="preserve">Chưa</t>
        </is>
      </c>
      <c r="W45" s="0" t="inlineStr">
        <is>
          <t xml:space="preserve">Chưa</t>
        </is>
      </c>
      <c r="X45" s="3">
        <f>COUNTIF(Q45:W45,"Xong")/7</f>
        <v>0</v>
      </c>
      <c r="Y45" s="0" t="str">
        <f>IF(AND(AND(INDEX(BE_Tasks!$P$2:$P$53,MATCH("BE-C07",BE_Tasks!$A$2:$A$53,0))="Hoàn thành",INDEX(BE_Tasks!$Z$2:$Z$53,MATCH("BE-C07",BE_Tasks!$A$2:$A$53,0))=""),AND(INDEX(BE_Tasks!$P$2:$P$53,MATCH("BE-A07",BE_Tasks!$A$2:$A$53,0))="Hoàn thành",INDEX(BE_Tasks!$Z$2:$Z$53,MATCH("BE-A07",BE_Tasks!$A$2:$A$53,0))="")),"Đủ điều kiện","Chờ phụ thuộc")</f>
        <v>Chờ phụ thuộc</v>
      </c>
      <c r="Z45" s="0" t="str">
        <f>IF(AND(P45="Hoàn thành",OR(X45&lt;1,Y45&lt;&gt;"Đủ điều kiện",AND(AE45="",AD45=""))),"Thiếu bước / phụ thuộc / bằng chứng","")</f>
        <v/>
      </c>
      <c r="AA45" s="4" t="inlineStr">
        <is>
          <t xml:space="preserve"/>
        </is>
      </c>
      <c r="AB45" s="4" t="inlineStr">
        <is>
          <t xml:space="preserve"/>
        </is>
      </c>
      <c r="AC45" s="4" t="inlineStr">
        <is>
          <t xml:space="preserve"/>
        </is>
      </c>
      <c r="AD45" s="0" t="inlineStr">
        <is>
          <t xml:space="preserve"/>
        </is>
      </c>
      <c r="AE45" s="0" t="inlineStr">
        <is>
          <t xml:space="preserve"/>
        </is>
      </c>
      <c r="AF45" s="0" t="inlineStr">
        <is>
          <t xml:space="preserve"/>
        </is>
      </c>
      <c r="AG45" s="5" t="inlineStr">
        <is>
          <t xml:space="preserve">Mở task</t>
        </is>
      </c>
    </row>
    <row r="46" ht="72" customHeight="1">
      <c r="A46" s="2" t="inlineStr">
        <is>
          <t xml:space="preserve">BE-C09</t>
        </is>
      </c>
      <c r="B46" s="2" t="inlineStr">
        <is>
          <t xml:space="preserve">P4</t>
        </is>
      </c>
      <c r="C46" s="2">
        <v>9</v>
      </c>
      <c r="D46" s="8" t="inlineStr">
        <is>
          <t xml:space="preserve">C</t>
        </is>
      </c>
      <c r="E46" s="2" t="inlineStr">
        <is>
          <t xml:space="preserve">A</t>
        </is>
      </c>
      <c r="F46" s="2" t="inlineStr">
        <is>
          <t xml:space="preserve">Yêu cầu thêm người và hai consent riêng</t>
        </is>
      </c>
      <c r="G46" s="2">
        <v>5</v>
      </c>
      <c r="H46" s="2">
        <v>4</v>
      </c>
      <c r="I46" s="2" t="inlineStr">
        <is>
          <t xml:space="preserve">API-117, API-118, API-119, API-120</t>
        </is>
      </c>
      <c r="J46" s="2" t="inlineStr">
        <is>
          <t xml:space="preserve">backend/src/modules/rentals/**
backend/tests/rentals/**
backend/tests/fixtures/C/**
backend/tests/contracts/C/**
backend/tests/e2e/rental-*/**
backend/contracts/rentals.*</t>
        </is>
      </c>
      <c r="K46" s="2" t="inlineStr">
        <is>
          <t xml:space="preserve">BE-C07</t>
        </is>
      </c>
      <c r="L46" s="2" t="inlineStr">
        <is>
          <t xml:space="preserve"/>
        </is>
      </c>
      <c r="M46" s="2" t="inlineStr">
        <is>
          <t xml:space="preserve"/>
        </is>
      </c>
      <c r="N46" s="2" t="inlineStr">
        <is>
          <t xml:space="preserve">Đại diện hiện tại tạo request, applicant khác requester, một yêu cầu mở.
Mỗi bên tự consent theo actor; đủ hai mới PENDING_LANDLORD, bản cũ sau handover không tái dùng.
Cancel đúng vai trò/trạng thái, snapshot representative/revision hợp lệ.</t>
        </is>
      </c>
      <c r="O46" s="2" t="inlineStr">
        <is>
          <t xml:space="preserve">Không copy ACCEPTED của roommate_request làm consent; không giả người đồng ý trong body.
Hợp đồng/đại diện không còn ACTIVE thì không gửi/duyệt tiếp.</t>
        </is>
      </c>
      <c r="P46" s="2" t="inlineStr">
        <is>
          <t xml:space="preserve">Chưa làm</t>
        </is>
      </c>
      <c r="Q46" s="2" t="inlineStr">
        <is>
          <t xml:space="preserve">Chưa</t>
        </is>
      </c>
      <c r="R46" s="2" t="inlineStr">
        <is>
          <t xml:space="preserve">Chưa</t>
        </is>
      </c>
      <c r="S46" s="2" t="inlineStr">
        <is>
          <t xml:space="preserve">Chưa</t>
        </is>
      </c>
      <c r="T46" s="2" t="inlineStr">
        <is>
          <t xml:space="preserve">Chưa</t>
        </is>
      </c>
      <c r="U46" s="2" t="inlineStr">
        <is>
          <t xml:space="preserve">Chưa</t>
        </is>
      </c>
      <c r="V46" s="2" t="inlineStr">
        <is>
          <t xml:space="preserve">Chưa</t>
        </is>
      </c>
      <c r="W46" s="2" t="inlineStr">
        <is>
          <t xml:space="preserve">Chưa</t>
        </is>
      </c>
      <c r="X46" s="3">
        <f>COUNTIF(Q46:W46,"Xong")/7</f>
        <v>0</v>
      </c>
      <c r="Y46" s="2" t="str">
        <f>IF(AND(AND(INDEX(BE_Tasks!$P$2:$P$53,MATCH("BE-C07",BE_Tasks!$A$2:$A$53,0))="Hoàn thành",INDEX(BE_Tasks!$Z$2:$Z$53,MATCH("BE-C07",BE_Tasks!$A$2:$A$53,0))="")),"Đủ điều kiện","Chờ phụ thuộc")</f>
        <v>Chờ phụ thuộc</v>
      </c>
      <c r="Z46" s="2" t="str">
        <f>IF(AND(P46="Hoàn thành",OR(X46&lt;1,Y46&lt;&gt;"Đủ điều kiện",AND(AE46="",AD46=""))),"Thiếu bước / phụ thuộc / bằng chứng","")</f>
        <v/>
      </c>
      <c r="AA46" s="4" t="inlineStr">
        <is>
          <t xml:space="preserve"/>
        </is>
      </c>
      <c r="AB46" s="4" t="inlineStr">
        <is>
          <t xml:space="preserve"/>
        </is>
      </c>
      <c r="AC46" s="4" t="inlineStr">
        <is>
          <t xml:space="preserve"/>
        </is>
      </c>
      <c r="AD46" s="2" t="inlineStr">
        <is>
          <t xml:space="preserve"/>
        </is>
      </c>
      <c r="AE46" s="2" t="inlineStr">
        <is>
          <t xml:space="preserve"/>
        </is>
      </c>
      <c r="AF46" s="2" t="inlineStr">
        <is>
          <t xml:space="preserve"/>
        </is>
      </c>
      <c r="AG46" s="5" t="inlineStr">
        <is>
          <t xml:space="preserve">Mở task</t>
        </is>
      </c>
    </row>
    <row r="47" ht="72" customHeight="1">
      <c r="A47" s="0" t="inlineStr">
        <is>
          <t xml:space="preserve">BE-C10</t>
        </is>
      </c>
      <c r="B47" s="0" t="inlineStr">
        <is>
          <t xml:space="preserve">P5</t>
        </is>
      </c>
      <c r="C47" s="0">
        <v>10</v>
      </c>
      <c r="D47" s="8" t="inlineStr">
        <is>
          <t xml:space="preserve">C</t>
        </is>
      </c>
      <c r="E47" s="0" t="inlineStr">
        <is>
          <t xml:space="preserve">A</t>
        </is>
      </c>
      <c r="F47" s="0" t="inlineStr">
        <is>
          <t xml:space="preserve">Duyệt giữ chỗ 48 giờ và hoàn tất thêm người</t>
        </is>
      </c>
      <c r="G47" s="0">
        <v>8</v>
      </c>
      <c r="H47" s="0">
        <v>4</v>
      </c>
      <c r="I47" s="0" t="inlineStr">
        <is>
          <t xml:space="preserve">API-121, API-122, API-123, API-124</t>
        </is>
      </c>
      <c r="J47" s="0" t="inlineStr">
        <is>
          <t xml:space="preserve">backend/src/modules/rentals/**
backend/tests/rentals/**
backend/tests/fixtures/C/**
backend/tests/contracts/C/**
backend/tests/e2e/rental-*/**
backend/contracts/rentals.*
database/source/workflows.sql
database/source/contract-viewing-cleanup.sql
backend/tests/sql-rental/**</t>
        </is>
      </c>
      <c r="K47" s="0" t="inlineStr">
        <is>
          <t xml:space="preserve">BE-C09</t>
        </is>
      </c>
      <c r="L47" s="0" t="inlineStr">
        <is>
          <t xml:space="preserve"/>
        </is>
      </c>
      <c r="M47" s="0" t="inlineStr">
        <is>
          <t xml:space="preserve"/>
        </is>
      </c>
      <c r="N47" s="0" t="inlineStr">
        <is>
          <t xml:space="preserve">Approve/reject/cancel hold theo quyền và consent; 48 giờ theo chính sách đã có.
Complete recheck hold/time/account/capacity, tạo member ACTIVE và liên kết hai chiều đúng FK.
Retry đã completed trả kết quả cũ qua idempotency, không gọi lại procedure tạo thêm member.</t>
        </is>
      </c>
      <c r="O47" s="0" t="inlineStr">
        <is>
          <t xml:space="preserve">Hai người tranh chỗ cuối chỉ một approve; hold quá hạn không tính tải dù job chưa chạy.
Complete fail không để member mồ côi/hold đã consume.</t>
        </is>
      </c>
      <c r="P47" s="0" t="inlineStr">
        <is>
          <t xml:space="preserve">Chưa làm</t>
        </is>
      </c>
      <c r="Q47" s="0" t="inlineStr">
        <is>
          <t xml:space="preserve">Chưa</t>
        </is>
      </c>
      <c r="R47" s="0" t="inlineStr">
        <is>
          <t xml:space="preserve">Chưa</t>
        </is>
      </c>
      <c r="S47" s="0" t="inlineStr">
        <is>
          <t xml:space="preserve">Chưa</t>
        </is>
      </c>
      <c r="T47" s="0" t="inlineStr">
        <is>
          <t xml:space="preserve">Chưa</t>
        </is>
      </c>
      <c r="U47" s="0" t="inlineStr">
        <is>
          <t xml:space="preserve">Chưa</t>
        </is>
      </c>
      <c r="V47" s="0" t="inlineStr">
        <is>
          <t xml:space="preserve">Chưa</t>
        </is>
      </c>
      <c r="W47" s="0" t="inlineStr">
        <is>
          <t xml:space="preserve">Chưa</t>
        </is>
      </c>
      <c r="X47" s="3">
        <f>COUNTIF(Q47:W47,"Xong")/7</f>
        <v>0</v>
      </c>
      <c r="Y47" s="0" t="str">
        <f>IF(AND(AND(INDEX(BE_Tasks!$P$2:$P$53,MATCH("BE-C09",BE_Tasks!$A$2:$A$53,0))="Hoàn thành",INDEX(BE_Tasks!$Z$2:$Z$53,MATCH("BE-C09",BE_Tasks!$A$2:$A$53,0))="")),"Đủ điều kiện","Chờ phụ thuộc")</f>
        <v>Chờ phụ thuộc</v>
      </c>
      <c r="Z47" s="0" t="str">
        <f>IF(AND(P47="Hoàn thành",OR(X47&lt;1,Y47&lt;&gt;"Đủ điều kiện",AND(AE47="",AD47=""))),"Thiếu bước / phụ thuộc / bằng chứng","")</f>
        <v/>
      </c>
      <c r="AA47" s="4" t="inlineStr">
        <is>
          <t xml:space="preserve"/>
        </is>
      </c>
      <c r="AB47" s="4" t="inlineStr">
        <is>
          <t xml:space="preserve"/>
        </is>
      </c>
      <c r="AC47" s="4" t="inlineStr">
        <is>
          <t xml:space="preserve"/>
        </is>
      </c>
      <c r="AD47" s="0" t="inlineStr">
        <is>
          <t xml:space="preserve"/>
        </is>
      </c>
      <c r="AE47" s="0" t="inlineStr">
        <is>
          <t xml:space="preserve"/>
        </is>
      </c>
      <c r="AF47" s="0" t="inlineStr">
        <is>
          <t xml:space="preserve"/>
        </is>
      </c>
      <c r="AG47" s="5" t="inlineStr">
        <is>
          <t xml:space="preserve">Mở task</t>
        </is>
      </c>
    </row>
    <row r="48" ht="72" customHeight="1">
      <c r="A48" s="2" t="inlineStr">
        <is>
          <t xml:space="preserve">BE-C11</t>
        </is>
      </c>
      <c r="B48" s="2" t="inlineStr">
        <is>
          <t xml:space="preserve">P5</t>
        </is>
      </c>
      <c r="C48" s="2">
        <v>11</v>
      </c>
      <c r="D48" s="8" t="inlineStr">
        <is>
          <t xml:space="preserve">C</t>
        </is>
      </c>
      <c r="E48" s="2" t="inlineStr">
        <is>
          <t xml:space="preserve">A</t>
        </is>
      </c>
      <c r="F48" s="2" t="inlineStr">
        <is>
          <t xml:space="preserve">Rời phòng và bàn giao đại diện</t>
        </is>
      </c>
      <c r="G48" s="2">
        <v>5</v>
      </c>
      <c r="H48" s="2">
        <v>2</v>
      </c>
      <c r="I48" s="2" t="inlineStr">
        <is>
          <t xml:space="preserve">API-125, API-128</t>
        </is>
      </c>
      <c r="J48" s="2" t="inlineStr">
        <is>
          <t xml:space="preserve">backend/src/modules/rentals/**
backend/tests/rentals/**
backend/tests/fixtures/C/**
backend/tests/contracts/C/**
backend/tests/e2e/rental-*/**
backend/contracts/rentals.*
database/source/workflows.sql
database/source/contract-viewing-cleanup.sql
backend/tests/sql-rental/**</t>
        </is>
      </c>
      <c r="K48" s="2" t="inlineStr">
        <is>
          <t xml:space="preserve">BE-C10</t>
        </is>
      </c>
      <c r="L48" s="2" t="inlineStr">
        <is>
          <t xml:space="preserve">BE-A13</t>
        </is>
      </c>
      <c r="M48" s="2" t="inlineStr">
        <is>
          <t xml:space="preserve"/>
        </is>
      </c>
      <c r="N48" s="2" t="inlineStr">
        <is>
          <t xml:space="preserve">Chọn successor ACTIVE cùng contract có account ACTIVE; consent landlord recorded, reason bắt buộc.
Đóng history, LEFT người cũ, đại diện mới, hủy request cũ, notify cùng giao dịch.
Người cuối rời xử lý mọi member mở; không đổi payer invoice cũ, viewing gốc hoặc terms cũ.</t>
        </is>
      </c>
      <c r="O48" s="2" t="inlineStr">
        <is>
          <t xml:space="preserve">QA07 giữ nguyên giá/cọc/thời hạn/contract; không chọn planned/left/locked.
Nhà hết quyền vẫn rời/kết thúc được; thiếu chứng cứ không tự đoán ngày.</t>
        </is>
      </c>
      <c r="P48" s="2" t="inlineStr">
        <is>
          <t xml:space="preserve">Chưa làm</t>
        </is>
      </c>
      <c r="Q48" s="2" t="inlineStr">
        <is>
          <t xml:space="preserve">Chưa</t>
        </is>
      </c>
      <c r="R48" s="2" t="inlineStr">
        <is>
          <t xml:space="preserve">Chưa</t>
        </is>
      </c>
      <c r="S48" s="2" t="inlineStr">
        <is>
          <t xml:space="preserve">Chưa</t>
        </is>
      </c>
      <c r="T48" s="2" t="inlineStr">
        <is>
          <t xml:space="preserve">Chưa</t>
        </is>
      </c>
      <c r="U48" s="2" t="inlineStr">
        <is>
          <t xml:space="preserve">Chưa</t>
        </is>
      </c>
      <c r="V48" s="2" t="inlineStr">
        <is>
          <t xml:space="preserve">Chưa</t>
        </is>
      </c>
      <c r="W48" s="2" t="inlineStr">
        <is>
          <t xml:space="preserve">Chưa</t>
        </is>
      </c>
      <c r="X48" s="3">
        <f>COUNTIF(Q48:W48,"Xong")/7</f>
        <v>0</v>
      </c>
      <c r="Y48" s="2" t="str">
        <f>IF(AND(AND(INDEX(BE_Tasks!$P$2:$P$53,MATCH("BE-C10",BE_Tasks!$A$2:$A$53,0))="Hoàn thành",INDEX(BE_Tasks!$Z$2:$Z$53,MATCH("BE-C10",BE_Tasks!$A$2:$A$53,0))=""),AND(INDEX(BE_Tasks!$P$2:$P$53,MATCH("BE-A13",BE_Tasks!$A$2:$A$53,0))="Hoàn thành",INDEX(BE_Tasks!$Z$2:$Z$53,MATCH("BE-A13",BE_Tasks!$A$2:$A$53,0))="")),"Đủ điều kiện","Chờ phụ thuộc")</f>
        <v>Chờ phụ thuộc</v>
      </c>
      <c r="Z48" s="2" t="str">
        <f>IF(AND(P48="Hoàn thành",OR(X48&lt;1,Y48&lt;&gt;"Đủ điều kiện",AND(AE48="",AD48=""))),"Thiếu bước / phụ thuộc / bằng chứng","")</f>
        <v/>
      </c>
      <c r="AA48" s="4" t="inlineStr">
        <is>
          <t xml:space="preserve"/>
        </is>
      </c>
      <c r="AB48" s="4" t="inlineStr">
        <is>
          <t xml:space="preserve"/>
        </is>
      </c>
      <c r="AC48" s="4" t="inlineStr">
        <is>
          <t xml:space="preserve"/>
        </is>
      </c>
      <c r="AD48" s="2" t="inlineStr">
        <is>
          <t xml:space="preserve"/>
        </is>
      </c>
      <c r="AE48" s="2" t="inlineStr">
        <is>
          <t xml:space="preserve"/>
        </is>
      </c>
      <c r="AF48" s="2" t="inlineStr">
        <is>
          <t xml:space="preserve"/>
        </is>
      </c>
      <c r="AG48" s="5" t="inlineStr">
        <is>
          <t xml:space="preserve">Mở task</t>
        </is>
      </c>
    </row>
    <row r="49" ht="72" customHeight="1">
      <c r="A49" s="0" t="inlineStr">
        <is>
          <t xml:space="preserve">BE-C12</t>
        </is>
      </c>
      <c r="B49" s="0" t="inlineStr">
        <is>
          <t xml:space="preserve">P5</t>
        </is>
      </c>
      <c r="C49" s="0">
        <v>12</v>
      </c>
      <c r="D49" s="8" t="inlineStr">
        <is>
          <t xml:space="preserve">C</t>
        </is>
      </c>
      <c r="E49" s="0" t="inlineStr">
        <is>
          <t xml:space="preserve">A</t>
        </is>
      </c>
      <c r="F49" s="0" t="inlineStr">
        <is>
          <t xml:space="preserve">Gia hạn, đổi phòng và chấm dứt có xác nhận</t>
        </is>
      </c>
      <c r="G49" s="0">
        <v>8</v>
      </c>
      <c r="H49" s="0">
        <v>8</v>
      </c>
      <c r="I49" s="0" t="inlineStr">
        <is>
          <t xml:space="preserve">API-129, API-130, API-131, API-132, API-133, API-134, API-135, API-136</t>
        </is>
      </c>
      <c r="J49" s="0" t="inlineStr">
        <is>
          <t xml:space="preserve">backend/src/modules/rentals/**
backend/tests/rentals/**
backend/tests/fixtures/C/**
backend/tests/contracts/C/**
backend/tests/e2e/rental-*/**
backend/contracts/rentals.*
database/source/workflows.sql
database/source/contract-viewing-cleanup.sql
backend/tests/sql-rental/**</t>
        </is>
      </c>
      <c r="K49" s="0" t="inlineStr">
        <is>
          <t xml:space="preserve">BE-C11, BE-B04</t>
        </is>
      </c>
      <c r="L49" s="0" t="inlineStr">
        <is>
          <t xml:space="preserve"/>
        </is>
      </c>
      <c r="M49" s="0" t="inlineStr">
        <is>
          <t xml:space="preserve"/>
        </is>
      </c>
      <c r="N49" s="0" t="inlineStr">
        <is>
          <t xml:space="preserve">Một yêu cầu mở; baseRevision/current representative/proposal bất biến và effective date.
Renewal có proposed revision confirmed và quyền nhà; transfer lock room theo ID, kiểm tra mọi điều kiện trước đóng nguồn.
Termination đóng ACTIVE, hủy PLANNED, history/yêu cầu, không xóa invoice; chuyển phòng đích tạo PLANNED chờ vào thực tế.</t>
        </is>
      </c>
      <c r="O49" s="0" t="inlineStr">
        <is>
          <t xml:space="preserve">QA08 lỗi đích rollback nguồn; chuyển đủ ACTIVE+PLANNED, không chỉ đại diện.
Gửi/approve/confirm chưa đổi contract; apply stale/hết quyền/đến ngày sai bị chặn.</t>
        </is>
      </c>
      <c r="P49" s="0" t="inlineStr">
        <is>
          <t xml:space="preserve">Chưa làm</t>
        </is>
      </c>
      <c r="Q49" s="0" t="inlineStr">
        <is>
          <t xml:space="preserve">Chưa</t>
        </is>
      </c>
      <c r="R49" s="0" t="inlineStr">
        <is>
          <t xml:space="preserve">Chưa</t>
        </is>
      </c>
      <c r="S49" s="0" t="inlineStr">
        <is>
          <t xml:space="preserve">Chưa</t>
        </is>
      </c>
      <c r="T49" s="0" t="inlineStr">
        <is>
          <t xml:space="preserve">Chưa</t>
        </is>
      </c>
      <c r="U49" s="0" t="inlineStr">
        <is>
          <t xml:space="preserve">Chưa</t>
        </is>
      </c>
      <c r="V49" s="0" t="inlineStr">
        <is>
          <t xml:space="preserve">Chưa</t>
        </is>
      </c>
      <c r="W49" s="0" t="inlineStr">
        <is>
          <t xml:space="preserve">Chưa</t>
        </is>
      </c>
      <c r="X49" s="3">
        <f>COUNTIF(Q49:W49,"Xong")/7</f>
        <v>0</v>
      </c>
      <c r="Y49" s="0" t="str">
        <f>IF(AND(AND(INDEX(BE_Tasks!$P$2:$P$53,MATCH("BE-C11",BE_Tasks!$A$2:$A$53,0))="Hoàn thành",INDEX(BE_Tasks!$Z$2:$Z$53,MATCH("BE-C11",BE_Tasks!$A$2:$A$53,0))=""),AND(INDEX(BE_Tasks!$P$2:$P$53,MATCH("BE-B04",BE_Tasks!$A$2:$A$53,0))="Hoàn thành",INDEX(BE_Tasks!$Z$2:$Z$53,MATCH("BE-B04",BE_Tasks!$A$2:$A$53,0))="")),"Đủ điều kiện","Chờ phụ thuộc")</f>
        <v>Chờ phụ thuộc</v>
      </c>
      <c r="Z49" s="0" t="str">
        <f>IF(AND(P49="Hoàn thành",OR(X49&lt;1,Y49&lt;&gt;"Đủ điều kiện",AND(AE49="",AD49=""))),"Thiếu bước / phụ thuộc / bằng chứng","")</f>
        <v/>
      </c>
      <c r="AA49" s="4" t="inlineStr">
        <is>
          <t xml:space="preserve"/>
        </is>
      </c>
      <c r="AB49" s="4" t="inlineStr">
        <is>
          <t xml:space="preserve"/>
        </is>
      </c>
      <c r="AC49" s="4" t="inlineStr">
        <is>
          <t xml:space="preserve"/>
        </is>
      </c>
      <c r="AD49" s="0" t="inlineStr">
        <is>
          <t xml:space="preserve"/>
        </is>
      </c>
      <c r="AE49" s="0" t="inlineStr">
        <is>
          <t xml:space="preserve"/>
        </is>
      </c>
      <c r="AF49" s="0" t="inlineStr">
        <is>
          <t xml:space="preserve"/>
        </is>
      </c>
      <c r="AG49" s="5" t="inlineStr">
        <is>
          <t xml:space="preserve">Mở task</t>
        </is>
      </c>
    </row>
    <row r="50" ht="72" customHeight="1">
      <c r="A50" s="2" t="inlineStr">
        <is>
          <t xml:space="preserve">BE-C13</t>
        </is>
      </c>
      <c r="B50" s="2" t="inlineStr">
        <is>
          <t xml:space="preserve">P6</t>
        </is>
      </c>
      <c r="C50" s="2">
        <v>13</v>
      </c>
      <c r="D50" s="8" t="inlineStr">
        <is>
          <t xml:space="preserve">C</t>
        </is>
      </c>
      <c r="E50" s="2" t="inlineStr">
        <is>
          <t xml:space="preserve">A</t>
        </is>
      </c>
      <c r="F50" s="2" t="inlineStr">
        <is>
          <t xml:space="preserve">Nhập hợp đồng giấy có phân quyền riêng</t>
        </is>
      </c>
      <c r="G50" s="2">
        <v>8</v>
      </c>
      <c r="H50" s="2">
        <v>1</v>
      </c>
      <c r="I50" s="2" t="inlineStr">
        <is>
          <t xml:space="preserve">API-113</t>
        </is>
      </c>
      <c r="J50" s="2" t="inlineStr">
        <is>
          <t xml:space="preserve">backend/src/modules/rentals/**
backend/tests/rentals/**
backend/tests/fixtures/C/**
backend/tests/contracts/C/**
backend/tests/e2e/rental-*/**
backend/contracts/rentals.*
database/source/workflows.sql
database/source/contract-viewing-cleanup.sql
backend/tests/sql-rental/**</t>
        </is>
      </c>
      <c r="K50" s="2" t="inlineStr">
        <is>
          <t xml:space="preserve">BE-C12, BE-A05</t>
        </is>
      </c>
      <c r="L50" s="2" t="inlineStr">
        <is>
          <t xml:space="preserve"/>
        </is>
      </c>
      <c r="M50" s="2" t="inlineStr">
        <is>
          <t xml:space="preserve">D11</t>
        </is>
      </c>
      <c r="N50" s="2" t="inlineStr">
        <is>
          <t xml:space="preserve">Chốt JSON members/state/date, chứng cứ đã ký, quyền import riêng và policy dữ liệu lịch sử.
Tạo contract/revision IMPORTED/member/history đúng FK và capacity, không giả tenant confirmation.
Không dùng source PAPER_IMPORT trên thuê mới để né quy trình quyền nhà/lịch xem.</t>
        </is>
      </c>
      <c r="O50" s="2" t="inlineStr">
        <is>
          <t xml:space="preserve">Không có quyền/tệp/identity mapping hợp lệ thì không nhập nửa chừng.
Không điền ngày nhận đại diện/ngày rời bằng suy đoán.</t>
        </is>
      </c>
      <c r="P50" s="2" t="inlineStr">
        <is>
          <t xml:space="preserve">Chưa làm</t>
        </is>
      </c>
      <c r="Q50" s="2" t="inlineStr">
        <is>
          <t xml:space="preserve">Chưa</t>
        </is>
      </c>
      <c r="R50" s="2" t="inlineStr">
        <is>
          <t xml:space="preserve">Chưa</t>
        </is>
      </c>
      <c r="S50" s="2" t="inlineStr">
        <is>
          <t xml:space="preserve">Chưa</t>
        </is>
      </c>
      <c r="T50" s="2" t="inlineStr">
        <is>
          <t xml:space="preserve">Chưa</t>
        </is>
      </c>
      <c r="U50" s="2" t="inlineStr">
        <is>
          <t xml:space="preserve">Chưa</t>
        </is>
      </c>
      <c r="V50" s="2" t="inlineStr">
        <is>
          <t xml:space="preserve">Chưa</t>
        </is>
      </c>
      <c r="W50" s="2" t="inlineStr">
        <is>
          <t xml:space="preserve">Chưa</t>
        </is>
      </c>
      <c r="X50" s="3">
        <f>COUNTIF(Q50:W50,"Xong")/7</f>
        <v>0</v>
      </c>
      <c r="Y50" s="2" t="str">
        <f>IF(AND(AND(INDEX(BE_Tasks!$P$2:$P$53,MATCH("BE-C12",BE_Tasks!$A$2:$A$53,0))="Hoàn thành",INDEX(BE_Tasks!$Z$2:$Z$53,MATCH("BE-C12",BE_Tasks!$A$2:$A$53,0))=""),AND(INDEX(BE_Tasks!$P$2:$P$53,MATCH("BE-A05",BE_Tasks!$A$2:$A$53,0))="Hoàn thành",INDEX(BE_Tasks!$Z$2:$Z$53,MATCH("BE-A05",BE_Tasks!$A$2:$A$53,0))="")),"Đủ điều kiện","Chờ phụ thuộc")</f>
        <v>Chờ phụ thuộc</v>
      </c>
      <c r="Z50" s="2" t="str">
        <f>IF(AND(P50="Hoàn thành",OR(X50&lt;1,Y50&lt;&gt;"Đủ điều kiện",AND(AE50="",AD50=""))),"Thiếu bước / phụ thuộc / bằng chứng","")</f>
        <v/>
      </c>
      <c r="AA50" s="4" t="inlineStr">
        <is>
          <t xml:space="preserve"/>
        </is>
      </c>
      <c r="AB50" s="4" t="inlineStr">
        <is>
          <t xml:space="preserve"/>
        </is>
      </c>
      <c r="AC50" s="4" t="inlineStr">
        <is>
          <t xml:space="preserve"/>
        </is>
      </c>
      <c r="AD50" s="2" t="inlineStr">
        <is>
          <t xml:space="preserve"/>
        </is>
      </c>
      <c r="AE50" s="2" t="inlineStr">
        <is>
          <t xml:space="preserve"/>
        </is>
      </c>
      <c r="AF50" s="2" t="inlineStr">
        <is>
          <t xml:space="preserve"/>
        </is>
      </c>
      <c r="AG50" s="5" t="inlineStr">
        <is>
          <t xml:space="preserve">Mở task</t>
        </is>
      </c>
    </row>
    <row r="51" ht="72" customHeight="1">
      <c r="A51" s="0" t="inlineStr">
        <is>
          <t xml:space="preserve">BE-C14</t>
        </is>
      </c>
      <c r="B51" s="0" t="inlineStr">
        <is>
          <t xml:space="preserve">P6</t>
        </is>
      </c>
      <c r="C51" s="0">
        <v>14</v>
      </c>
      <c r="D51" s="8" t="inlineStr">
        <is>
          <t xml:space="preserve">C</t>
        </is>
      </c>
      <c r="E51" s="0" t="inlineStr">
        <is>
          <t xml:space="preserve">A</t>
        </is>
      </c>
      <c r="F51" s="0" t="inlineStr">
        <is>
          <t xml:space="preserve">Worker thuê, hết hold và đối soát cư trú</t>
        </is>
      </c>
      <c r="G51" s="0">
        <v>3</v>
      </c>
      <c r="H51" s="0">
        <v>0</v>
      </c>
      <c r="I51" s="0" t="inlineStr">
        <is>
          <t xml:space="preserve"/>
        </is>
      </c>
      <c r="J51" s="0" t="inlineStr">
        <is>
          <t xml:space="preserve">backend/src/modules/rentals/**
backend/tests/rentals/**
backend/tests/fixtures/C/**
backend/tests/contracts/C/**
backend/tests/e2e/rental-*/**
backend/contracts/rentals.*
database/source/workflows.sql
database/source/contract-viewing-cleanup.sql
backend/tests/sql-rental/**</t>
        </is>
      </c>
      <c r="K51" s="0" t="inlineStr">
        <is>
          <t xml:space="preserve">BE-C12</t>
        </is>
      </c>
      <c r="L51" s="0" t="inlineStr">
        <is>
          <t xml:space="preserve"/>
        </is>
      </c>
      <c r="M51" s="0" t="inlineStr">
        <is>
          <t xml:space="preserve"/>
        </is>
      </c>
      <c r="N51" s="0" t="inlineStr">
        <is>
          <t xml:space="preserve">JOB01 expire proposal gọi thủ tục B sở hữu; thay thuật toán lịch thì gửi B.
JOB02 hold hết hạn; OPS02 báo ACTIVE trên contract đóng; OPS03 chốt quy trình hết hạn lease.
Không tự cho người ở LEFT hoặc đóng lease vì chỉ đến end_date; dữ liệu mâu thuẫn cần đối soát.</t>
        </is>
      </c>
      <c r="O51" s="0" t="inlineStr">
        <is>
          <t xml:space="preserve">Job lặp không tạo side effects mới; read/write vẫn recheck now khi worker trễ.
Hợp đồng cũ, lịch sử và nghĩa vụ hóa đơn được giữ.</t>
        </is>
      </c>
      <c r="P51" s="0" t="inlineStr">
        <is>
          <t xml:space="preserve">Chưa làm</t>
        </is>
      </c>
      <c r="Q51" s="0" t="inlineStr">
        <is>
          <t xml:space="preserve">Chưa</t>
        </is>
      </c>
      <c r="R51" s="0" t="inlineStr">
        <is>
          <t xml:space="preserve">Chưa</t>
        </is>
      </c>
      <c r="S51" s="0" t="inlineStr">
        <is>
          <t xml:space="preserve">Chưa</t>
        </is>
      </c>
      <c r="T51" s="0" t="inlineStr">
        <is>
          <t xml:space="preserve">Chưa</t>
        </is>
      </c>
      <c r="U51" s="0" t="inlineStr">
        <is>
          <t xml:space="preserve">Chưa</t>
        </is>
      </c>
      <c r="V51" s="0" t="inlineStr">
        <is>
          <t xml:space="preserve">Chưa</t>
        </is>
      </c>
      <c r="W51" s="0" t="inlineStr">
        <is>
          <t xml:space="preserve">Chưa</t>
        </is>
      </c>
      <c r="X51" s="3">
        <f>COUNTIF(Q51:W51,"Xong")/7</f>
        <v>0</v>
      </c>
      <c r="Y51" s="0" t="str">
        <f>IF(AND(AND(INDEX(BE_Tasks!$P$2:$P$53,MATCH("BE-C12",BE_Tasks!$A$2:$A$53,0))="Hoàn thành",INDEX(BE_Tasks!$Z$2:$Z$53,MATCH("BE-C12",BE_Tasks!$A$2:$A$53,0))="")),"Đủ điều kiện","Chờ phụ thuộc")</f>
        <v>Chờ phụ thuộc</v>
      </c>
      <c r="Z51" s="0" t="str">
        <f>IF(AND(P51="Hoàn thành",OR(X51&lt;1,Y51&lt;&gt;"Đủ điều kiện",AND(AE51="",AD51=""))),"Thiếu bước / phụ thuộc / bằng chứng","")</f>
        <v/>
      </c>
      <c r="AA51" s="4" t="inlineStr">
        <is>
          <t xml:space="preserve"/>
        </is>
      </c>
      <c r="AB51" s="4" t="inlineStr">
        <is>
          <t xml:space="preserve"/>
        </is>
      </c>
      <c r="AC51" s="4" t="inlineStr">
        <is>
          <t xml:space="preserve"/>
        </is>
      </c>
      <c r="AD51" s="0" t="inlineStr">
        <is>
          <t xml:space="preserve"/>
        </is>
      </c>
      <c r="AE51" s="0" t="inlineStr">
        <is>
          <t xml:space="preserve"/>
        </is>
      </c>
      <c r="AF51" s="0" t="inlineStr">
        <is>
          <t xml:space="preserve"/>
        </is>
      </c>
      <c r="AG51" s="5" t="inlineStr">
        <is>
          <t xml:space="preserve">Mở task</t>
        </is>
      </c>
    </row>
    <row r="52" ht="72" customHeight="1">
      <c r="A52" s="2" t="inlineStr">
        <is>
          <t xml:space="preserve">BE-C15</t>
        </is>
      </c>
      <c r="B52" s="2" t="inlineStr">
        <is>
          <t xml:space="preserve">P7</t>
        </is>
      </c>
      <c r="C52" s="2">
        <v>15</v>
      </c>
      <c r="D52" s="8" t="inlineStr">
        <is>
          <t xml:space="preserve">C</t>
        </is>
      </c>
      <c r="E52" s="2" t="inlineStr">
        <is>
          <t xml:space="preserve">A</t>
        </is>
      </c>
      <c r="F52" s="2" t="inlineStr">
        <is>
          <t xml:space="preserve">Kiểm thử race/rollback toàn bộ giao dịch thuê</t>
        </is>
      </c>
      <c r="G52" s="2">
        <v>5</v>
      </c>
      <c r="H52" s="2">
        <v>0</v>
      </c>
      <c r="I52" s="2" t="inlineStr">
        <is>
          <t xml:space="preserve"/>
        </is>
      </c>
      <c r="J52" s="2" t="inlineStr">
        <is>
          <t xml:space="preserve">backend/src/modules/rentals/**
backend/tests/rentals/**
backend/tests/fixtures/C/**
backend/tests/contracts/C/**
backend/tests/e2e/rental-*/**
backend/contracts/rentals.*
database/source/workflows.sql
database/source/contract-viewing-cleanup.sql
backend/tests/sql-rental/**</t>
        </is>
      </c>
      <c r="K52" s="2" t="inlineStr">
        <is>
          <t xml:space="preserve">BE-C13, BE-C14, BE-B10</t>
        </is>
      </c>
      <c r="L52" s="2" t="inlineStr">
        <is>
          <t xml:space="preserve"/>
        </is>
      </c>
      <c r="M52" s="2" t="inlineStr">
        <is>
          <t xml:space="preserve"/>
        </is>
      </c>
      <c r="N52" s="2" t="inlineStr">
        <is>
          <t xml:space="preserve">QA03/05/06/07/08/09 chạy hai connection và fault injection trong transaction.
Kiểm tra lock order, OUT ID, FK ghép, snapshot và notification không ghi nửa chừng.
Đọc lại lịch sử/account scope sau handover, termination, transfer; lưu bằng chứng DB tạm.</t>
        </is>
      </c>
      <c r="O52" s="2" t="inlineStr">
        <is>
          <t xml:space="preserve">Một phòng một open contract; một account một ACTIVE; không vượt capacity.
Main SQL sinh ra và feature adapter cùng chữ ký procedure mới.</t>
        </is>
      </c>
      <c r="P52" s="2" t="inlineStr">
        <is>
          <t xml:space="preserve">Chưa làm</t>
        </is>
      </c>
      <c r="Q52" s="2" t="inlineStr">
        <is>
          <t xml:space="preserve">Chưa</t>
        </is>
      </c>
      <c r="R52" s="2" t="inlineStr">
        <is>
          <t xml:space="preserve">Chưa</t>
        </is>
      </c>
      <c r="S52" s="2" t="inlineStr">
        <is>
          <t xml:space="preserve">Chưa</t>
        </is>
      </c>
      <c r="T52" s="2" t="inlineStr">
        <is>
          <t xml:space="preserve">Chưa</t>
        </is>
      </c>
      <c r="U52" s="2" t="inlineStr">
        <is>
          <t xml:space="preserve">Chưa</t>
        </is>
      </c>
      <c r="V52" s="2" t="inlineStr">
        <is>
          <t xml:space="preserve">Chưa</t>
        </is>
      </c>
      <c r="W52" s="2" t="inlineStr">
        <is>
          <t xml:space="preserve">Chưa</t>
        </is>
      </c>
      <c r="X52" s="3">
        <f>COUNTIF(Q52:W52,"Xong")/7</f>
        <v>0</v>
      </c>
      <c r="Y52" s="2" t="str">
        <f>IF(AND(AND(INDEX(BE_Tasks!$P$2:$P$53,MATCH("BE-C13",BE_Tasks!$A$2:$A$53,0))="Hoàn thành",INDEX(BE_Tasks!$Z$2:$Z$53,MATCH("BE-C13",BE_Tasks!$A$2:$A$53,0))=""),AND(INDEX(BE_Tasks!$P$2:$P$53,MATCH("BE-C14",BE_Tasks!$A$2:$A$53,0))="Hoàn thành",INDEX(BE_Tasks!$Z$2:$Z$53,MATCH("BE-C14",BE_Tasks!$A$2:$A$53,0))=""),AND(INDEX(BE_Tasks!$P$2:$P$53,MATCH("BE-B10",BE_Tasks!$A$2:$A$53,0))="Hoàn thành",INDEX(BE_Tasks!$Z$2:$Z$53,MATCH("BE-B10",BE_Tasks!$A$2:$A$53,0))="")),"Đủ điều kiện","Chờ phụ thuộc")</f>
        <v>Chờ phụ thuộc</v>
      </c>
      <c r="Z52" s="2" t="str">
        <f>IF(AND(P52="Hoàn thành",OR(X52&lt;1,Y52&lt;&gt;"Đủ điều kiện",AND(AE52="",AD52=""))),"Thiếu bước / phụ thuộc / bằng chứng","")</f>
        <v/>
      </c>
      <c r="AA52" s="4" t="inlineStr">
        <is>
          <t xml:space="preserve"/>
        </is>
      </c>
      <c r="AB52" s="4" t="inlineStr">
        <is>
          <t xml:space="preserve"/>
        </is>
      </c>
      <c r="AC52" s="4" t="inlineStr">
        <is>
          <t xml:space="preserve"/>
        </is>
      </c>
      <c r="AD52" s="2" t="inlineStr">
        <is>
          <t xml:space="preserve"/>
        </is>
      </c>
      <c r="AE52" s="2" t="inlineStr">
        <is>
          <t xml:space="preserve"/>
        </is>
      </c>
      <c r="AF52" s="2" t="inlineStr">
        <is>
          <t xml:space="preserve"/>
        </is>
      </c>
      <c r="AG52" s="5" t="inlineStr">
        <is>
          <t xml:space="preserve">Mở task</t>
        </is>
      </c>
    </row>
    <row r="53" ht="72" customHeight="1">
      <c r="A53" s="0" t="inlineStr">
        <is>
          <t xml:space="preserve">BE-C16</t>
        </is>
      </c>
      <c r="B53" s="0" t="inlineStr">
        <is>
          <t xml:space="preserve">P7</t>
        </is>
      </c>
      <c r="C53" s="0">
        <v>16</v>
      </c>
      <c r="D53" s="8" t="inlineStr">
        <is>
          <t xml:space="preserve">C</t>
        </is>
      </c>
      <c r="E53" s="0" t="inlineStr">
        <is>
          <t xml:space="preserve">A</t>
        </is>
      </c>
      <c r="F53" s="0" t="inlineStr">
        <is>
          <t xml:space="preserve">E2E thuê xuyên ba module và bàn giao API</t>
        </is>
      </c>
      <c r="G53" s="0">
        <v>3</v>
      </c>
      <c r="H53" s="0">
        <v>0</v>
      </c>
      <c r="I53" s="0" t="inlineStr">
        <is>
          <t xml:space="preserve"/>
        </is>
      </c>
      <c r="J53" s="0" t="inlineStr">
        <is>
          <t xml:space="preserve">backend/src/modules/rentals/**
backend/tests/rentals/**
backend/tests/fixtures/C/**
backend/tests/contracts/C/**
backend/tests/e2e/rental-*/**
backend/contracts/rentals.*</t>
        </is>
      </c>
      <c r="K53" s="0" t="inlineStr">
        <is>
          <t xml:space="preserve">BE-C15, BE-A16, BE-B19</t>
        </is>
      </c>
      <c r="L53" s="0" t="inlineStr">
        <is>
          <t xml:space="preserve"/>
        </is>
      </c>
      <c r="M53" s="0" t="inlineStr">
        <is>
          <t xml:space="preserve"/>
        </is>
      </c>
      <c r="N53" s="0" t="inlineStr">
        <is>
          <t xml:space="preserve">Auth → upload → nhà/quyền → post → chat → viewing → contract → confirm/move-in → invoice → handover/transfer/terminate.
Đối chiếu API coverage/task owner và collection request; báo lỗi về đúng người, không sửa chéo file.
Nộp report G7, các limit ngoài phạm vi và dữ liệu reset/test cho A17.</t>
        </is>
      </c>
      <c r="O53" s="0" t="inlineStr">
        <is>
          <t xml:space="preserve">Không còn stub tại production composition root; toàn bộ API được kế hoạch đánh dấu đạt có test thật.
D11/D02 và các điểm chưa chốt không bị tự đánh dấu hoàn thành vì có fixture.</t>
        </is>
      </c>
      <c r="P53" s="0" t="inlineStr">
        <is>
          <t xml:space="preserve">Chưa làm</t>
        </is>
      </c>
      <c r="Q53" s="0" t="inlineStr">
        <is>
          <t xml:space="preserve">Chưa</t>
        </is>
      </c>
      <c r="R53" s="0" t="inlineStr">
        <is>
          <t xml:space="preserve">Chưa</t>
        </is>
      </c>
      <c r="S53" s="0" t="inlineStr">
        <is>
          <t xml:space="preserve">Chưa</t>
        </is>
      </c>
      <c r="T53" s="0" t="inlineStr">
        <is>
          <t xml:space="preserve">Chưa</t>
        </is>
      </c>
      <c r="U53" s="0" t="inlineStr">
        <is>
          <t xml:space="preserve">Chưa</t>
        </is>
      </c>
      <c r="V53" s="0" t="inlineStr">
        <is>
          <t xml:space="preserve">Chưa</t>
        </is>
      </c>
      <c r="W53" s="0" t="inlineStr">
        <is>
          <t xml:space="preserve">Chưa</t>
        </is>
      </c>
      <c r="X53" s="3">
        <f>COUNTIF(Q53:W53,"Xong")/7</f>
        <v>0</v>
      </c>
      <c r="Y53" s="0" t="str">
        <f>IF(AND(AND(INDEX(BE_Tasks!$P$2:$P$53,MATCH("BE-C15",BE_Tasks!$A$2:$A$53,0))="Hoàn thành",INDEX(BE_Tasks!$Z$2:$Z$53,MATCH("BE-C15",BE_Tasks!$A$2:$A$53,0))=""),AND(INDEX(BE_Tasks!$P$2:$P$53,MATCH("BE-A16",BE_Tasks!$A$2:$A$53,0))="Hoàn thành",INDEX(BE_Tasks!$Z$2:$Z$53,MATCH("BE-A16",BE_Tasks!$A$2:$A$53,0))=""),AND(INDEX(BE_Tasks!$P$2:$P$53,MATCH("BE-B19",BE_Tasks!$A$2:$A$53,0))="Hoàn thành",INDEX(BE_Tasks!$Z$2:$Z$53,MATCH("BE-B19",BE_Tasks!$A$2:$A$53,0))="")),"Đủ điều kiện","Chờ phụ thuộc")</f>
        <v>Chờ phụ thuộc</v>
      </c>
      <c r="Z53" s="0" t="str">
        <f>IF(AND(P53="Hoàn thành",OR(X53&lt;1,Y53&lt;&gt;"Đủ điều kiện",AND(AE53="",AD53=""))),"Thiếu bước / phụ thuộc / bằng chứng","")</f>
        <v/>
      </c>
      <c r="AA53" s="4" t="inlineStr">
        <is>
          <t xml:space="preserve"/>
        </is>
      </c>
      <c r="AB53" s="4" t="inlineStr">
        <is>
          <t xml:space="preserve"/>
        </is>
      </c>
      <c r="AC53" s="4" t="inlineStr">
        <is>
          <t xml:space="preserve"/>
        </is>
      </c>
      <c r="AD53" s="0" t="inlineStr">
        <is>
          <t xml:space="preserve"/>
        </is>
      </c>
      <c r="AE53" s="0" t="inlineStr">
        <is>
          <t xml:space="preserve"/>
        </is>
      </c>
      <c r="AF53" s="0" t="inlineStr">
        <is>
          <t xml:space="preserve"/>
        </is>
      </c>
      <c r="AG53" s="5" t="inlineStr">
        <is>
          <t xml:space="preserve">Mở task</t>
        </is>
      </c>
    </row>
  </sheetData>
  <autoFilter ref="A1:AG53"/>
  <conditionalFormatting sqref="X2:X53">
    <cfRule type="dataBar" priority="1">
      <dataBar>
        <cfvo type="num" val="0"/>
        <cfvo type="num" val="1"/>
        <color rgb="FF087D72"/>
      </dataBar>
    </cfRule>
  </conditionalFormatting>
  <dataValidations count="3">
    <dataValidation type="list" allowBlank="1" showErrorMessage="1" errorTitle="Giá trị không hợp lệ" error="Chọn từ danh sách." sqref="P2:P53">
      <formula1>"Chưa làm,Đang làm,Chờ tích hợp,Chờ review,Bị chặn,Hoàn thành"</formula1>
    </dataValidation>
    <dataValidation type="list" allowBlank="1" showErrorMessage="1" errorTitle="Giá trị không hợp lệ" error="Chọn từ danh sách." sqref="Q2:W53">
      <formula1>"Chưa,Đang làm,Xong"</formula1>
    </dataValidation>
    <dataValidation type="date" operator="between" allowBlank="1" showErrorMessage="1" sqref="AA2:AC53">
      <formula1>43831</formula1>
      <formula2>73050</formula2>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3" r:id="rId32"/>
    <hyperlink ref="AG34" r:id="rId33"/>
    <hyperlink ref="AG35" r:id="rId34"/>
    <hyperlink ref="AG36" r:id="rId35"/>
    <hyperlink ref="AG37" r:id="rId36"/>
    <hyperlink ref="AG38" r:id="rId37"/>
    <hyperlink ref="AG39" r:id="rId38"/>
    <hyperlink ref="AG40" r:id="rId39"/>
    <hyperlink ref="AG41" r:id="rId40"/>
    <hyperlink ref="AG42" r:id="rId41"/>
    <hyperlink ref="AG43" r:id="rId42"/>
    <hyperlink ref="AG44" r:id="rId43"/>
    <hyperlink ref="AG45" r:id="rId44"/>
    <hyperlink ref="AG46" r:id="rId45"/>
    <hyperlink ref="AG47" r:id="rId46"/>
    <hyperlink ref="AG48" r:id="rId47"/>
    <hyperlink ref="AG49" r:id="rId48"/>
    <hyperlink ref="AG50" r:id="rId49"/>
    <hyperlink ref="AG51" r:id="rId50"/>
    <hyperlink ref="AG52" r:id="rId51"/>
    <hyperlink ref="AG53" r:id="rId52"/>
  </hyperlinks>
  <pageMargins left="0.25" right="0.25" top="0.5" bottom="0.5" header="0.2" footer="0.2"/>
  <pageSetup orientation="landscape" paperSize="9"/>
</worksheet>
</file>

<file path=xl/worksheets/sheet4.xml><?xml version="1.0" encoding="utf-8"?>
<worksheet xmlns="http://schemas.openxmlformats.org/spreadsheetml/2006/main" xmlns:r="http://schemas.openxmlformats.org/officeDocument/2006/relationships">
  <dimension ref="A1:M177"/>
  <sheetViews>
    <sheetView workbookViewId="0">
      <pane xSplit="3" ySplit="1" topLeftCell="D2" activePane="bottomRight" state="frozen"/>
    </sheetView>
  </sheetViews>
  <sheetFormatPr defaultRowHeight="20"/>
  <cols>
    <col min="1" max="1" width="14" customWidth="1"/>
    <col min="2" max="2" width="10" customWidth="1"/>
    <col min="3" max="3" width="70" customWidth="1"/>
    <col min="4" max="4" width="60" customWidth="1"/>
    <col min="5" max="5" width="10" customWidth="1"/>
    <col min="6" max="6" width="17" customWidth="1"/>
    <col min="7" max="7" width="10" customWidth="1"/>
    <col min="8" max="8" width="45" customWidth="1"/>
    <col min="9" max="9" width="22" customWidth="1"/>
    <col min="10" max="10" width="18" customWidth="1"/>
    <col min="11" max="11" width="18" customWidth="1"/>
    <col min="12" max="12" width="18" customWidth="1"/>
    <col min="13" max="13" width="18" customWidth="1"/>
  </cols>
  <sheetData>
    <row r="1" ht="38" customHeight="1">
      <c r="A1" s="1" t="inlineStr">
        <is>
          <t xml:space="preserve">API ID</t>
        </is>
      </c>
      <c r="B1" s="1" t="inlineStr">
        <is>
          <t xml:space="preserve">Method</t>
        </is>
      </c>
      <c r="C1" s="1" t="inlineStr">
        <is>
          <t xml:space="preserve">Endpoint</t>
        </is>
      </c>
      <c r="D1" s="1" t="inlineStr">
        <is>
          <t xml:space="preserve">Chức năng</t>
        </is>
      </c>
      <c r="E1" s="1" t="inlineStr">
        <is>
          <t xml:space="preserve">Owner</t>
        </is>
      </c>
      <c r="F1" s="1" t="inlineStr">
        <is>
          <t xml:space="preserve">Task</t>
        </is>
      </c>
      <c r="G1" s="1" t="inlineStr">
        <is>
          <t xml:space="preserve">Mốc</t>
        </is>
      </c>
      <c r="H1" s="1" t="inlineStr">
        <is>
          <t xml:space="preserve">Luồng</t>
        </is>
      </c>
      <c r="I1" s="1" t="inlineStr">
        <is>
          <t xml:space="preserve">Trạng thái task</t>
        </is>
      </c>
      <c r="J1" s="1" t="inlineStr">
        <is>
          <t xml:space="preserve">Tiến độ task</t>
        </is>
      </c>
      <c r="K1" s="1" t="inlineStr">
        <is>
          <t xml:space="preserve">Quyết định</t>
        </is>
      </c>
      <c r="L1" s="1" t="inlineStr">
        <is>
          <t xml:space="preserve">Đặc tả API</t>
        </is>
      </c>
      <c r="M1" s="1" t="inlineStr">
        <is>
          <t xml:space="preserve">Phân công</t>
        </is>
      </c>
    </row>
    <row r="2" ht="72" customHeight="1">
      <c r="A2" s="2" t="inlineStr">
        <is>
          <t xml:space="preserve">API-001</t>
        </is>
      </c>
      <c r="B2" s="2" t="inlineStr">
        <is>
          <t xml:space="preserve">POST</t>
        </is>
      </c>
      <c r="C2" s="2" t="inlineStr">
        <is>
          <t xml:space="preserve">/api/v1/auth/register</t>
        </is>
      </c>
      <c r="D2" s="2" t="inlineStr">
        <is>
          <t xml:space="preserve">Đăng ký tài khoản người thuê</t>
        </is>
      </c>
      <c r="E2" s="6" t="inlineStr">
        <is>
          <t xml:space="preserve">A</t>
        </is>
      </c>
      <c r="F2" s="2" t="inlineStr">
        <is>
          <t xml:space="preserve">BE-A03</t>
        </is>
      </c>
      <c r="G2" s="2" t="inlineStr">
        <is>
          <t xml:space="preserve">P1</t>
        </is>
      </c>
      <c r="H2" s="2" t="inlineStr">
        <is>
          <t xml:space="preserve">account-access</t>
        </is>
      </c>
      <c r="I2" s="2" t="str">
        <f>INDEX(BE_Tasks!$P$2:$P$53,MATCH("BE-A03",BE_Tasks!$A$2:$A$53,0))</f>
        <v>Chưa làm</v>
      </c>
      <c r="J2" s="3">
        <f>INDEX(BE_Tasks!$X$2:$X$53,MATCH("BE-A03",BE_Tasks!$A$2:$A$53,0))</f>
        <v>0</v>
      </c>
      <c r="K2" s="2" t="inlineStr">
        <is>
          <t xml:space="preserve"/>
        </is>
      </c>
      <c r="L2" s="5" t="inlineStr">
        <is>
          <t xml:space="preserve">Mở API</t>
        </is>
      </c>
      <c r="M2" s="5" t="inlineStr">
        <is>
          <t xml:space="preserve">Mở task</t>
        </is>
      </c>
    </row>
    <row r="3" ht="72" customHeight="1">
      <c r="A3" s="0" t="inlineStr">
        <is>
          <t xml:space="preserve">API-002</t>
        </is>
      </c>
      <c r="B3" s="0" t="inlineStr">
        <is>
          <t xml:space="preserve">POST</t>
        </is>
      </c>
      <c r="C3" s="0" t="inlineStr">
        <is>
          <t xml:space="preserve">/api/v1/auth/login</t>
        </is>
      </c>
      <c r="D3" s="0" t="inlineStr">
        <is>
          <t xml:space="preserve">Đăng nhập và mở phiên</t>
        </is>
      </c>
      <c r="E3" s="6" t="inlineStr">
        <is>
          <t xml:space="preserve">A</t>
        </is>
      </c>
      <c r="F3" s="0" t="inlineStr">
        <is>
          <t xml:space="preserve">BE-A03</t>
        </is>
      </c>
      <c r="G3" s="0" t="inlineStr">
        <is>
          <t xml:space="preserve">P1</t>
        </is>
      </c>
      <c r="H3" s="0" t="inlineStr">
        <is>
          <t xml:space="preserve">account-access</t>
        </is>
      </c>
      <c r="I3" s="0" t="str">
        <f>INDEX(BE_Tasks!$P$2:$P$53,MATCH("BE-A03",BE_Tasks!$A$2:$A$53,0))</f>
        <v>Chưa làm</v>
      </c>
      <c r="J3" s="3">
        <f>INDEX(BE_Tasks!$X$2:$X$53,MATCH("BE-A03",BE_Tasks!$A$2:$A$53,0))</f>
        <v>0</v>
      </c>
      <c r="K3" s="0" t="inlineStr">
        <is>
          <t xml:space="preserve"/>
        </is>
      </c>
      <c r="L3" s="5" t="inlineStr">
        <is>
          <t xml:space="preserve">Mở API</t>
        </is>
      </c>
      <c r="M3" s="5" t="inlineStr">
        <is>
          <t xml:space="preserve">Mở task</t>
        </is>
      </c>
    </row>
    <row r="4" ht="72" customHeight="1">
      <c r="A4" s="2" t="inlineStr">
        <is>
          <t xml:space="preserve">API-003</t>
        </is>
      </c>
      <c r="B4" s="2" t="inlineStr">
        <is>
          <t xml:space="preserve">GET</t>
        </is>
      </c>
      <c r="C4" s="2" t="inlineStr">
        <is>
          <t xml:space="preserve">/api/v1/me</t>
        </is>
      </c>
      <c r="D4" s="2" t="inlineStr">
        <is>
          <t xml:space="preserve">Đọc tài khoản và các vai trò thực</t>
        </is>
      </c>
      <c r="E4" s="6" t="inlineStr">
        <is>
          <t xml:space="preserve">A</t>
        </is>
      </c>
      <c r="F4" s="2" t="inlineStr">
        <is>
          <t xml:space="preserve">BE-A03</t>
        </is>
      </c>
      <c r="G4" s="2" t="inlineStr">
        <is>
          <t xml:space="preserve">P1</t>
        </is>
      </c>
      <c r="H4" s="2" t="inlineStr">
        <is>
          <t xml:space="preserve">account-access</t>
        </is>
      </c>
      <c r="I4" s="2" t="str">
        <f>INDEX(BE_Tasks!$P$2:$P$53,MATCH("BE-A03",BE_Tasks!$A$2:$A$53,0))</f>
        <v>Chưa làm</v>
      </c>
      <c r="J4" s="3">
        <f>INDEX(BE_Tasks!$X$2:$X$53,MATCH("BE-A03",BE_Tasks!$A$2:$A$53,0))</f>
        <v>0</v>
      </c>
      <c r="K4" s="2" t="inlineStr">
        <is>
          <t xml:space="preserve"/>
        </is>
      </c>
      <c r="L4" s="5" t="inlineStr">
        <is>
          <t xml:space="preserve">Mở API</t>
        </is>
      </c>
      <c r="M4" s="5" t="inlineStr">
        <is>
          <t xml:space="preserve">Mở task</t>
        </is>
      </c>
    </row>
    <row r="5" ht="72" customHeight="1">
      <c r="A5" s="0" t="inlineStr">
        <is>
          <t xml:space="preserve">API-004</t>
        </is>
      </c>
      <c r="B5" s="0" t="inlineStr">
        <is>
          <t xml:space="preserve">PATCH</t>
        </is>
      </c>
      <c r="C5" s="0" t="inlineStr">
        <is>
          <t xml:space="preserve">/api/v1/me/profile</t>
        </is>
      </c>
      <c r="D5" s="0" t="inlineStr">
        <is>
          <t xml:space="preserve">Cập nhật hồ sơ cá nhân</t>
        </is>
      </c>
      <c r="E5" s="6" t="inlineStr">
        <is>
          <t xml:space="preserve">A</t>
        </is>
      </c>
      <c r="F5" s="0" t="inlineStr">
        <is>
          <t xml:space="preserve">BE-A03</t>
        </is>
      </c>
      <c r="G5" s="0" t="inlineStr">
        <is>
          <t xml:space="preserve">P1</t>
        </is>
      </c>
      <c r="H5" s="0" t="inlineStr">
        <is>
          <t xml:space="preserve">profile</t>
        </is>
      </c>
      <c r="I5" s="0" t="str">
        <f>INDEX(BE_Tasks!$P$2:$P$53,MATCH("BE-A03",BE_Tasks!$A$2:$A$53,0))</f>
        <v>Chưa làm</v>
      </c>
      <c r="J5" s="3">
        <f>INDEX(BE_Tasks!$X$2:$X$53,MATCH("BE-A03",BE_Tasks!$A$2:$A$53,0))</f>
        <v>0</v>
      </c>
      <c r="K5" s="0" t="inlineStr">
        <is>
          <t xml:space="preserve"/>
        </is>
      </c>
      <c r="L5" s="5" t="inlineStr">
        <is>
          <t xml:space="preserve">Mở API</t>
        </is>
      </c>
      <c r="M5" s="5" t="inlineStr">
        <is>
          <t xml:space="preserve">Mở task</t>
        </is>
      </c>
    </row>
    <row r="6" ht="72" customHeight="1">
      <c r="A6" s="2" t="inlineStr">
        <is>
          <t xml:space="preserve">API-005</t>
        </is>
      </c>
      <c r="B6" s="2" t="inlineStr">
        <is>
          <t xml:space="preserve">PATCH</t>
        </is>
      </c>
      <c r="C6" s="2" t="inlineStr">
        <is>
          <t xml:space="preserve">/api/v1/me/notification-settings</t>
        </is>
      </c>
      <c r="D6" s="2" t="inlineStr">
        <is>
          <t xml:space="preserve">Cấu hình kênh thông báo</t>
        </is>
      </c>
      <c r="E6" s="6" t="inlineStr">
        <is>
          <t xml:space="preserve">A</t>
        </is>
      </c>
      <c r="F6" s="2" t="inlineStr">
        <is>
          <t xml:space="preserve">BE-A03</t>
        </is>
      </c>
      <c r="G6" s="2" t="inlineStr">
        <is>
          <t xml:space="preserve">P1</t>
        </is>
      </c>
      <c r="H6" s="2" t="inlineStr">
        <is>
          <t xml:space="preserve">profile</t>
        </is>
      </c>
      <c r="I6" s="2" t="str">
        <f>INDEX(BE_Tasks!$P$2:$P$53,MATCH("BE-A03",BE_Tasks!$A$2:$A$53,0))</f>
        <v>Chưa làm</v>
      </c>
      <c r="J6" s="3">
        <f>INDEX(BE_Tasks!$X$2:$X$53,MATCH("BE-A03",BE_Tasks!$A$2:$A$53,0))</f>
        <v>0</v>
      </c>
      <c r="K6" s="2" t="inlineStr">
        <is>
          <t xml:space="preserve">D04</t>
        </is>
      </c>
      <c r="L6" s="5" t="inlineStr">
        <is>
          <t xml:space="preserve">Mở API</t>
        </is>
      </c>
      <c r="M6" s="5" t="inlineStr">
        <is>
          <t xml:space="preserve">Mở task</t>
        </is>
      </c>
    </row>
    <row r="7" ht="72" customHeight="1">
      <c r="A7" s="0" t="inlineStr">
        <is>
          <t xml:space="preserve">API-006</t>
        </is>
      </c>
      <c r="B7" s="0" t="inlineStr">
        <is>
          <t xml:space="preserve">POST</t>
        </is>
      </c>
      <c r="C7" s="0" t="inlineStr">
        <is>
          <t xml:space="preserve">/api/v1/me/identity-verifications</t>
        </is>
      </c>
      <c r="D7" s="0" t="inlineStr">
        <is>
          <t xml:space="preserve">Nộp xác minh danh tính người thuê</t>
        </is>
      </c>
      <c r="E7" s="6" t="inlineStr">
        <is>
          <t xml:space="preserve">A</t>
        </is>
      </c>
      <c r="F7" s="0" t="inlineStr">
        <is>
          <t xml:space="preserve">BE-A06</t>
        </is>
      </c>
      <c r="G7" s="0" t="inlineStr">
        <is>
          <t xml:space="preserve">P2</t>
        </is>
      </c>
      <c r="H7" s="0" t="inlineStr">
        <is>
          <t xml:space="preserve">identity</t>
        </is>
      </c>
      <c r="I7" s="0" t="str">
        <f>INDEX(BE_Tasks!$P$2:$P$53,MATCH("BE-A06",BE_Tasks!$A$2:$A$53,0))</f>
        <v>Chưa làm</v>
      </c>
      <c r="J7" s="3">
        <f>INDEX(BE_Tasks!$X$2:$X$53,MATCH("BE-A06",BE_Tasks!$A$2:$A$53,0))</f>
        <v>0</v>
      </c>
      <c r="K7" s="0" t="inlineStr">
        <is>
          <t xml:space="preserve">D05</t>
        </is>
      </c>
      <c r="L7" s="5" t="inlineStr">
        <is>
          <t xml:space="preserve">Mở API</t>
        </is>
      </c>
      <c r="M7" s="5" t="inlineStr">
        <is>
          <t xml:space="preserve">Mở task</t>
        </is>
      </c>
    </row>
    <row r="8" ht="72" customHeight="1">
      <c r="A8" s="2" t="inlineStr">
        <is>
          <t xml:space="preserve">API-007</t>
        </is>
      </c>
      <c r="B8" s="2" t="inlineStr">
        <is>
          <t xml:space="preserve">GET</t>
        </is>
      </c>
      <c r="C8" s="2" t="inlineStr">
        <is>
          <t xml:space="preserve">/api/v1/me/identity-verifications</t>
        </is>
      </c>
      <c r="D8" s="2" t="inlineStr">
        <is>
          <t xml:space="preserve">Lịch sử xác minh của mình</t>
        </is>
      </c>
      <c r="E8" s="6" t="inlineStr">
        <is>
          <t xml:space="preserve">A</t>
        </is>
      </c>
      <c r="F8" s="2" t="inlineStr">
        <is>
          <t xml:space="preserve">BE-A06</t>
        </is>
      </c>
      <c r="G8" s="2" t="inlineStr">
        <is>
          <t xml:space="preserve">P2</t>
        </is>
      </c>
      <c r="H8" s="2" t="inlineStr">
        <is>
          <t xml:space="preserve">identity</t>
        </is>
      </c>
      <c r="I8" s="2" t="str">
        <f>INDEX(BE_Tasks!$P$2:$P$53,MATCH("BE-A06",BE_Tasks!$A$2:$A$53,0))</f>
        <v>Chưa làm</v>
      </c>
      <c r="J8" s="3">
        <f>INDEX(BE_Tasks!$X$2:$X$53,MATCH("BE-A06",BE_Tasks!$A$2:$A$53,0))</f>
        <v>0</v>
      </c>
      <c r="K8" s="2" t="inlineStr">
        <is>
          <t xml:space="preserve"/>
        </is>
      </c>
      <c r="L8" s="5" t="inlineStr">
        <is>
          <t xml:space="preserve">Mở API</t>
        </is>
      </c>
      <c r="M8" s="5" t="inlineStr">
        <is>
          <t xml:space="preserve">Mở task</t>
        </is>
      </c>
    </row>
    <row r="9" ht="72" customHeight="1">
      <c r="A9" s="0" t="inlineStr">
        <is>
          <t xml:space="preserve">API-008</t>
        </is>
      </c>
      <c r="B9" s="0" t="inlineStr">
        <is>
          <t xml:space="preserve">POST</t>
        </is>
      </c>
      <c r="C9" s="0" t="inlineStr">
        <is>
          <t xml:space="preserve">/api/v1/me/identity-verifications/{verificationId}/withdraw</t>
        </is>
      </c>
      <c r="D9" s="0" t="inlineStr">
        <is>
          <t xml:space="preserve">Rút hồ sơ danh tính đang chờ</t>
        </is>
      </c>
      <c r="E9" s="6" t="inlineStr">
        <is>
          <t xml:space="preserve">A</t>
        </is>
      </c>
      <c r="F9" s="0" t="inlineStr">
        <is>
          <t xml:space="preserve">BE-A06</t>
        </is>
      </c>
      <c r="G9" s="0" t="inlineStr">
        <is>
          <t xml:space="preserve">P2</t>
        </is>
      </c>
      <c r="H9" s="0" t="inlineStr">
        <is>
          <t xml:space="preserve">identity</t>
        </is>
      </c>
      <c r="I9" s="0" t="str">
        <f>INDEX(BE_Tasks!$P$2:$P$53,MATCH("BE-A06",BE_Tasks!$A$2:$A$53,0))</f>
        <v>Chưa làm</v>
      </c>
      <c r="J9" s="3">
        <f>INDEX(BE_Tasks!$X$2:$X$53,MATCH("BE-A06",BE_Tasks!$A$2:$A$53,0))</f>
        <v>0</v>
      </c>
      <c r="K9" s="0" t="inlineStr">
        <is>
          <t xml:space="preserve"/>
        </is>
      </c>
      <c r="L9" s="5" t="inlineStr">
        <is>
          <t xml:space="preserve">Mở API</t>
        </is>
      </c>
      <c r="M9" s="5" t="inlineStr">
        <is>
          <t xml:space="preserve">Mở task</t>
        </is>
      </c>
    </row>
    <row r="10" ht="72" customHeight="1">
      <c r="A10" s="2" t="inlineStr">
        <is>
          <t xml:space="preserve">API-009</t>
        </is>
      </c>
      <c r="B10" s="2" t="inlineStr">
        <is>
          <t xml:space="preserve">POST</t>
        </is>
      </c>
      <c r="C10" s="2" t="inlineStr">
        <is>
          <t xml:space="preserve">/api/v1/me/landlord-verifications</t>
        </is>
      </c>
      <c r="D10" s="2" t="inlineStr">
        <is>
          <t xml:space="preserve">Xin cấp vai trò chủ trọ</t>
        </is>
      </c>
      <c r="E10" s="6" t="inlineStr">
        <is>
          <t xml:space="preserve">A</t>
        </is>
      </c>
      <c r="F10" s="2" t="inlineStr">
        <is>
          <t xml:space="preserve">BE-A06</t>
        </is>
      </c>
      <c r="G10" s="2" t="inlineStr">
        <is>
          <t xml:space="preserve">P2</t>
        </is>
      </c>
      <c r="H10" s="2" t="inlineStr">
        <is>
          <t xml:space="preserve">identity</t>
        </is>
      </c>
      <c r="I10" s="2" t="str">
        <f>INDEX(BE_Tasks!$P$2:$P$53,MATCH("BE-A06",BE_Tasks!$A$2:$A$53,0))</f>
        <v>Chưa làm</v>
      </c>
      <c r="J10" s="3">
        <f>INDEX(BE_Tasks!$X$2:$X$53,MATCH("BE-A06",BE_Tasks!$A$2:$A$53,0))</f>
        <v>0</v>
      </c>
      <c r="K10" s="2" t="inlineStr">
        <is>
          <t xml:space="preserve"/>
        </is>
      </c>
      <c r="L10" s="5" t="inlineStr">
        <is>
          <t xml:space="preserve">Mở API</t>
        </is>
      </c>
      <c r="M10" s="5" t="inlineStr">
        <is>
          <t xml:space="preserve">Mở task</t>
        </is>
      </c>
    </row>
    <row r="11" ht="72" customHeight="1">
      <c r="A11" s="0" t="inlineStr">
        <is>
          <t xml:space="preserve">API-010</t>
        </is>
      </c>
      <c r="B11" s="0" t="inlineStr">
        <is>
          <t xml:space="preserve">GET</t>
        </is>
      </c>
      <c r="C11" s="0" t="inlineStr">
        <is>
          <t xml:space="preserve">/api/v1/me/landlord-verifications</t>
        </is>
      </c>
      <c r="D11" s="0" t="inlineStr">
        <is>
          <t xml:space="preserve">Lịch sử hồ sơ xin làm chủ trọ</t>
        </is>
      </c>
      <c r="E11" s="6" t="inlineStr">
        <is>
          <t xml:space="preserve">A</t>
        </is>
      </c>
      <c r="F11" s="0" t="inlineStr">
        <is>
          <t xml:space="preserve">BE-A06</t>
        </is>
      </c>
      <c r="G11" s="0" t="inlineStr">
        <is>
          <t xml:space="preserve">P2</t>
        </is>
      </c>
      <c r="H11" s="0" t="inlineStr">
        <is>
          <t xml:space="preserve">identity</t>
        </is>
      </c>
      <c r="I11" s="0" t="str">
        <f>INDEX(BE_Tasks!$P$2:$P$53,MATCH("BE-A06",BE_Tasks!$A$2:$A$53,0))</f>
        <v>Chưa làm</v>
      </c>
      <c r="J11" s="3">
        <f>INDEX(BE_Tasks!$X$2:$X$53,MATCH("BE-A06",BE_Tasks!$A$2:$A$53,0))</f>
        <v>0</v>
      </c>
      <c r="K11" s="0" t="inlineStr">
        <is>
          <t xml:space="preserve"/>
        </is>
      </c>
      <c r="L11" s="5" t="inlineStr">
        <is>
          <t xml:space="preserve">Mở API</t>
        </is>
      </c>
      <c r="M11" s="5" t="inlineStr">
        <is>
          <t xml:space="preserve">Mở task</t>
        </is>
      </c>
    </row>
    <row r="12" ht="72" customHeight="1">
      <c r="A12" s="2" t="inlineStr">
        <is>
          <t xml:space="preserve">API-011</t>
        </is>
      </c>
      <c r="B12" s="2" t="inlineStr">
        <is>
          <t xml:space="preserve">POST</t>
        </is>
      </c>
      <c r="C12" s="2" t="inlineStr">
        <is>
          <t xml:space="preserve">/api/v1/me/landlord-verifications/{verificationId}/withdraw</t>
        </is>
      </c>
      <c r="D12" s="2" t="inlineStr">
        <is>
          <t xml:space="preserve">Rút hồ sơ chủ trọ đang chờ</t>
        </is>
      </c>
      <c r="E12" s="6" t="inlineStr">
        <is>
          <t xml:space="preserve">A</t>
        </is>
      </c>
      <c r="F12" s="2" t="inlineStr">
        <is>
          <t xml:space="preserve">BE-A06</t>
        </is>
      </c>
      <c r="G12" s="2" t="inlineStr">
        <is>
          <t xml:space="preserve">P2</t>
        </is>
      </c>
      <c r="H12" s="2" t="inlineStr">
        <is>
          <t xml:space="preserve">identity</t>
        </is>
      </c>
      <c r="I12" s="2" t="str">
        <f>INDEX(BE_Tasks!$P$2:$P$53,MATCH("BE-A06",BE_Tasks!$A$2:$A$53,0))</f>
        <v>Chưa làm</v>
      </c>
      <c r="J12" s="3">
        <f>INDEX(BE_Tasks!$X$2:$X$53,MATCH("BE-A06",BE_Tasks!$A$2:$A$53,0))</f>
        <v>0</v>
      </c>
      <c r="K12" s="2" t="inlineStr">
        <is>
          <t xml:space="preserve"/>
        </is>
      </c>
      <c r="L12" s="5" t="inlineStr">
        <is>
          <t xml:space="preserve">Mở API</t>
        </is>
      </c>
      <c r="M12" s="5" t="inlineStr">
        <is>
          <t xml:space="preserve">Mở task</t>
        </is>
      </c>
    </row>
    <row r="13" ht="72" customHeight="1">
      <c r="A13" s="0" t="inlineStr">
        <is>
          <t xml:space="preserve">API-012</t>
        </is>
      </c>
      <c r="B13" s="0" t="inlineStr">
        <is>
          <t xml:space="preserve">GET</t>
        </is>
      </c>
      <c r="C13" s="0" t="inlineStr">
        <is>
          <t xml:space="preserve">/api/v1/admin/identity-verifications</t>
        </is>
      </c>
      <c r="D13" s="0" t="inlineStr">
        <is>
          <t xml:space="preserve">Danh sách hồ sơ identity</t>
        </is>
      </c>
      <c r="E13" s="6" t="inlineStr">
        <is>
          <t xml:space="preserve">A</t>
        </is>
      </c>
      <c r="F13" s="0" t="inlineStr">
        <is>
          <t xml:space="preserve">BE-A06</t>
        </is>
      </c>
      <c r="G13" s="0" t="inlineStr">
        <is>
          <t xml:space="preserve">P2</t>
        </is>
      </c>
      <c r="H13" s="0" t="inlineStr">
        <is>
          <t xml:space="preserve">identity</t>
        </is>
      </c>
      <c r="I13" s="0" t="str">
        <f>INDEX(BE_Tasks!$P$2:$P$53,MATCH("BE-A06",BE_Tasks!$A$2:$A$53,0))</f>
        <v>Chưa làm</v>
      </c>
      <c r="J13" s="3">
        <f>INDEX(BE_Tasks!$X$2:$X$53,MATCH("BE-A06",BE_Tasks!$A$2:$A$53,0))</f>
        <v>0</v>
      </c>
      <c r="K13" s="0" t="inlineStr">
        <is>
          <t xml:space="preserve"/>
        </is>
      </c>
      <c r="L13" s="5" t="inlineStr">
        <is>
          <t xml:space="preserve">Mở API</t>
        </is>
      </c>
      <c r="M13" s="5" t="inlineStr">
        <is>
          <t xml:space="preserve">Mở task</t>
        </is>
      </c>
    </row>
    <row r="14" ht="72" customHeight="1">
      <c r="A14" s="2" t="inlineStr">
        <is>
          <t xml:space="preserve">API-013</t>
        </is>
      </c>
      <c r="B14" s="2" t="inlineStr">
        <is>
          <t xml:space="preserve">GET</t>
        </is>
      </c>
      <c r="C14" s="2" t="inlineStr">
        <is>
          <t xml:space="preserve">/api/v1/admin/identity-verifications/{verificationId}</t>
        </is>
      </c>
      <c r="D14" s="2" t="inlineStr">
        <is>
          <t xml:space="preserve">Chi tiết hồ sơ identity</t>
        </is>
      </c>
      <c r="E14" s="6" t="inlineStr">
        <is>
          <t xml:space="preserve">A</t>
        </is>
      </c>
      <c r="F14" s="2" t="inlineStr">
        <is>
          <t xml:space="preserve">BE-A06</t>
        </is>
      </c>
      <c r="G14" s="2" t="inlineStr">
        <is>
          <t xml:space="preserve">P2</t>
        </is>
      </c>
      <c r="H14" s="2" t="inlineStr">
        <is>
          <t xml:space="preserve">identity</t>
        </is>
      </c>
      <c r="I14" s="2" t="str">
        <f>INDEX(BE_Tasks!$P$2:$P$53,MATCH("BE-A06",BE_Tasks!$A$2:$A$53,0))</f>
        <v>Chưa làm</v>
      </c>
      <c r="J14" s="3">
        <f>INDEX(BE_Tasks!$X$2:$X$53,MATCH("BE-A06",BE_Tasks!$A$2:$A$53,0))</f>
        <v>0</v>
      </c>
      <c r="K14" s="2" t="inlineStr">
        <is>
          <t xml:space="preserve"/>
        </is>
      </c>
      <c r="L14" s="5" t="inlineStr">
        <is>
          <t xml:space="preserve">Mở API</t>
        </is>
      </c>
      <c r="M14" s="5" t="inlineStr">
        <is>
          <t xml:space="preserve">Mở task</t>
        </is>
      </c>
    </row>
    <row r="15" ht="72" customHeight="1">
      <c r="A15" s="0" t="inlineStr">
        <is>
          <t xml:space="preserve">API-014</t>
        </is>
      </c>
      <c r="B15" s="0" t="inlineStr">
        <is>
          <t xml:space="preserve">POST</t>
        </is>
      </c>
      <c r="C15" s="0" t="inlineStr">
        <is>
          <t xml:space="preserve">/api/v1/admin/identity-verifications/{verificationId}/decision</t>
        </is>
      </c>
      <c r="D15" s="0" t="inlineStr">
        <is>
          <t xml:space="preserve">Duyệt hoặc từ chối hồ sơ identity</t>
        </is>
      </c>
      <c r="E15" s="6" t="inlineStr">
        <is>
          <t xml:space="preserve">A</t>
        </is>
      </c>
      <c r="F15" s="0" t="inlineStr">
        <is>
          <t xml:space="preserve">BE-A06</t>
        </is>
      </c>
      <c r="G15" s="0" t="inlineStr">
        <is>
          <t xml:space="preserve">P2</t>
        </is>
      </c>
      <c r="H15" s="0" t="inlineStr">
        <is>
          <t xml:space="preserve">identity</t>
        </is>
      </c>
      <c r="I15" s="0" t="str">
        <f>INDEX(BE_Tasks!$P$2:$P$53,MATCH("BE-A06",BE_Tasks!$A$2:$A$53,0))</f>
        <v>Chưa làm</v>
      </c>
      <c r="J15" s="3">
        <f>INDEX(BE_Tasks!$X$2:$X$53,MATCH("BE-A06",BE_Tasks!$A$2:$A$53,0))</f>
        <v>0</v>
      </c>
      <c r="K15" s="0" t="inlineStr">
        <is>
          <t xml:space="preserve"/>
        </is>
      </c>
      <c r="L15" s="5" t="inlineStr">
        <is>
          <t xml:space="preserve">Mở API</t>
        </is>
      </c>
      <c r="M15" s="5" t="inlineStr">
        <is>
          <t xml:space="preserve">Mở task</t>
        </is>
      </c>
    </row>
    <row r="16" ht="72" customHeight="1">
      <c r="A16" s="2" t="inlineStr">
        <is>
          <t xml:space="preserve">API-015</t>
        </is>
      </c>
      <c r="B16" s="2" t="inlineStr">
        <is>
          <t xml:space="preserve">GET</t>
        </is>
      </c>
      <c r="C16" s="2" t="inlineStr">
        <is>
          <t xml:space="preserve">/api/v1/admin/landlord-verifications</t>
        </is>
      </c>
      <c r="D16" s="2" t="inlineStr">
        <is>
          <t xml:space="preserve">Danh sách hồ sơ landlord</t>
        </is>
      </c>
      <c r="E16" s="6" t="inlineStr">
        <is>
          <t xml:space="preserve">A</t>
        </is>
      </c>
      <c r="F16" s="2" t="inlineStr">
        <is>
          <t xml:space="preserve">BE-A06</t>
        </is>
      </c>
      <c r="G16" s="2" t="inlineStr">
        <is>
          <t xml:space="preserve">P2</t>
        </is>
      </c>
      <c r="H16" s="2" t="inlineStr">
        <is>
          <t xml:space="preserve">identity</t>
        </is>
      </c>
      <c r="I16" s="2" t="str">
        <f>INDEX(BE_Tasks!$P$2:$P$53,MATCH("BE-A06",BE_Tasks!$A$2:$A$53,0))</f>
        <v>Chưa làm</v>
      </c>
      <c r="J16" s="3">
        <f>INDEX(BE_Tasks!$X$2:$X$53,MATCH("BE-A06",BE_Tasks!$A$2:$A$53,0))</f>
        <v>0</v>
      </c>
      <c r="K16" s="2" t="inlineStr">
        <is>
          <t xml:space="preserve"/>
        </is>
      </c>
      <c r="L16" s="5" t="inlineStr">
        <is>
          <t xml:space="preserve">Mở API</t>
        </is>
      </c>
      <c r="M16" s="5" t="inlineStr">
        <is>
          <t xml:space="preserve">Mở task</t>
        </is>
      </c>
    </row>
    <row r="17" ht="72" customHeight="1">
      <c r="A17" s="0" t="inlineStr">
        <is>
          <t xml:space="preserve">API-016</t>
        </is>
      </c>
      <c r="B17" s="0" t="inlineStr">
        <is>
          <t xml:space="preserve">GET</t>
        </is>
      </c>
      <c r="C17" s="0" t="inlineStr">
        <is>
          <t xml:space="preserve">/api/v1/admin/landlord-verifications/{verificationId}</t>
        </is>
      </c>
      <c r="D17" s="0" t="inlineStr">
        <is>
          <t xml:space="preserve">Chi tiết hồ sơ landlord</t>
        </is>
      </c>
      <c r="E17" s="6" t="inlineStr">
        <is>
          <t xml:space="preserve">A</t>
        </is>
      </c>
      <c r="F17" s="0" t="inlineStr">
        <is>
          <t xml:space="preserve">BE-A06</t>
        </is>
      </c>
      <c r="G17" s="0" t="inlineStr">
        <is>
          <t xml:space="preserve">P2</t>
        </is>
      </c>
      <c r="H17" s="0" t="inlineStr">
        <is>
          <t xml:space="preserve">identity</t>
        </is>
      </c>
      <c r="I17" s="0" t="str">
        <f>INDEX(BE_Tasks!$P$2:$P$53,MATCH("BE-A06",BE_Tasks!$A$2:$A$53,0))</f>
        <v>Chưa làm</v>
      </c>
      <c r="J17" s="3">
        <f>INDEX(BE_Tasks!$X$2:$X$53,MATCH("BE-A06",BE_Tasks!$A$2:$A$53,0))</f>
        <v>0</v>
      </c>
      <c r="K17" s="0" t="inlineStr">
        <is>
          <t xml:space="preserve"/>
        </is>
      </c>
      <c r="L17" s="5" t="inlineStr">
        <is>
          <t xml:space="preserve">Mở API</t>
        </is>
      </c>
      <c r="M17" s="5" t="inlineStr">
        <is>
          <t xml:space="preserve">Mở task</t>
        </is>
      </c>
    </row>
    <row r="18" ht="72" customHeight="1">
      <c r="A18" s="2" t="inlineStr">
        <is>
          <t xml:space="preserve">API-017</t>
        </is>
      </c>
      <c r="B18" s="2" t="inlineStr">
        <is>
          <t xml:space="preserve">POST</t>
        </is>
      </c>
      <c r="C18" s="2" t="inlineStr">
        <is>
          <t xml:space="preserve">/api/v1/admin/landlord-verifications/{verificationId}/decision</t>
        </is>
      </c>
      <c r="D18" s="2" t="inlineStr">
        <is>
          <t xml:space="preserve">Duyệt hoặc từ chối hồ sơ landlord</t>
        </is>
      </c>
      <c r="E18" s="6" t="inlineStr">
        <is>
          <t xml:space="preserve">A</t>
        </is>
      </c>
      <c r="F18" s="2" t="inlineStr">
        <is>
          <t xml:space="preserve">BE-A06</t>
        </is>
      </c>
      <c r="G18" s="2" t="inlineStr">
        <is>
          <t xml:space="preserve">P2</t>
        </is>
      </c>
      <c r="H18" s="2" t="inlineStr">
        <is>
          <t xml:space="preserve">identity</t>
        </is>
      </c>
      <c r="I18" s="2" t="str">
        <f>INDEX(BE_Tasks!$P$2:$P$53,MATCH("BE-A06",BE_Tasks!$A$2:$A$53,0))</f>
        <v>Chưa làm</v>
      </c>
      <c r="J18" s="3">
        <f>INDEX(BE_Tasks!$X$2:$X$53,MATCH("BE-A06",BE_Tasks!$A$2:$A$53,0))</f>
        <v>0</v>
      </c>
      <c r="K18" s="2" t="inlineStr">
        <is>
          <t xml:space="preserve"/>
        </is>
      </c>
      <c r="L18" s="5" t="inlineStr">
        <is>
          <t xml:space="preserve">Mở API</t>
        </is>
      </c>
      <c r="M18" s="5" t="inlineStr">
        <is>
          <t xml:space="preserve">Mở task</t>
        </is>
      </c>
    </row>
    <row r="19" ht="72" customHeight="1">
      <c r="A19" s="0" t="inlineStr">
        <is>
          <t xml:space="preserve">API-018</t>
        </is>
      </c>
      <c r="B19" s="0" t="inlineStr">
        <is>
          <t xml:space="preserve">POST</t>
        </is>
      </c>
      <c r="C19" s="0" t="inlineStr">
        <is>
          <t xml:space="preserve">/api/v1/auth/refresh</t>
        </is>
      </c>
      <c r="D19" s="0" t="inlineStr">
        <is>
          <t xml:space="preserve">Luân chuyển refresh token</t>
        </is>
      </c>
      <c r="E19" s="6" t="inlineStr">
        <is>
          <t xml:space="preserve">A</t>
        </is>
      </c>
      <c r="F19" s="0" t="inlineStr">
        <is>
          <t xml:space="preserve">BE-A03</t>
        </is>
      </c>
      <c r="G19" s="0" t="inlineStr">
        <is>
          <t xml:space="preserve">P1</t>
        </is>
      </c>
      <c r="H19" s="0" t="inlineStr">
        <is>
          <t xml:space="preserve">sessions</t>
        </is>
      </c>
      <c r="I19" s="0" t="str">
        <f>INDEX(BE_Tasks!$P$2:$P$53,MATCH("BE-A03",BE_Tasks!$A$2:$A$53,0))</f>
        <v>Chưa làm</v>
      </c>
      <c r="J19" s="3">
        <f>INDEX(BE_Tasks!$X$2:$X$53,MATCH("BE-A03",BE_Tasks!$A$2:$A$53,0))</f>
        <v>0</v>
      </c>
      <c r="K19" s="0" t="inlineStr">
        <is>
          <t xml:space="preserve"/>
        </is>
      </c>
      <c r="L19" s="5" t="inlineStr">
        <is>
          <t xml:space="preserve">Mở API</t>
        </is>
      </c>
      <c r="M19" s="5" t="inlineStr">
        <is>
          <t xml:space="preserve">Mở task</t>
        </is>
      </c>
    </row>
    <row r="20" ht="72" customHeight="1">
      <c r="A20" s="2" t="inlineStr">
        <is>
          <t xml:space="preserve">API-019</t>
        </is>
      </c>
      <c r="B20" s="2" t="inlineStr">
        <is>
          <t xml:space="preserve">POST</t>
        </is>
      </c>
      <c r="C20" s="2" t="inlineStr">
        <is>
          <t xml:space="preserve">/api/v1/auth/logout</t>
        </is>
      </c>
      <c r="D20" s="2" t="inlineStr">
        <is>
          <t xml:space="preserve">Đăng xuất phiên hiện tại</t>
        </is>
      </c>
      <c r="E20" s="6" t="inlineStr">
        <is>
          <t xml:space="preserve">A</t>
        </is>
      </c>
      <c r="F20" s="2" t="inlineStr">
        <is>
          <t xml:space="preserve">BE-A03</t>
        </is>
      </c>
      <c r="G20" s="2" t="inlineStr">
        <is>
          <t xml:space="preserve">P1</t>
        </is>
      </c>
      <c r="H20" s="2" t="inlineStr">
        <is>
          <t xml:space="preserve">sessions</t>
        </is>
      </c>
      <c r="I20" s="2" t="str">
        <f>INDEX(BE_Tasks!$P$2:$P$53,MATCH("BE-A03",BE_Tasks!$A$2:$A$53,0))</f>
        <v>Chưa làm</v>
      </c>
      <c r="J20" s="3">
        <f>INDEX(BE_Tasks!$X$2:$X$53,MATCH("BE-A03",BE_Tasks!$A$2:$A$53,0))</f>
        <v>0</v>
      </c>
      <c r="K20" s="2" t="inlineStr">
        <is>
          <t xml:space="preserve"/>
        </is>
      </c>
      <c r="L20" s="5" t="inlineStr">
        <is>
          <t xml:space="preserve">Mở API</t>
        </is>
      </c>
      <c r="M20" s="5" t="inlineStr">
        <is>
          <t xml:space="preserve">Mở task</t>
        </is>
      </c>
    </row>
    <row r="21" ht="72" customHeight="1">
      <c r="A21" s="0" t="inlineStr">
        <is>
          <t xml:space="preserve">API-020</t>
        </is>
      </c>
      <c r="B21" s="0" t="inlineStr">
        <is>
          <t xml:space="preserve">GET</t>
        </is>
      </c>
      <c r="C21" s="0" t="inlineStr">
        <is>
          <t xml:space="preserve">/api/v1/me/sessions</t>
        </is>
      </c>
      <c r="D21" s="0" t="inlineStr">
        <is>
          <t xml:space="preserve">Danh sách phiên của mình</t>
        </is>
      </c>
      <c r="E21" s="6" t="inlineStr">
        <is>
          <t xml:space="preserve">A</t>
        </is>
      </c>
      <c r="F21" s="0" t="inlineStr">
        <is>
          <t xml:space="preserve">BE-A03</t>
        </is>
      </c>
      <c r="G21" s="0" t="inlineStr">
        <is>
          <t xml:space="preserve">P1</t>
        </is>
      </c>
      <c r="H21" s="0" t="inlineStr">
        <is>
          <t xml:space="preserve">sessions</t>
        </is>
      </c>
      <c r="I21" s="0" t="str">
        <f>INDEX(BE_Tasks!$P$2:$P$53,MATCH("BE-A03",BE_Tasks!$A$2:$A$53,0))</f>
        <v>Chưa làm</v>
      </c>
      <c r="J21" s="3">
        <f>INDEX(BE_Tasks!$X$2:$X$53,MATCH("BE-A03",BE_Tasks!$A$2:$A$53,0))</f>
        <v>0</v>
      </c>
      <c r="K21" s="0" t="inlineStr">
        <is>
          <t xml:space="preserve"/>
        </is>
      </c>
      <c r="L21" s="5" t="inlineStr">
        <is>
          <t xml:space="preserve">Mở API</t>
        </is>
      </c>
      <c r="M21" s="5" t="inlineStr">
        <is>
          <t xml:space="preserve">Mở task</t>
        </is>
      </c>
    </row>
    <row r="22" ht="72" customHeight="1">
      <c r="A22" s="2" t="inlineStr">
        <is>
          <t xml:space="preserve">API-021</t>
        </is>
      </c>
      <c r="B22" s="2" t="inlineStr">
        <is>
          <t xml:space="preserve">DELETE</t>
        </is>
      </c>
      <c r="C22" s="2" t="inlineStr">
        <is>
          <t xml:space="preserve">/api/v1/me/sessions/{sessionId}</t>
        </is>
      </c>
      <c r="D22" s="2" t="inlineStr">
        <is>
          <t xml:space="preserve">Thu hồi một phiên</t>
        </is>
      </c>
      <c r="E22" s="6" t="inlineStr">
        <is>
          <t xml:space="preserve">A</t>
        </is>
      </c>
      <c r="F22" s="2" t="inlineStr">
        <is>
          <t xml:space="preserve">BE-A03</t>
        </is>
      </c>
      <c r="G22" s="2" t="inlineStr">
        <is>
          <t xml:space="preserve">P1</t>
        </is>
      </c>
      <c r="H22" s="2" t="inlineStr">
        <is>
          <t xml:space="preserve">sessions</t>
        </is>
      </c>
      <c r="I22" s="2" t="str">
        <f>INDEX(BE_Tasks!$P$2:$P$53,MATCH("BE-A03",BE_Tasks!$A$2:$A$53,0))</f>
        <v>Chưa làm</v>
      </c>
      <c r="J22" s="3">
        <f>INDEX(BE_Tasks!$X$2:$X$53,MATCH("BE-A03",BE_Tasks!$A$2:$A$53,0))</f>
        <v>0</v>
      </c>
      <c r="K22" s="2" t="inlineStr">
        <is>
          <t xml:space="preserve"/>
        </is>
      </c>
      <c r="L22" s="5" t="inlineStr">
        <is>
          <t xml:space="preserve">Mở API</t>
        </is>
      </c>
      <c r="M22" s="5" t="inlineStr">
        <is>
          <t xml:space="preserve">Mở task</t>
        </is>
      </c>
    </row>
    <row r="23" ht="72" customHeight="1">
      <c r="A23" s="0" t="inlineStr">
        <is>
          <t xml:space="preserve">API-022</t>
        </is>
      </c>
      <c r="B23" s="0" t="inlineStr">
        <is>
          <t xml:space="preserve">POST</t>
        </is>
      </c>
      <c r="C23" s="0" t="inlineStr">
        <is>
          <t xml:space="preserve">/api/v1/auth/phone-verifications</t>
        </is>
      </c>
      <c r="D23" s="0" t="inlineStr">
        <is>
          <t xml:space="preserve">Gửi OTP xác minh điện thoại</t>
        </is>
      </c>
      <c r="E23" s="6" t="inlineStr">
        <is>
          <t xml:space="preserve">A</t>
        </is>
      </c>
      <c r="F23" s="0" t="inlineStr">
        <is>
          <t xml:space="preserve">BE-A07</t>
        </is>
      </c>
      <c r="G23" s="0" t="inlineStr">
        <is>
          <t xml:space="preserve">P2</t>
        </is>
      </c>
      <c r="H23" s="0" t="inlineStr">
        <is>
          <t xml:space="preserve">sessions</t>
        </is>
      </c>
      <c r="I23" s="0" t="str">
        <f>INDEX(BE_Tasks!$P$2:$P$53,MATCH("BE-A07",BE_Tasks!$A$2:$A$53,0))</f>
        <v>Chưa làm</v>
      </c>
      <c r="J23" s="3">
        <f>INDEX(BE_Tasks!$X$2:$X$53,MATCH("BE-A07",BE_Tasks!$A$2:$A$53,0))</f>
        <v>0</v>
      </c>
      <c r="K23" s="0" t="inlineStr">
        <is>
          <t xml:space="preserve">D01</t>
        </is>
      </c>
      <c r="L23" s="5" t="inlineStr">
        <is>
          <t xml:space="preserve">Mở API</t>
        </is>
      </c>
      <c r="M23" s="5" t="inlineStr">
        <is>
          <t xml:space="preserve">Mở task</t>
        </is>
      </c>
    </row>
    <row r="24" ht="72" customHeight="1">
      <c r="A24" s="2" t="inlineStr">
        <is>
          <t xml:space="preserve">API-023</t>
        </is>
      </c>
      <c r="B24" s="2" t="inlineStr">
        <is>
          <t xml:space="preserve">POST</t>
        </is>
      </c>
      <c r="C24" s="2" t="inlineStr">
        <is>
          <t xml:space="preserve">/api/v1/auth/phone-verifications/confirm</t>
        </is>
      </c>
      <c r="D24" s="2" t="inlineStr">
        <is>
          <t xml:space="preserve">Xác nhận OTP điện thoại</t>
        </is>
      </c>
      <c r="E24" s="6" t="inlineStr">
        <is>
          <t xml:space="preserve">A</t>
        </is>
      </c>
      <c r="F24" s="2" t="inlineStr">
        <is>
          <t xml:space="preserve">BE-A07</t>
        </is>
      </c>
      <c r="G24" s="2" t="inlineStr">
        <is>
          <t xml:space="preserve">P2</t>
        </is>
      </c>
      <c r="H24" s="2" t="inlineStr">
        <is>
          <t xml:space="preserve">sessions</t>
        </is>
      </c>
      <c r="I24" s="2" t="str">
        <f>INDEX(BE_Tasks!$P$2:$P$53,MATCH("BE-A07",BE_Tasks!$A$2:$A$53,0))</f>
        <v>Chưa làm</v>
      </c>
      <c r="J24" s="3">
        <f>INDEX(BE_Tasks!$X$2:$X$53,MATCH("BE-A07",BE_Tasks!$A$2:$A$53,0))</f>
        <v>0</v>
      </c>
      <c r="K24" s="2" t="inlineStr">
        <is>
          <t xml:space="preserve"/>
        </is>
      </c>
      <c r="L24" s="5" t="inlineStr">
        <is>
          <t xml:space="preserve">Mở API</t>
        </is>
      </c>
      <c r="M24" s="5" t="inlineStr">
        <is>
          <t xml:space="preserve">Mở task</t>
        </is>
      </c>
    </row>
    <row r="25" ht="72" customHeight="1">
      <c r="A25" s="0" t="inlineStr">
        <is>
          <t xml:space="preserve">API-024</t>
        </is>
      </c>
      <c r="B25" s="0" t="inlineStr">
        <is>
          <t xml:space="preserve">POST</t>
        </is>
      </c>
      <c r="C25" s="0" t="inlineStr">
        <is>
          <t xml:space="preserve">/api/v1/auth/password-resets</t>
        </is>
      </c>
      <c r="D25" s="0" t="inlineStr">
        <is>
          <t xml:space="preserve">Yêu cầu đặt lại mật khẩu</t>
        </is>
      </c>
      <c r="E25" s="6" t="inlineStr">
        <is>
          <t xml:space="preserve">A</t>
        </is>
      </c>
      <c r="F25" s="0" t="inlineStr">
        <is>
          <t xml:space="preserve">BE-A07</t>
        </is>
      </c>
      <c r="G25" s="0" t="inlineStr">
        <is>
          <t xml:space="preserve">P2</t>
        </is>
      </c>
      <c r="H25" s="0" t="inlineStr">
        <is>
          <t xml:space="preserve">sessions</t>
        </is>
      </c>
      <c r="I25" s="0" t="str">
        <f>INDEX(BE_Tasks!$P$2:$P$53,MATCH("BE-A07",BE_Tasks!$A$2:$A$53,0))</f>
        <v>Chưa làm</v>
      </c>
      <c r="J25" s="3">
        <f>INDEX(BE_Tasks!$X$2:$X$53,MATCH("BE-A07",BE_Tasks!$A$2:$A$53,0))</f>
        <v>0</v>
      </c>
      <c r="K25" s="0" t="inlineStr">
        <is>
          <t xml:space="preserve">D01</t>
        </is>
      </c>
      <c r="L25" s="5" t="inlineStr">
        <is>
          <t xml:space="preserve">Mở API</t>
        </is>
      </c>
      <c r="M25" s="5" t="inlineStr">
        <is>
          <t xml:space="preserve">Mở task</t>
        </is>
      </c>
    </row>
    <row r="26" ht="72" customHeight="1">
      <c r="A26" s="2" t="inlineStr">
        <is>
          <t xml:space="preserve">API-025</t>
        </is>
      </c>
      <c r="B26" s="2" t="inlineStr">
        <is>
          <t xml:space="preserve">POST</t>
        </is>
      </c>
      <c r="C26" s="2" t="inlineStr">
        <is>
          <t xml:space="preserve">/api/v1/auth/password-resets/verify</t>
        </is>
      </c>
      <c r="D26" s="2" t="inlineStr">
        <is>
          <t xml:space="preserve">Đổi OTP hợp lệ lấy quyền reset ngắn hạn</t>
        </is>
      </c>
      <c r="E26" s="6" t="inlineStr">
        <is>
          <t xml:space="preserve">A</t>
        </is>
      </c>
      <c r="F26" s="2" t="inlineStr">
        <is>
          <t xml:space="preserve">BE-A07</t>
        </is>
      </c>
      <c r="G26" s="2" t="inlineStr">
        <is>
          <t xml:space="preserve">P2</t>
        </is>
      </c>
      <c r="H26" s="2" t="inlineStr">
        <is>
          <t xml:space="preserve">sessions</t>
        </is>
      </c>
      <c r="I26" s="2" t="str">
        <f>INDEX(BE_Tasks!$P$2:$P$53,MATCH("BE-A07",BE_Tasks!$A$2:$A$53,0))</f>
        <v>Chưa làm</v>
      </c>
      <c r="J26" s="3">
        <f>INDEX(BE_Tasks!$X$2:$X$53,MATCH("BE-A07",BE_Tasks!$A$2:$A$53,0))</f>
        <v>0</v>
      </c>
      <c r="K26" s="2" t="inlineStr">
        <is>
          <t xml:space="preserve"/>
        </is>
      </c>
      <c r="L26" s="5" t="inlineStr">
        <is>
          <t xml:space="preserve">Mở API</t>
        </is>
      </c>
      <c r="M26" s="5" t="inlineStr">
        <is>
          <t xml:space="preserve">Mở task</t>
        </is>
      </c>
    </row>
    <row r="27" ht="72" customHeight="1">
      <c r="A27" s="0" t="inlineStr">
        <is>
          <t xml:space="preserve">API-026</t>
        </is>
      </c>
      <c r="B27" s="0" t="inlineStr">
        <is>
          <t xml:space="preserve">POST</t>
        </is>
      </c>
      <c r="C27" s="0" t="inlineStr">
        <is>
          <t xml:space="preserve">/api/v1/auth/password-resets/complete</t>
        </is>
      </c>
      <c r="D27" s="0" t="inlineStr">
        <is>
          <t xml:space="preserve">Đặt mật khẩu mới</t>
        </is>
      </c>
      <c r="E27" s="6" t="inlineStr">
        <is>
          <t xml:space="preserve">A</t>
        </is>
      </c>
      <c r="F27" s="0" t="inlineStr">
        <is>
          <t xml:space="preserve">BE-A07</t>
        </is>
      </c>
      <c r="G27" s="0" t="inlineStr">
        <is>
          <t xml:space="preserve">P2</t>
        </is>
      </c>
      <c r="H27" s="0" t="inlineStr">
        <is>
          <t xml:space="preserve">sessions</t>
        </is>
      </c>
      <c r="I27" s="0" t="str">
        <f>INDEX(BE_Tasks!$P$2:$P$53,MATCH("BE-A07",BE_Tasks!$A$2:$A$53,0))</f>
        <v>Chưa làm</v>
      </c>
      <c r="J27" s="3">
        <f>INDEX(BE_Tasks!$X$2:$X$53,MATCH("BE-A07",BE_Tasks!$A$2:$A$53,0))</f>
        <v>0</v>
      </c>
      <c r="K27" s="0" t="inlineStr">
        <is>
          <t xml:space="preserve"/>
        </is>
      </c>
      <c r="L27" s="5" t="inlineStr">
        <is>
          <t xml:space="preserve">Mở API</t>
        </is>
      </c>
      <c r="M27" s="5" t="inlineStr">
        <is>
          <t xml:space="preserve">Mở task</t>
        </is>
      </c>
    </row>
    <row r="28" ht="72" customHeight="1">
      <c r="A28" s="2" t="inlineStr">
        <is>
          <t xml:space="preserve">API-027</t>
        </is>
      </c>
      <c r="B28" s="2" t="inlineStr">
        <is>
          <t xml:space="preserve">POST</t>
        </is>
      </c>
      <c r="C28" s="2" t="inlineStr">
        <is>
          <t xml:space="preserve">/api/v1/contracts/{contractId}/members/{memberId}/account-invitations</t>
        </is>
      </c>
      <c r="D28" s="2" t="inlineStr">
        <is>
          <t xml:space="preserve">Mời cư dân chưa có tài khoản liên kết</t>
        </is>
      </c>
      <c r="E28" s="8" t="inlineStr">
        <is>
          <t xml:space="preserve">C</t>
        </is>
      </c>
      <c r="F28" s="2" t="inlineStr">
        <is>
          <t xml:space="preserve">BE-C08</t>
        </is>
      </c>
      <c r="G28" s="2" t="inlineStr">
        <is>
          <t xml:space="preserve">P4</t>
        </is>
      </c>
      <c r="H28" s="2" t="inlineStr">
        <is>
          <t xml:space="preserve">sessions</t>
        </is>
      </c>
      <c r="I28" s="2" t="str">
        <f>INDEX(BE_Tasks!$P$2:$P$53,MATCH("BE-C08",BE_Tasks!$A$2:$A$53,0))</f>
        <v>Chưa làm</v>
      </c>
      <c r="J28" s="3">
        <f>INDEX(BE_Tasks!$X$2:$X$53,MATCH("BE-C08",BE_Tasks!$A$2:$A$53,0))</f>
        <v>0</v>
      </c>
      <c r="K28" s="2" t="inlineStr">
        <is>
          <t xml:space="preserve">D06</t>
        </is>
      </c>
      <c r="L28" s="5" t="inlineStr">
        <is>
          <t xml:space="preserve">Mở API</t>
        </is>
      </c>
      <c r="M28" s="5" t="inlineStr">
        <is>
          <t xml:space="preserve">Mở task</t>
        </is>
      </c>
    </row>
    <row r="29" ht="72" customHeight="1">
      <c r="A29" s="0" t="inlineStr">
        <is>
          <t xml:space="preserve">API-028</t>
        </is>
      </c>
      <c r="B29" s="0" t="inlineStr">
        <is>
          <t xml:space="preserve">POST</t>
        </is>
      </c>
      <c r="C29" s="0" t="inlineStr">
        <is>
          <t xml:space="preserve">/api/v1/me/residency-links</t>
        </is>
      </c>
      <c r="D29" s="0" t="inlineStr">
        <is>
          <t xml:space="preserve">Nhận liên kết tài khoản với lượt cư trú</t>
        </is>
      </c>
      <c r="E29" s="8" t="inlineStr">
        <is>
          <t xml:space="preserve">C</t>
        </is>
      </c>
      <c r="F29" s="0" t="inlineStr">
        <is>
          <t xml:space="preserve">BE-C08</t>
        </is>
      </c>
      <c r="G29" s="0" t="inlineStr">
        <is>
          <t xml:space="preserve">P4</t>
        </is>
      </c>
      <c r="H29" s="0" t="inlineStr">
        <is>
          <t xml:space="preserve">sessions</t>
        </is>
      </c>
      <c r="I29" s="0" t="str">
        <f>INDEX(BE_Tasks!$P$2:$P$53,MATCH("BE-C08",BE_Tasks!$A$2:$A$53,0))</f>
        <v>Chưa làm</v>
      </c>
      <c r="J29" s="3">
        <f>INDEX(BE_Tasks!$X$2:$X$53,MATCH("BE-C08",BE_Tasks!$A$2:$A$53,0))</f>
        <v>0</v>
      </c>
      <c r="K29" s="0" t="inlineStr">
        <is>
          <t xml:space="preserve">D06</t>
        </is>
      </c>
      <c r="L29" s="5" t="inlineStr">
        <is>
          <t xml:space="preserve">Mở API</t>
        </is>
      </c>
      <c r="M29" s="5" t="inlineStr">
        <is>
          <t xml:space="preserve">Mở task</t>
        </is>
      </c>
    </row>
    <row r="30" ht="72" customHeight="1">
      <c r="A30" s="2" t="inlineStr">
        <is>
          <t xml:space="preserve">API-029</t>
        </is>
      </c>
      <c r="B30" s="2" t="inlineStr">
        <is>
          <t xml:space="preserve">GET</t>
        </is>
      </c>
      <c r="C30" s="2" t="inlineStr">
        <is>
          <t xml:space="preserve">/api/v1/houses</t>
        </is>
      </c>
      <c r="D30" s="2" t="inlineStr">
        <is>
          <t xml:space="preserve">Danh sách nhà thuộc chủ trọ</t>
        </is>
      </c>
      <c r="E30" s="7" t="inlineStr">
        <is>
          <t xml:space="preserve">B</t>
        </is>
      </c>
      <c r="F30" s="2" t="inlineStr">
        <is>
          <t xml:space="preserve">BE-B02</t>
        </is>
      </c>
      <c r="G30" s="2" t="inlineStr">
        <is>
          <t xml:space="preserve">P1</t>
        </is>
      </c>
      <c r="H30" s="2" t="inlineStr">
        <is>
          <t xml:space="preserve">create-house</t>
        </is>
      </c>
      <c r="I30" s="2" t="str">
        <f>INDEX(BE_Tasks!$P$2:$P$53,MATCH("BE-B02",BE_Tasks!$A$2:$A$53,0))</f>
        <v>Chưa làm</v>
      </c>
      <c r="J30" s="3">
        <f>INDEX(BE_Tasks!$X$2:$X$53,MATCH("BE-B02",BE_Tasks!$A$2:$A$53,0))</f>
        <v>0</v>
      </c>
      <c r="K30" s="2" t="inlineStr">
        <is>
          <t xml:space="preserve"/>
        </is>
      </c>
      <c r="L30" s="5" t="inlineStr">
        <is>
          <t xml:space="preserve">Mở API</t>
        </is>
      </c>
      <c r="M30" s="5" t="inlineStr">
        <is>
          <t xml:space="preserve">Mở task</t>
        </is>
      </c>
    </row>
    <row r="31" ht="72" customHeight="1">
      <c r="A31" s="0" t="inlineStr">
        <is>
          <t xml:space="preserve">API-030</t>
        </is>
      </c>
      <c r="B31" s="0" t="inlineStr">
        <is>
          <t xml:space="preserve">POST</t>
        </is>
      </c>
      <c r="C31" s="0" t="inlineStr">
        <is>
          <t xml:space="preserve">/api/v1/houses</t>
        </is>
      </c>
      <c r="D31" s="0" t="inlineStr">
        <is>
          <t xml:space="preserve">Tạo nhà nháp</t>
        </is>
      </c>
      <c r="E31" s="7" t="inlineStr">
        <is>
          <t xml:space="preserve">B</t>
        </is>
      </c>
      <c r="F31" s="0" t="inlineStr">
        <is>
          <t xml:space="preserve">BE-B02</t>
        </is>
      </c>
      <c r="G31" s="0" t="inlineStr">
        <is>
          <t xml:space="preserve">P1</t>
        </is>
      </c>
      <c r="H31" s="0" t="inlineStr">
        <is>
          <t xml:space="preserve">create-house</t>
        </is>
      </c>
      <c r="I31" s="0" t="str">
        <f>INDEX(BE_Tasks!$P$2:$P$53,MATCH("BE-B02",BE_Tasks!$A$2:$A$53,0))</f>
        <v>Chưa làm</v>
      </c>
      <c r="J31" s="3">
        <f>INDEX(BE_Tasks!$X$2:$X$53,MATCH("BE-B02",BE_Tasks!$A$2:$A$53,0))</f>
        <v>0</v>
      </c>
      <c r="K31" s="0" t="inlineStr">
        <is>
          <t xml:space="preserve"/>
        </is>
      </c>
      <c r="L31" s="5" t="inlineStr">
        <is>
          <t xml:space="preserve">Mở API</t>
        </is>
      </c>
      <c r="M31" s="5" t="inlineStr">
        <is>
          <t xml:space="preserve">Mở task</t>
        </is>
      </c>
    </row>
    <row r="32" ht="72" customHeight="1">
      <c r="A32" s="2" t="inlineStr">
        <is>
          <t xml:space="preserve">API-031</t>
        </is>
      </c>
      <c r="B32" s="2" t="inlineStr">
        <is>
          <t xml:space="preserve">GET</t>
        </is>
      </c>
      <c r="C32" s="2" t="inlineStr">
        <is>
          <t xml:space="preserve">/api/v1/houses/{houseId}</t>
        </is>
      </c>
      <c r="D32" s="2" t="inlineStr">
        <is>
          <t xml:space="preserve">Chi tiết nhà quản lý</t>
        </is>
      </c>
      <c r="E32" s="7" t="inlineStr">
        <is>
          <t xml:space="preserve">B</t>
        </is>
      </c>
      <c r="F32" s="2" t="inlineStr">
        <is>
          <t xml:space="preserve">BE-B02</t>
        </is>
      </c>
      <c r="G32" s="2" t="inlineStr">
        <is>
          <t xml:space="preserve">P1</t>
        </is>
      </c>
      <c r="H32" s="2" t="inlineStr">
        <is>
          <t xml:space="preserve">create-house</t>
        </is>
      </c>
      <c r="I32" s="2" t="str">
        <f>INDEX(BE_Tasks!$P$2:$P$53,MATCH("BE-B02",BE_Tasks!$A$2:$A$53,0))</f>
        <v>Chưa làm</v>
      </c>
      <c r="J32" s="3">
        <f>INDEX(BE_Tasks!$X$2:$X$53,MATCH("BE-B02",BE_Tasks!$A$2:$A$53,0))</f>
        <v>0</v>
      </c>
      <c r="K32" s="2" t="inlineStr">
        <is>
          <t xml:space="preserve"/>
        </is>
      </c>
      <c r="L32" s="5" t="inlineStr">
        <is>
          <t xml:space="preserve">Mở API</t>
        </is>
      </c>
      <c r="M32" s="5" t="inlineStr">
        <is>
          <t xml:space="preserve">Mở task</t>
        </is>
      </c>
    </row>
    <row r="33" ht="72" customHeight="1">
      <c r="A33" s="0" t="inlineStr">
        <is>
          <t xml:space="preserve">API-032</t>
        </is>
      </c>
      <c r="B33" s="0" t="inlineStr">
        <is>
          <t xml:space="preserve">PATCH</t>
        </is>
      </c>
      <c r="C33" s="0" t="inlineStr">
        <is>
          <t xml:space="preserve">/api/v1/houses/{houseId}</t>
        </is>
      </c>
      <c r="D33" s="0" t="inlineStr">
        <is>
          <t xml:space="preserve">Sửa nhà và kiểm tra phiên bản</t>
        </is>
      </c>
      <c r="E33" s="7" t="inlineStr">
        <is>
          <t xml:space="preserve">B</t>
        </is>
      </c>
      <c r="F33" s="0" t="inlineStr">
        <is>
          <t xml:space="preserve">BE-B02</t>
        </is>
      </c>
      <c r="G33" s="0" t="inlineStr">
        <is>
          <t xml:space="preserve">P1</t>
        </is>
      </c>
      <c r="H33" s="0" t="inlineStr">
        <is>
          <t xml:space="preserve">create-house</t>
        </is>
      </c>
      <c r="I33" s="0" t="str">
        <f>INDEX(BE_Tasks!$P$2:$P$53,MATCH("BE-B02",BE_Tasks!$A$2:$A$53,0))</f>
        <v>Chưa làm</v>
      </c>
      <c r="J33" s="3">
        <f>INDEX(BE_Tasks!$X$2:$X$53,MATCH("BE-B02",BE_Tasks!$A$2:$A$53,0))</f>
        <v>0</v>
      </c>
      <c r="K33" s="0" t="inlineStr">
        <is>
          <t xml:space="preserve"/>
        </is>
      </c>
      <c r="L33" s="5" t="inlineStr">
        <is>
          <t xml:space="preserve">Mở API</t>
        </is>
      </c>
      <c r="M33" s="5" t="inlineStr">
        <is>
          <t xml:space="preserve">Mở task</t>
        </is>
      </c>
    </row>
    <row r="34" ht="72" customHeight="1">
      <c r="A34" s="2" t="inlineStr">
        <is>
          <t xml:space="preserve">API-033</t>
        </is>
      </c>
      <c r="B34" s="2" t="inlineStr">
        <is>
          <t xml:space="preserve">GET</t>
        </is>
      </c>
      <c r="C34" s="2" t="inlineStr">
        <is>
          <t xml:space="preserve">/api/v1/houses/{houseId}/verifications</t>
        </is>
      </c>
      <c r="D34" s="2" t="inlineStr">
        <is>
          <t xml:space="preserve">Lịch sử quyền cho thuê từng nhà</t>
        </is>
      </c>
      <c r="E34" s="7" t="inlineStr">
        <is>
          <t xml:space="preserve">B</t>
        </is>
      </c>
      <c r="F34" s="2" t="inlineStr">
        <is>
          <t xml:space="preserve">BE-B05</t>
        </is>
      </c>
      <c r="G34" s="2" t="inlineStr">
        <is>
          <t xml:space="preserve">P2</t>
        </is>
      </c>
      <c r="H34" s="2" t="inlineStr">
        <is>
          <t xml:space="preserve">house-proof</t>
        </is>
      </c>
      <c r="I34" s="2" t="str">
        <f>INDEX(BE_Tasks!$P$2:$P$53,MATCH("BE-B05",BE_Tasks!$A$2:$A$53,0))</f>
        <v>Chưa làm</v>
      </c>
      <c r="J34" s="3">
        <f>INDEX(BE_Tasks!$X$2:$X$53,MATCH("BE-B05",BE_Tasks!$A$2:$A$53,0))</f>
        <v>0</v>
      </c>
      <c r="K34" s="2" t="inlineStr">
        <is>
          <t xml:space="preserve"/>
        </is>
      </c>
      <c r="L34" s="5" t="inlineStr">
        <is>
          <t xml:space="preserve">Mở API</t>
        </is>
      </c>
      <c r="M34" s="5" t="inlineStr">
        <is>
          <t xml:space="preserve">Mở task</t>
        </is>
      </c>
    </row>
    <row r="35" ht="72" customHeight="1">
      <c r="A35" s="0" t="inlineStr">
        <is>
          <t xml:space="preserve">API-034</t>
        </is>
      </c>
      <c r="B35" s="0" t="inlineStr">
        <is>
          <t xml:space="preserve">POST</t>
        </is>
      </c>
      <c r="C35" s="0" t="inlineStr">
        <is>
          <t xml:space="preserve">/api/v1/houses/{houseId}/verifications</t>
        </is>
      </c>
      <c r="D35" s="0" t="inlineStr">
        <is>
          <t xml:space="preserve">Nộp minh chứng quyền cho thuê</t>
        </is>
      </c>
      <c r="E35" s="7" t="inlineStr">
        <is>
          <t xml:space="preserve">B</t>
        </is>
      </c>
      <c r="F35" s="0" t="inlineStr">
        <is>
          <t xml:space="preserve">BE-B05</t>
        </is>
      </c>
      <c r="G35" s="0" t="inlineStr">
        <is>
          <t xml:space="preserve">P2</t>
        </is>
      </c>
      <c r="H35" s="0" t="inlineStr">
        <is>
          <t xml:space="preserve">house-proof</t>
        </is>
      </c>
      <c r="I35" s="0" t="str">
        <f>INDEX(BE_Tasks!$P$2:$P$53,MATCH("BE-B05",BE_Tasks!$A$2:$A$53,0))</f>
        <v>Chưa làm</v>
      </c>
      <c r="J35" s="3">
        <f>INDEX(BE_Tasks!$X$2:$X$53,MATCH("BE-B05",BE_Tasks!$A$2:$A$53,0))</f>
        <v>0</v>
      </c>
      <c r="K35" s="0" t="inlineStr">
        <is>
          <t xml:space="preserve"/>
        </is>
      </c>
      <c r="L35" s="5" t="inlineStr">
        <is>
          <t xml:space="preserve">Mở API</t>
        </is>
      </c>
      <c r="M35" s="5" t="inlineStr">
        <is>
          <t xml:space="preserve">Mở task</t>
        </is>
      </c>
    </row>
    <row r="36" ht="72" customHeight="1">
      <c r="A36" s="2" t="inlineStr">
        <is>
          <t xml:space="preserve">API-035</t>
        </is>
      </c>
      <c r="B36" s="2" t="inlineStr">
        <is>
          <t xml:space="preserve">GET</t>
        </is>
      </c>
      <c r="C36" s="2" t="inlineStr">
        <is>
          <t xml:space="preserve">/api/v1/houses/{houseId}/verifications/{verificationId}</t>
        </is>
      </c>
      <c r="D36" s="2" t="inlineStr">
        <is>
          <t xml:space="preserve">Chi tiết hồ sơ quyền nhà của mình</t>
        </is>
      </c>
      <c r="E36" s="7" t="inlineStr">
        <is>
          <t xml:space="preserve">B</t>
        </is>
      </c>
      <c r="F36" s="2" t="inlineStr">
        <is>
          <t xml:space="preserve">BE-B05</t>
        </is>
      </c>
      <c r="G36" s="2" t="inlineStr">
        <is>
          <t xml:space="preserve">P2</t>
        </is>
      </c>
      <c r="H36" s="2" t="inlineStr">
        <is>
          <t xml:space="preserve">house-proof</t>
        </is>
      </c>
      <c r="I36" s="2" t="str">
        <f>INDEX(BE_Tasks!$P$2:$P$53,MATCH("BE-B05",BE_Tasks!$A$2:$A$53,0))</f>
        <v>Chưa làm</v>
      </c>
      <c r="J36" s="3">
        <f>INDEX(BE_Tasks!$X$2:$X$53,MATCH("BE-B05",BE_Tasks!$A$2:$A$53,0))</f>
        <v>0</v>
      </c>
      <c r="K36" s="2" t="inlineStr">
        <is>
          <t xml:space="preserve"/>
        </is>
      </c>
      <c r="L36" s="5" t="inlineStr">
        <is>
          <t xml:space="preserve">Mở API</t>
        </is>
      </c>
      <c r="M36" s="5" t="inlineStr">
        <is>
          <t xml:space="preserve">Mở task</t>
        </is>
      </c>
    </row>
    <row r="37" ht="72" customHeight="1">
      <c r="A37" s="0" t="inlineStr">
        <is>
          <t xml:space="preserve">API-036</t>
        </is>
      </c>
      <c r="B37" s="0" t="inlineStr">
        <is>
          <t xml:space="preserve">POST</t>
        </is>
      </c>
      <c r="C37" s="0" t="inlineStr">
        <is>
          <t xml:space="preserve">/api/v1/houses/{houseId}/verifications/{verificationId}/withdraw</t>
        </is>
      </c>
      <c r="D37" s="0" t="inlineStr">
        <is>
          <t xml:space="preserve">Rút hồ sơ quyền nhà đang chờ</t>
        </is>
      </c>
      <c r="E37" s="7" t="inlineStr">
        <is>
          <t xml:space="preserve">B</t>
        </is>
      </c>
      <c r="F37" s="0" t="inlineStr">
        <is>
          <t xml:space="preserve">BE-B05</t>
        </is>
      </c>
      <c r="G37" s="0" t="inlineStr">
        <is>
          <t xml:space="preserve">P2</t>
        </is>
      </c>
      <c r="H37" s="0" t="inlineStr">
        <is>
          <t xml:space="preserve">house-proof</t>
        </is>
      </c>
      <c r="I37" s="0" t="str">
        <f>INDEX(BE_Tasks!$P$2:$P$53,MATCH("BE-B05",BE_Tasks!$A$2:$A$53,0))</f>
        <v>Chưa làm</v>
      </c>
      <c r="J37" s="3">
        <f>INDEX(BE_Tasks!$X$2:$X$53,MATCH("BE-B05",BE_Tasks!$A$2:$A$53,0))</f>
        <v>0</v>
      </c>
      <c r="K37" s="0" t="inlineStr">
        <is>
          <t xml:space="preserve"/>
        </is>
      </c>
      <c r="L37" s="5" t="inlineStr">
        <is>
          <t xml:space="preserve">Mở API</t>
        </is>
      </c>
      <c r="M37" s="5" t="inlineStr">
        <is>
          <t xml:space="preserve">Mở task</t>
        </is>
      </c>
    </row>
    <row r="38" ht="72" customHeight="1">
      <c r="A38" s="2" t="inlineStr">
        <is>
          <t xml:space="preserve">API-037</t>
        </is>
      </c>
      <c r="B38" s="2" t="inlineStr">
        <is>
          <t xml:space="preserve">GET</t>
        </is>
      </c>
      <c r="C38" s="2" t="inlineStr">
        <is>
          <t xml:space="preserve">/api/v1/admin/house-verifications</t>
        </is>
      </c>
      <c r="D38" s="2" t="inlineStr">
        <is>
          <t xml:space="preserve">Hàng đợi xác minh quyền nhà</t>
        </is>
      </c>
      <c r="E38" s="7" t="inlineStr">
        <is>
          <t xml:space="preserve">B</t>
        </is>
      </c>
      <c r="F38" s="2" t="inlineStr">
        <is>
          <t xml:space="preserve">BE-B05</t>
        </is>
      </c>
      <c r="G38" s="2" t="inlineStr">
        <is>
          <t xml:space="preserve">P2</t>
        </is>
      </c>
      <c r="H38" s="2" t="inlineStr">
        <is>
          <t xml:space="preserve">house-proof</t>
        </is>
      </c>
      <c r="I38" s="2" t="str">
        <f>INDEX(BE_Tasks!$P$2:$P$53,MATCH("BE-B05",BE_Tasks!$A$2:$A$53,0))</f>
        <v>Chưa làm</v>
      </c>
      <c r="J38" s="3">
        <f>INDEX(BE_Tasks!$X$2:$X$53,MATCH("BE-B05",BE_Tasks!$A$2:$A$53,0))</f>
        <v>0</v>
      </c>
      <c r="K38" s="2" t="inlineStr">
        <is>
          <t xml:space="preserve"/>
        </is>
      </c>
      <c r="L38" s="5" t="inlineStr">
        <is>
          <t xml:space="preserve">Mở API</t>
        </is>
      </c>
      <c r="M38" s="5" t="inlineStr">
        <is>
          <t xml:space="preserve">Mở task</t>
        </is>
      </c>
    </row>
    <row r="39" ht="72" customHeight="1">
      <c r="A39" s="0" t="inlineStr">
        <is>
          <t xml:space="preserve">API-038</t>
        </is>
      </c>
      <c r="B39" s="0" t="inlineStr">
        <is>
          <t xml:space="preserve">GET</t>
        </is>
      </c>
      <c r="C39" s="0" t="inlineStr">
        <is>
          <t xml:space="preserve">/api/v1/admin/house-verifications/{verificationId}</t>
        </is>
      </c>
      <c r="D39" s="0" t="inlineStr">
        <is>
          <t xml:space="preserve">Chi tiết và minh chứng để đối chiếu</t>
        </is>
      </c>
      <c r="E39" s="7" t="inlineStr">
        <is>
          <t xml:space="preserve">B</t>
        </is>
      </c>
      <c r="F39" s="0" t="inlineStr">
        <is>
          <t xml:space="preserve">BE-B05</t>
        </is>
      </c>
      <c r="G39" s="0" t="inlineStr">
        <is>
          <t xml:space="preserve">P2</t>
        </is>
      </c>
      <c r="H39" s="0" t="inlineStr">
        <is>
          <t xml:space="preserve">house-proof</t>
        </is>
      </c>
      <c r="I39" s="0" t="str">
        <f>INDEX(BE_Tasks!$P$2:$P$53,MATCH("BE-B05",BE_Tasks!$A$2:$A$53,0))</f>
        <v>Chưa làm</v>
      </c>
      <c r="J39" s="3">
        <f>INDEX(BE_Tasks!$X$2:$X$53,MATCH("BE-B05",BE_Tasks!$A$2:$A$53,0))</f>
        <v>0</v>
      </c>
      <c r="K39" s="0" t="inlineStr">
        <is>
          <t xml:space="preserve"/>
        </is>
      </c>
      <c r="L39" s="5" t="inlineStr">
        <is>
          <t xml:space="preserve">Mở API</t>
        </is>
      </c>
      <c r="M39" s="5" t="inlineStr">
        <is>
          <t xml:space="preserve">Mở task</t>
        </is>
      </c>
    </row>
    <row r="40" ht="72" customHeight="1">
      <c r="A40" s="2" t="inlineStr">
        <is>
          <t xml:space="preserve">API-039</t>
        </is>
      </c>
      <c r="B40" s="2" t="inlineStr">
        <is>
          <t xml:space="preserve">POST</t>
        </is>
      </c>
      <c r="C40" s="2" t="inlineStr">
        <is>
          <t xml:space="preserve">/api/v1/admin/house-verifications/{verificationId}/decision</t>
        </is>
      </c>
      <c r="D40" s="2" t="inlineStr">
        <is>
          <t xml:space="preserve">Duyệt/từ chối quyền cho thuê</t>
        </is>
      </c>
      <c r="E40" s="7" t="inlineStr">
        <is>
          <t xml:space="preserve">B</t>
        </is>
      </c>
      <c r="F40" s="2" t="inlineStr">
        <is>
          <t xml:space="preserve">BE-B05</t>
        </is>
      </c>
      <c r="G40" s="2" t="inlineStr">
        <is>
          <t xml:space="preserve">P2</t>
        </is>
      </c>
      <c r="H40" s="2" t="inlineStr">
        <is>
          <t xml:space="preserve">house-proof</t>
        </is>
      </c>
      <c r="I40" s="2" t="str">
        <f>INDEX(BE_Tasks!$P$2:$P$53,MATCH("BE-B05",BE_Tasks!$A$2:$A$53,0))</f>
        <v>Chưa làm</v>
      </c>
      <c r="J40" s="3">
        <f>INDEX(BE_Tasks!$X$2:$X$53,MATCH("BE-B05",BE_Tasks!$A$2:$A$53,0))</f>
        <v>0</v>
      </c>
      <c r="K40" s="2" t="inlineStr">
        <is>
          <t xml:space="preserve"/>
        </is>
      </c>
      <c r="L40" s="5" t="inlineStr">
        <is>
          <t xml:space="preserve">Mở API</t>
        </is>
      </c>
      <c r="M40" s="5" t="inlineStr">
        <is>
          <t xml:space="preserve">Mở task</t>
        </is>
      </c>
    </row>
    <row r="41" ht="72" customHeight="1">
      <c r="A41" s="0" t="inlineStr">
        <is>
          <t xml:space="preserve">API-040</t>
        </is>
      </c>
      <c r="B41" s="0" t="inlineStr">
        <is>
          <t xml:space="preserve">POST</t>
        </is>
      </c>
      <c r="C41" s="0" t="inlineStr">
        <is>
          <t xml:space="preserve">/api/v1/admin/house-verifications/{verificationId}/revoke</t>
        </is>
      </c>
      <c r="D41" s="0" t="inlineStr">
        <is>
          <t xml:space="preserve">Thu hồi quyền đã duyệt</t>
        </is>
      </c>
      <c r="E41" s="7" t="inlineStr">
        <is>
          <t xml:space="preserve">B</t>
        </is>
      </c>
      <c r="F41" s="0" t="inlineStr">
        <is>
          <t xml:space="preserve">BE-B05</t>
        </is>
      </c>
      <c r="G41" s="0" t="inlineStr">
        <is>
          <t xml:space="preserve">P2</t>
        </is>
      </c>
      <c r="H41" s="0" t="inlineStr">
        <is>
          <t xml:space="preserve">house-rights-expiry</t>
        </is>
      </c>
      <c r="I41" s="0" t="str">
        <f>INDEX(BE_Tasks!$P$2:$P$53,MATCH("BE-B05",BE_Tasks!$A$2:$A$53,0))</f>
        <v>Chưa làm</v>
      </c>
      <c r="J41" s="3">
        <f>INDEX(BE_Tasks!$X$2:$X$53,MATCH("BE-B05",BE_Tasks!$A$2:$A$53,0))</f>
        <v>0</v>
      </c>
      <c r="K41" s="0" t="inlineStr">
        <is>
          <t xml:space="preserve"/>
        </is>
      </c>
      <c r="L41" s="5" t="inlineStr">
        <is>
          <t xml:space="preserve">Mở API</t>
        </is>
      </c>
      <c r="M41" s="5" t="inlineStr">
        <is>
          <t xml:space="preserve">Mở task</t>
        </is>
      </c>
    </row>
    <row r="42" ht="72" customHeight="1">
      <c r="A42" s="2" t="inlineStr">
        <is>
          <t xml:space="preserve">API-041</t>
        </is>
      </c>
      <c r="B42" s="2" t="inlineStr">
        <is>
          <t xml:space="preserve">GET</t>
        </is>
      </c>
      <c r="C42" s="2" t="inlineStr">
        <is>
          <t xml:space="preserve">/api/v1/houses/{houseId}/rental-right</t>
        </is>
      </c>
      <c r="D42" s="2" t="inlineStr">
        <is>
          <t xml:space="preserve">Đọc quyền hiệu lực hiện tại</t>
        </is>
      </c>
      <c r="E42" s="7" t="inlineStr">
        <is>
          <t xml:space="preserve">B</t>
        </is>
      </c>
      <c r="F42" s="2" t="inlineStr">
        <is>
          <t xml:space="preserve">BE-B05</t>
        </is>
      </c>
      <c r="G42" s="2" t="inlineStr">
        <is>
          <t xml:space="preserve">P2</t>
        </is>
      </c>
      <c r="H42" s="2" t="inlineStr">
        <is>
          <t xml:space="preserve">house-rights-expiry</t>
        </is>
      </c>
      <c r="I42" s="2" t="str">
        <f>INDEX(BE_Tasks!$P$2:$P$53,MATCH("BE-B05",BE_Tasks!$A$2:$A$53,0))</f>
        <v>Chưa làm</v>
      </c>
      <c r="J42" s="3">
        <f>INDEX(BE_Tasks!$X$2:$X$53,MATCH("BE-B05",BE_Tasks!$A$2:$A$53,0))</f>
        <v>0</v>
      </c>
      <c r="K42" s="2" t="inlineStr">
        <is>
          <t xml:space="preserve"/>
        </is>
      </c>
      <c r="L42" s="5" t="inlineStr">
        <is>
          <t xml:space="preserve">Mở API</t>
        </is>
      </c>
      <c r="M42" s="5" t="inlineStr">
        <is>
          <t xml:space="preserve">Mở task</t>
        </is>
      </c>
    </row>
    <row r="43" ht="72" customHeight="1">
      <c r="A43" s="0" t="inlineStr">
        <is>
          <t xml:space="preserve">API-042</t>
        </is>
      </c>
      <c r="B43" s="0" t="inlineStr">
        <is>
          <t xml:space="preserve">GET</t>
        </is>
      </c>
      <c r="C43" s="0" t="inlineStr">
        <is>
          <t xml:space="preserve">/api/v1/houses/{houseId}/rooms</t>
        </is>
      </c>
      <c r="D43" s="0" t="inlineStr">
        <is>
          <t xml:space="preserve">Danh sách phòng của nhà</t>
        </is>
      </c>
      <c r="E43" s="7" t="inlineStr">
        <is>
          <t xml:space="preserve">B</t>
        </is>
      </c>
      <c r="F43" s="0" t="inlineStr">
        <is>
          <t xml:space="preserve">BE-B02</t>
        </is>
      </c>
      <c r="G43" s="0" t="inlineStr">
        <is>
          <t xml:space="preserve">P1</t>
        </is>
      </c>
      <c r="H43" s="0" t="inlineStr">
        <is>
          <t xml:space="preserve">rooms</t>
        </is>
      </c>
      <c r="I43" s="0" t="str">
        <f>INDEX(BE_Tasks!$P$2:$P$53,MATCH("BE-B02",BE_Tasks!$A$2:$A$53,0))</f>
        <v>Chưa làm</v>
      </c>
      <c r="J43" s="3">
        <f>INDEX(BE_Tasks!$X$2:$X$53,MATCH("BE-B02",BE_Tasks!$A$2:$A$53,0))</f>
        <v>0</v>
      </c>
      <c r="K43" s="0" t="inlineStr">
        <is>
          <t xml:space="preserve"/>
        </is>
      </c>
      <c r="L43" s="5" t="inlineStr">
        <is>
          <t xml:space="preserve">Mở API</t>
        </is>
      </c>
      <c r="M43" s="5" t="inlineStr">
        <is>
          <t xml:space="preserve">Mở task</t>
        </is>
      </c>
    </row>
    <row r="44" ht="72" customHeight="1">
      <c r="A44" s="2" t="inlineStr">
        <is>
          <t xml:space="preserve">API-043</t>
        </is>
      </c>
      <c r="B44" s="2" t="inlineStr">
        <is>
          <t xml:space="preserve">POST</t>
        </is>
      </c>
      <c r="C44" s="2" t="inlineStr">
        <is>
          <t xml:space="preserve">/api/v1/houses/{houseId}/rooms</t>
        </is>
      </c>
      <c r="D44" s="2" t="inlineStr">
        <is>
          <t xml:space="preserve">Thêm phòng trong nhà</t>
        </is>
      </c>
      <c r="E44" s="7" t="inlineStr">
        <is>
          <t xml:space="preserve">B</t>
        </is>
      </c>
      <c r="F44" s="2" t="inlineStr">
        <is>
          <t xml:space="preserve">BE-B02</t>
        </is>
      </c>
      <c r="G44" s="2" t="inlineStr">
        <is>
          <t xml:space="preserve">P1</t>
        </is>
      </c>
      <c r="H44" s="2" t="inlineStr">
        <is>
          <t xml:space="preserve">rooms</t>
        </is>
      </c>
      <c r="I44" s="2" t="str">
        <f>INDEX(BE_Tasks!$P$2:$P$53,MATCH("BE-B02",BE_Tasks!$A$2:$A$53,0))</f>
        <v>Chưa làm</v>
      </c>
      <c r="J44" s="3">
        <f>INDEX(BE_Tasks!$X$2:$X$53,MATCH("BE-B02",BE_Tasks!$A$2:$A$53,0))</f>
        <v>0</v>
      </c>
      <c r="K44" s="2" t="inlineStr">
        <is>
          <t xml:space="preserve"/>
        </is>
      </c>
      <c r="L44" s="5" t="inlineStr">
        <is>
          <t xml:space="preserve">Mở API</t>
        </is>
      </c>
      <c r="M44" s="5" t="inlineStr">
        <is>
          <t xml:space="preserve">Mở task</t>
        </is>
      </c>
    </row>
    <row r="45" ht="72" customHeight="1">
      <c r="A45" s="0" t="inlineStr">
        <is>
          <t xml:space="preserve">API-044</t>
        </is>
      </c>
      <c r="B45" s="0" t="inlineStr">
        <is>
          <t xml:space="preserve">PATCH</t>
        </is>
      </c>
      <c r="C45" s="0" t="inlineStr">
        <is>
          <t xml:space="preserve">/api/v1/rooms/{roomId}</t>
        </is>
      </c>
      <c r="D45" s="0" t="inlineStr">
        <is>
          <t xml:space="preserve">Sửa thông tin vật lý và giá phòng</t>
        </is>
      </c>
      <c r="E45" s="7" t="inlineStr">
        <is>
          <t xml:space="preserve">B</t>
        </is>
      </c>
      <c r="F45" s="0" t="inlineStr">
        <is>
          <t xml:space="preserve">BE-B02</t>
        </is>
      </c>
      <c r="G45" s="0" t="inlineStr">
        <is>
          <t xml:space="preserve">P1</t>
        </is>
      </c>
      <c r="H45" s="0" t="inlineStr">
        <is>
          <t xml:space="preserve">rooms</t>
        </is>
      </c>
      <c r="I45" s="0" t="str">
        <f>INDEX(BE_Tasks!$P$2:$P$53,MATCH("BE-B02",BE_Tasks!$A$2:$A$53,0))</f>
        <v>Chưa làm</v>
      </c>
      <c r="J45" s="3">
        <f>INDEX(BE_Tasks!$X$2:$X$53,MATCH("BE-B02",BE_Tasks!$A$2:$A$53,0))</f>
        <v>0</v>
      </c>
      <c r="K45" s="0" t="inlineStr">
        <is>
          <t xml:space="preserve"/>
        </is>
      </c>
      <c r="L45" s="5" t="inlineStr">
        <is>
          <t xml:space="preserve">Mở API</t>
        </is>
      </c>
      <c r="M45" s="5" t="inlineStr">
        <is>
          <t xml:space="preserve">Mở task</t>
        </is>
      </c>
    </row>
    <row r="46" ht="72" customHeight="1">
      <c r="A46" s="2" t="inlineStr">
        <is>
          <t xml:space="preserve">API-045</t>
        </is>
      </c>
      <c r="B46" s="2" t="inlineStr">
        <is>
          <t xml:space="preserve">PUT</t>
        </is>
      </c>
      <c r="C46" s="2" t="inlineStr">
        <is>
          <t xml:space="preserve">/api/v1/rooms/{roomId}/capacity</t>
        </is>
      </c>
      <c r="D46" s="2" t="inlineStr">
        <is>
          <t xml:space="preserve">Đổi sức chứa có khóa phòng</t>
        </is>
      </c>
      <c r="E46" s="7" t="inlineStr">
        <is>
          <t xml:space="preserve">B</t>
        </is>
      </c>
      <c r="F46" s="2" t="inlineStr">
        <is>
          <t xml:space="preserve">BE-B02</t>
        </is>
      </c>
      <c r="G46" s="2" t="inlineStr">
        <is>
          <t xml:space="preserve">P1</t>
        </is>
      </c>
      <c r="H46" s="2" t="inlineStr">
        <is>
          <t xml:space="preserve">rooms</t>
        </is>
      </c>
      <c r="I46" s="2" t="str">
        <f>INDEX(BE_Tasks!$P$2:$P$53,MATCH("BE-B02",BE_Tasks!$A$2:$A$53,0))</f>
        <v>Chưa làm</v>
      </c>
      <c r="J46" s="3">
        <f>INDEX(BE_Tasks!$X$2:$X$53,MATCH("BE-B02",BE_Tasks!$A$2:$A$53,0))</f>
        <v>0</v>
      </c>
      <c r="K46" s="2" t="inlineStr">
        <is>
          <t xml:space="preserve"/>
        </is>
      </c>
      <c r="L46" s="5" t="inlineStr">
        <is>
          <t xml:space="preserve">Mở API</t>
        </is>
      </c>
      <c r="M46" s="5" t="inlineStr">
        <is>
          <t xml:space="preserve">Mở task</t>
        </is>
      </c>
    </row>
    <row r="47" ht="72" customHeight="1">
      <c r="A47" s="0" t="inlineStr">
        <is>
          <t xml:space="preserve">API-046</t>
        </is>
      </c>
      <c r="B47" s="0" t="inlineStr">
        <is>
          <t xml:space="preserve">GET</t>
        </is>
      </c>
      <c r="C47" s="0" t="inlineStr">
        <is>
          <t xml:space="preserve">/api/v1/rooms/{roomId}</t>
        </is>
      </c>
      <c r="D47" s="0" t="inlineStr">
        <is>
          <t xml:space="preserve">Chi tiết phòng theo quyền người xem</t>
        </is>
      </c>
      <c r="E47" s="7" t="inlineStr">
        <is>
          <t xml:space="preserve">B</t>
        </is>
      </c>
      <c r="F47" s="0" t="inlineStr">
        <is>
          <t xml:space="preserve">BE-B07</t>
        </is>
      </c>
      <c r="G47" s="0" t="inlineStr">
        <is>
          <t xml:space="preserve">P2</t>
        </is>
      </c>
      <c r="H47" s="0" t="inlineStr">
        <is>
          <t xml:space="preserve">room-detail</t>
        </is>
      </c>
      <c r="I47" s="0" t="str">
        <f>INDEX(BE_Tasks!$P$2:$P$53,MATCH("BE-B07",BE_Tasks!$A$2:$A$53,0))</f>
        <v>Chưa làm</v>
      </c>
      <c r="J47" s="3">
        <f>INDEX(BE_Tasks!$X$2:$X$53,MATCH("BE-B07",BE_Tasks!$A$2:$A$53,0))</f>
        <v>0</v>
      </c>
      <c r="K47" s="0" t="inlineStr">
        <is>
          <t xml:space="preserve"/>
        </is>
      </c>
      <c r="L47" s="5" t="inlineStr">
        <is>
          <t xml:space="preserve">Mở API</t>
        </is>
      </c>
      <c r="M47" s="5" t="inlineStr">
        <is>
          <t xml:space="preserve">Mở task</t>
        </is>
      </c>
    </row>
    <row r="48" ht="72" customHeight="1">
      <c r="A48" s="2" t="inlineStr">
        <is>
          <t xml:space="preserve">API-047</t>
        </is>
      </c>
      <c r="B48" s="2" t="inlineStr">
        <is>
          <t xml:space="preserve">GET</t>
        </is>
      </c>
      <c r="C48" s="2" t="inlineStr">
        <is>
          <t xml:space="preserve">/api/v1/rooms/{roomId}/posts</t>
        </is>
      </c>
      <c r="D48" s="2" t="inlineStr">
        <is>
          <t xml:space="preserve">Bài đăng của một phòng</t>
        </is>
      </c>
      <c r="E48" s="7" t="inlineStr">
        <is>
          <t xml:space="preserve">B</t>
        </is>
      </c>
      <c r="F48" s="2" t="inlineStr">
        <is>
          <t xml:space="preserve">BE-B06</t>
        </is>
      </c>
      <c r="G48" s="2" t="inlineStr">
        <is>
          <t xml:space="preserve">P2</t>
        </is>
      </c>
      <c r="H48" s="2" t="inlineStr">
        <is>
          <t xml:space="preserve">room-detail</t>
        </is>
      </c>
      <c r="I48" s="2" t="str">
        <f>INDEX(BE_Tasks!$P$2:$P$53,MATCH("BE-B06",BE_Tasks!$A$2:$A$53,0))</f>
        <v>Chưa làm</v>
      </c>
      <c r="J48" s="3">
        <f>INDEX(BE_Tasks!$X$2:$X$53,MATCH("BE-B06",BE_Tasks!$A$2:$A$53,0))</f>
        <v>0</v>
      </c>
      <c r="K48" s="2" t="inlineStr">
        <is>
          <t xml:space="preserve"/>
        </is>
      </c>
      <c r="L48" s="5" t="inlineStr">
        <is>
          <t xml:space="preserve">Mở API</t>
        </is>
      </c>
      <c r="M48" s="5" t="inlineStr">
        <is>
          <t xml:space="preserve">Mở task</t>
        </is>
      </c>
    </row>
    <row r="49" ht="72" customHeight="1">
      <c r="A49" s="0" t="inlineStr">
        <is>
          <t xml:space="preserve">API-048</t>
        </is>
      </c>
      <c r="B49" s="0" t="inlineStr">
        <is>
          <t xml:space="preserve">GET</t>
        </is>
      </c>
      <c r="C49" s="0" t="inlineStr">
        <is>
          <t xml:space="preserve">/api/v1/rooms/{roomId}/residents</t>
        </is>
      </c>
      <c r="D49" s="0" t="inlineStr">
        <is>
          <t xml:space="preserve">Người đang ở trong phòng</t>
        </is>
      </c>
      <c r="E49" s="8" t="inlineStr">
        <is>
          <t xml:space="preserve">C</t>
        </is>
      </c>
      <c r="F49" s="0" t="inlineStr">
        <is>
          <t xml:space="preserve">BE-C02</t>
        </is>
      </c>
      <c r="G49" s="0" t="inlineStr">
        <is>
          <t xml:space="preserve">P1</t>
        </is>
      </c>
      <c r="H49" s="0" t="inlineStr">
        <is>
          <t xml:space="preserve">room-detail</t>
        </is>
      </c>
      <c r="I49" s="0" t="str">
        <f>INDEX(BE_Tasks!$P$2:$P$53,MATCH("BE-C02",BE_Tasks!$A$2:$A$53,0))</f>
        <v>Chưa làm</v>
      </c>
      <c r="J49" s="3">
        <f>INDEX(BE_Tasks!$X$2:$X$53,MATCH("BE-C02",BE_Tasks!$A$2:$A$53,0))</f>
        <v>0</v>
      </c>
      <c r="K49" s="0" t="inlineStr">
        <is>
          <t xml:space="preserve"/>
        </is>
      </c>
      <c r="L49" s="5" t="inlineStr">
        <is>
          <t xml:space="preserve">Mở API</t>
        </is>
      </c>
      <c r="M49" s="5" t="inlineStr">
        <is>
          <t xml:space="preserve">Mở task</t>
        </is>
      </c>
    </row>
    <row r="50" ht="72" customHeight="1">
      <c r="A50" s="2" t="inlineStr">
        <is>
          <t xml:space="preserve">API-049</t>
        </is>
      </c>
      <c r="B50" s="2" t="inlineStr">
        <is>
          <t xml:space="preserve">GET</t>
        </is>
      </c>
      <c r="C50" s="2" t="inlineStr">
        <is>
          <t xml:space="preserve">/api/v1/rooms/{roomId}/services</t>
        </is>
      </c>
      <c r="D50" s="2" t="inlineStr">
        <is>
          <t xml:space="preserve">Dịch vụ hiệu lực của phòng</t>
        </is>
      </c>
      <c r="E50" s="7" t="inlineStr">
        <is>
          <t xml:space="preserve">B</t>
        </is>
      </c>
      <c r="F50" s="2" t="inlineStr">
        <is>
          <t xml:space="preserve">BE-B03</t>
        </is>
      </c>
      <c r="G50" s="2" t="inlineStr">
        <is>
          <t xml:space="preserve">P1</t>
        </is>
      </c>
      <c r="H50" s="2" t="inlineStr">
        <is>
          <t xml:space="preserve">room-detail</t>
        </is>
      </c>
      <c r="I50" s="2" t="str">
        <f>INDEX(BE_Tasks!$P$2:$P$53,MATCH("BE-B03",BE_Tasks!$A$2:$A$53,0))</f>
        <v>Chưa làm</v>
      </c>
      <c r="J50" s="3">
        <f>INDEX(BE_Tasks!$X$2:$X$53,MATCH("BE-B03",BE_Tasks!$A$2:$A$53,0))</f>
        <v>0</v>
      </c>
      <c r="K50" s="2" t="inlineStr">
        <is>
          <t xml:space="preserve"/>
        </is>
      </c>
      <c r="L50" s="5" t="inlineStr">
        <is>
          <t xml:space="preserve">Mở API</t>
        </is>
      </c>
      <c r="M50" s="5" t="inlineStr">
        <is>
          <t xml:space="preserve">Mở task</t>
        </is>
      </c>
    </row>
    <row r="51" ht="72" customHeight="1">
      <c r="A51" s="0" t="inlineStr">
        <is>
          <t xml:space="preserve">API-050</t>
        </is>
      </c>
      <c r="B51" s="0" t="inlineStr">
        <is>
          <t xml:space="preserve">GET</t>
        </is>
      </c>
      <c r="C51" s="0" t="inlineStr">
        <is>
          <t xml:space="preserve">/api/v1/landlord/posts</t>
        </is>
      </c>
      <c r="D51" s="0" t="inlineStr">
        <is>
          <t xml:space="preserve">Danh sách tin chủ trọ quản lý</t>
        </is>
      </c>
      <c r="E51" s="7" t="inlineStr">
        <is>
          <t xml:space="preserve">B</t>
        </is>
      </c>
      <c r="F51" s="0" t="inlineStr">
        <is>
          <t xml:space="preserve">BE-B06</t>
        </is>
      </c>
      <c r="G51" s="0" t="inlineStr">
        <is>
          <t xml:space="preserve">P2</t>
        </is>
      </c>
      <c r="H51" s="0" t="inlineStr">
        <is>
          <t xml:space="preserve">submit-post</t>
        </is>
      </c>
      <c r="I51" s="0" t="str">
        <f>INDEX(BE_Tasks!$P$2:$P$53,MATCH("BE-B06",BE_Tasks!$A$2:$A$53,0))</f>
        <v>Chưa làm</v>
      </c>
      <c r="J51" s="3">
        <f>INDEX(BE_Tasks!$X$2:$X$53,MATCH("BE-B06",BE_Tasks!$A$2:$A$53,0))</f>
        <v>0</v>
      </c>
      <c r="K51" s="0" t="inlineStr">
        <is>
          <t xml:space="preserve"/>
        </is>
      </c>
      <c r="L51" s="5" t="inlineStr">
        <is>
          <t xml:space="preserve">Mở API</t>
        </is>
      </c>
      <c r="M51" s="5" t="inlineStr">
        <is>
          <t xml:space="preserve">Mở task</t>
        </is>
      </c>
    </row>
    <row r="52" ht="72" customHeight="1">
      <c r="A52" s="2" t="inlineStr">
        <is>
          <t xml:space="preserve">API-051</t>
        </is>
      </c>
      <c r="B52" s="2" t="inlineStr">
        <is>
          <t xml:space="preserve">POST</t>
        </is>
      </c>
      <c r="C52" s="2" t="inlineStr">
        <is>
          <t xml:space="preserve">/api/v1/posts</t>
        </is>
      </c>
      <c r="D52" s="2" t="inlineStr">
        <is>
          <t xml:space="preserve">Tạo bài mới và gửi duyệt</t>
        </is>
      </c>
      <c r="E52" s="7" t="inlineStr">
        <is>
          <t xml:space="preserve">B</t>
        </is>
      </c>
      <c r="F52" s="2" t="inlineStr">
        <is>
          <t xml:space="preserve">BE-B06</t>
        </is>
      </c>
      <c r="G52" s="2" t="inlineStr">
        <is>
          <t xml:space="preserve">P2</t>
        </is>
      </c>
      <c r="H52" s="2" t="inlineStr">
        <is>
          <t xml:space="preserve">submit-post</t>
        </is>
      </c>
      <c r="I52" s="2" t="str">
        <f>INDEX(BE_Tasks!$P$2:$P$53,MATCH("BE-B06",BE_Tasks!$A$2:$A$53,0))</f>
        <v>Chưa làm</v>
      </c>
      <c r="J52" s="3">
        <f>INDEX(BE_Tasks!$X$2:$X$53,MATCH("BE-B06",BE_Tasks!$A$2:$A$53,0))</f>
        <v>0</v>
      </c>
      <c r="K52" s="2" t="inlineStr">
        <is>
          <t xml:space="preserve">D07</t>
        </is>
      </c>
      <c r="L52" s="5" t="inlineStr">
        <is>
          <t xml:space="preserve">Mở API</t>
        </is>
      </c>
      <c r="M52" s="5" t="inlineStr">
        <is>
          <t xml:space="preserve">Mở task</t>
        </is>
      </c>
    </row>
    <row r="53" ht="72" customHeight="1">
      <c r="A53" s="0" t="inlineStr">
        <is>
          <t xml:space="preserve">API-052</t>
        </is>
      </c>
      <c r="B53" s="0" t="inlineStr">
        <is>
          <t xml:space="preserve">PATCH</t>
        </is>
      </c>
      <c r="C53" s="0" t="inlineStr">
        <is>
          <t xml:space="preserve">/api/v1/posts/{postId}</t>
        </is>
      </c>
      <c r="D53" s="0" t="inlineStr">
        <is>
          <t xml:space="preserve">Sửa đúng bài và gửi duyệt lại</t>
        </is>
      </c>
      <c r="E53" s="7" t="inlineStr">
        <is>
          <t xml:space="preserve">B</t>
        </is>
      </c>
      <c r="F53" s="0" t="inlineStr">
        <is>
          <t xml:space="preserve">BE-B06</t>
        </is>
      </c>
      <c r="G53" s="0" t="inlineStr">
        <is>
          <t xml:space="preserve">P2</t>
        </is>
      </c>
      <c r="H53" s="0" t="inlineStr">
        <is>
          <t xml:space="preserve">submit-post</t>
        </is>
      </c>
      <c r="I53" s="0" t="str">
        <f>INDEX(BE_Tasks!$P$2:$P$53,MATCH("BE-B06",BE_Tasks!$A$2:$A$53,0))</f>
        <v>Chưa làm</v>
      </c>
      <c r="J53" s="3">
        <f>INDEX(BE_Tasks!$X$2:$X$53,MATCH("BE-B06",BE_Tasks!$A$2:$A$53,0))</f>
        <v>0</v>
      </c>
      <c r="K53" s="0" t="inlineStr">
        <is>
          <t xml:space="preserve">D07</t>
        </is>
      </c>
      <c r="L53" s="5" t="inlineStr">
        <is>
          <t xml:space="preserve">Mở API</t>
        </is>
      </c>
      <c r="M53" s="5" t="inlineStr">
        <is>
          <t xml:space="preserve">Mở task</t>
        </is>
      </c>
    </row>
    <row r="54" ht="72" customHeight="1">
      <c r="A54" s="2" t="inlineStr">
        <is>
          <t xml:space="preserve">API-053</t>
        </is>
      </c>
      <c r="B54" s="2" t="inlineStr">
        <is>
          <t xml:space="preserve">GET</t>
        </is>
      </c>
      <c r="C54" s="2" t="inlineStr">
        <is>
          <t xml:space="preserve">/api/v1/admin/posts</t>
        </is>
      </c>
      <c r="D54" s="2" t="inlineStr">
        <is>
          <t xml:space="preserve">Hàng đợi kiểm duyệt tin</t>
        </is>
      </c>
      <c r="E54" s="7" t="inlineStr">
        <is>
          <t xml:space="preserve">B</t>
        </is>
      </c>
      <c r="F54" s="2" t="inlineStr">
        <is>
          <t xml:space="preserve">BE-B06</t>
        </is>
      </c>
      <c r="G54" s="2" t="inlineStr">
        <is>
          <t xml:space="preserve">P2</t>
        </is>
      </c>
      <c r="H54" s="2" t="inlineStr">
        <is>
          <t xml:space="preserve">moderate-post</t>
        </is>
      </c>
      <c r="I54" s="2" t="str">
        <f>INDEX(BE_Tasks!$P$2:$P$53,MATCH("BE-B06",BE_Tasks!$A$2:$A$53,0))</f>
        <v>Chưa làm</v>
      </c>
      <c r="J54" s="3">
        <f>INDEX(BE_Tasks!$X$2:$X$53,MATCH("BE-B06",BE_Tasks!$A$2:$A$53,0))</f>
        <v>0</v>
      </c>
      <c r="K54" s="2" t="inlineStr">
        <is>
          <t xml:space="preserve"/>
        </is>
      </c>
      <c r="L54" s="5" t="inlineStr">
        <is>
          <t xml:space="preserve">Mở API</t>
        </is>
      </c>
      <c r="M54" s="5" t="inlineStr">
        <is>
          <t xml:space="preserve">Mở task</t>
        </is>
      </c>
    </row>
    <row r="55" ht="72" customHeight="1">
      <c r="A55" s="0" t="inlineStr">
        <is>
          <t xml:space="preserve">API-054</t>
        </is>
      </c>
      <c r="B55" s="0" t="inlineStr">
        <is>
          <t xml:space="preserve">POST</t>
        </is>
      </c>
      <c r="C55" s="0" t="inlineStr">
        <is>
          <t xml:space="preserve">/api/v1/admin/posts/{postId}/decision</t>
        </is>
      </c>
      <c r="D55" s="0" t="inlineStr">
        <is>
          <t xml:space="preserve">Duyệt hoặc từ chối đúng bài</t>
        </is>
      </c>
      <c r="E55" s="7" t="inlineStr">
        <is>
          <t xml:space="preserve">B</t>
        </is>
      </c>
      <c r="F55" s="0" t="inlineStr">
        <is>
          <t xml:space="preserve">BE-B06</t>
        </is>
      </c>
      <c r="G55" s="0" t="inlineStr">
        <is>
          <t xml:space="preserve">P2</t>
        </is>
      </c>
      <c r="H55" s="0" t="inlineStr">
        <is>
          <t xml:space="preserve">moderate-post</t>
        </is>
      </c>
      <c r="I55" s="0" t="str">
        <f>INDEX(BE_Tasks!$P$2:$P$53,MATCH("BE-B06",BE_Tasks!$A$2:$A$53,0))</f>
        <v>Chưa làm</v>
      </c>
      <c r="J55" s="3">
        <f>INDEX(BE_Tasks!$X$2:$X$53,MATCH("BE-B06",BE_Tasks!$A$2:$A$53,0))</f>
        <v>0</v>
      </c>
      <c r="K55" s="0" t="inlineStr">
        <is>
          <t xml:space="preserve"/>
        </is>
      </c>
      <c r="L55" s="5" t="inlineStr">
        <is>
          <t xml:space="preserve">Mở API</t>
        </is>
      </c>
      <c r="M55" s="5" t="inlineStr">
        <is>
          <t xml:space="preserve">Mở task</t>
        </is>
      </c>
    </row>
    <row r="56" ht="72" customHeight="1">
      <c r="A56" s="2" t="inlineStr">
        <is>
          <t xml:space="preserve">API-055</t>
        </is>
      </c>
      <c r="B56" s="2" t="inlineStr">
        <is>
          <t xml:space="preserve">POST</t>
        </is>
      </c>
      <c r="C56" s="2" t="inlineStr">
        <is>
          <t xml:space="preserve">/api/v1/posts/{postId}/hide</t>
        </is>
      </c>
      <c r="D56" s="2" t="inlineStr">
        <is>
          <t xml:space="preserve">Ẩn tin đang công khai</t>
        </is>
      </c>
      <c r="E56" s="7" t="inlineStr">
        <is>
          <t xml:space="preserve">B</t>
        </is>
      </c>
      <c r="F56" s="2" t="inlineStr">
        <is>
          <t xml:space="preserve">BE-B06</t>
        </is>
      </c>
      <c r="G56" s="2" t="inlineStr">
        <is>
          <t xml:space="preserve">P2</t>
        </is>
      </c>
      <c r="H56" s="2" t="inlineStr">
        <is>
          <t xml:space="preserve">moderate-post</t>
        </is>
      </c>
      <c r="I56" s="2" t="str">
        <f>INDEX(BE_Tasks!$P$2:$P$53,MATCH("BE-B06",BE_Tasks!$A$2:$A$53,0))</f>
        <v>Chưa làm</v>
      </c>
      <c r="J56" s="3">
        <f>INDEX(BE_Tasks!$X$2:$X$53,MATCH("BE-B06",BE_Tasks!$A$2:$A$53,0))</f>
        <v>0</v>
      </c>
      <c r="K56" s="2" t="inlineStr">
        <is>
          <t xml:space="preserve"/>
        </is>
      </c>
      <c r="L56" s="5" t="inlineStr">
        <is>
          <t xml:space="preserve">Mở API</t>
        </is>
      </c>
      <c r="M56" s="5" t="inlineStr">
        <is>
          <t xml:space="preserve">Mở task</t>
        </is>
      </c>
    </row>
    <row r="57" ht="72" customHeight="1">
      <c r="A57" s="0" t="inlineStr">
        <is>
          <t xml:space="preserve">API-056</t>
        </is>
      </c>
      <c r="B57" s="0" t="inlineStr">
        <is>
          <t xml:space="preserve">POST</t>
        </is>
      </c>
      <c r="C57" s="0" t="inlineStr">
        <is>
          <t xml:space="preserve">/api/v1/admin/posts/{postId}/restore</t>
        </is>
      </c>
      <c r="D57" s="0" t="inlineStr">
        <is>
          <t xml:space="preserve">Hiện lại tin đã ẩn</t>
        </is>
      </c>
      <c r="E57" s="7" t="inlineStr">
        <is>
          <t xml:space="preserve">B</t>
        </is>
      </c>
      <c r="F57" s="0" t="inlineStr">
        <is>
          <t xml:space="preserve">BE-B06</t>
        </is>
      </c>
      <c r="G57" s="0" t="inlineStr">
        <is>
          <t xml:space="preserve">P2</t>
        </is>
      </c>
      <c r="H57" s="0" t="inlineStr">
        <is>
          <t xml:space="preserve">moderate-post</t>
        </is>
      </c>
      <c r="I57" s="0" t="str">
        <f>INDEX(BE_Tasks!$P$2:$P$53,MATCH("BE-B06",BE_Tasks!$A$2:$A$53,0))</f>
        <v>Chưa làm</v>
      </c>
      <c r="J57" s="3">
        <f>INDEX(BE_Tasks!$X$2:$X$53,MATCH("BE-B06",BE_Tasks!$A$2:$A$53,0))</f>
        <v>0</v>
      </c>
      <c r="K57" s="0" t="inlineStr">
        <is>
          <t xml:space="preserve"/>
        </is>
      </c>
      <c r="L57" s="5" t="inlineStr">
        <is>
          <t xml:space="preserve">Mở API</t>
        </is>
      </c>
      <c r="M57" s="5" t="inlineStr">
        <is>
          <t xml:space="preserve">Mở task</t>
        </is>
      </c>
    </row>
    <row r="58" ht="72" customHeight="1">
      <c r="A58" s="2" t="inlineStr">
        <is>
          <t xml:space="preserve">API-057</t>
        </is>
      </c>
      <c r="B58" s="2" t="inlineStr">
        <is>
          <t xml:space="preserve">GET</t>
        </is>
      </c>
      <c r="C58" s="2" t="inlineStr">
        <is>
          <t xml:space="preserve">/api/v1/posts</t>
        </is>
      </c>
      <c r="D58" s="2" t="inlineStr">
        <is>
          <t xml:space="preserve">Khám phá và lọc tin công khai</t>
        </is>
      </c>
      <c r="E58" s="7" t="inlineStr">
        <is>
          <t xml:space="preserve">B</t>
        </is>
      </c>
      <c r="F58" s="2" t="inlineStr">
        <is>
          <t xml:space="preserve">BE-B07</t>
        </is>
      </c>
      <c r="G58" s="2" t="inlineStr">
        <is>
          <t xml:space="preserve">P2</t>
        </is>
      </c>
      <c r="H58" s="2" t="inlineStr">
        <is>
          <t xml:space="preserve">discover</t>
        </is>
      </c>
      <c r="I58" s="2" t="str">
        <f>INDEX(BE_Tasks!$P$2:$P$53,MATCH("BE-B07",BE_Tasks!$A$2:$A$53,0))</f>
        <v>Chưa làm</v>
      </c>
      <c r="J58" s="3">
        <f>INDEX(BE_Tasks!$X$2:$X$53,MATCH("BE-B07",BE_Tasks!$A$2:$A$53,0))</f>
        <v>0</v>
      </c>
      <c r="K58" s="2" t="inlineStr">
        <is>
          <t xml:space="preserve"/>
        </is>
      </c>
      <c r="L58" s="5" t="inlineStr">
        <is>
          <t xml:space="preserve">Mở API</t>
        </is>
      </c>
      <c r="M58" s="5" t="inlineStr">
        <is>
          <t xml:space="preserve">Mở task</t>
        </is>
      </c>
    </row>
    <row r="59" ht="72" customHeight="1">
      <c r="A59" s="0" t="inlineStr">
        <is>
          <t xml:space="preserve">API-058</t>
        </is>
      </c>
      <c r="B59" s="0" t="inlineStr">
        <is>
          <t xml:space="preserve">GET</t>
        </is>
      </c>
      <c r="C59" s="0" t="inlineStr">
        <is>
          <t xml:space="preserve">/api/v1/posts/{postId}</t>
        </is>
      </c>
      <c r="D59" s="0" t="inlineStr">
        <is>
          <t xml:space="preserve">Chi tiết đúng tin công khai</t>
        </is>
      </c>
      <c r="E59" s="7" t="inlineStr">
        <is>
          <t xml:space="preserve">B</t>
        </is>
      </c>
      <c r="F59" s="0" t="inlineStr">
        <is>
          <t xml:space="preserve">BE-B07</t>
        </is>
      </c>
      <c r="G59" s="0" t="inlineStr">
        <is>
          <t xml:space="preserve">P2</t>
        </is>
      </c>
      <c r="H59" s="0" t="inlineStr">
        <is>
          <t xml:space="preserve">discover</t>
        </is>
      </c>
      <c r="I59" s="0" t="str">
        <f>INDEX(BE_Tasks!$P$2:$P$53,MATCH("BE-B07",BE_Tasks!$A$2:$A$53,0))</f>
        <v>Chưa làm</v>
      </c>
      <c r="J59" s="3">
        <f>INDEX(BE_Tasks!$X$2:$X$53,MATCH("BE-B07",BE_Tasks!$A$2:$A$53,0))</f>
        <v>0</v>
      </c>
      <c r="K59" s="0" t="inlineStr">
        <is>
          <t xml:space="preserve"/>
        </is>
      </c>
      <c r="L59" s="5" t="inlineStr">
        <is>
          <t xml:space="preserve">Mở API</t>
        </is>
      </c>
      <c r="M59" s="5" t="inlineStr">
        <is>
          <t xml:space="preserve">Mở task</t>
        </is>
      </c>
    </row>
    <row r="60" ht="72" customHeight="1">
      <c r="A60" s="2" t="inlineStr">
        <is>
          <t xml:space="preserve">API-059</t>
        </is>
      </c>
      <c r="B60" s="2" t="inlineStr">
        <is>
          <t xml:space="preserve">GET</t>
        </is>
      </c>
      <c r="C60" s="2" t="inlineStr">
        <is>
          <t xml:space="preserve">/api/v1/me/favorites</t>
        </is>
      </c>
      <c r="D60" s="2" t="inlineStr">
        <is>
          <t xml:space="preserve">Danh sách bài đã lưu</t>
        </is>
      </c>
      <c r="E60" s="7" t="inlineStr">
        <is>
          <t xml:space="preserve">B</t>
        </is>
      </c>
      <c r="F60" s="2" t="inlineStr">
        <is>
          <t xml:space="preserve">BE-B07</t>
        </is>
      </c>
      <c r="G60" s="2" t="inlineStr">
        <is>
          <t xml:space="preserve">P2</t>
        </is>
      </c>
      <c r="H60" s="2" t="inlineStr">
        <is>
          <t xml:space="preserve">discover</t>
        </is>
      </c>
      <c r="I60" s="2" t="str">
        <f>INDEX(BE_Tasks!$P$2:$P$53,MATCH("BE-B07",BE_Tasks!$A$2:$A$53,0))</f>
        <v>Chưa làm</v>
      </c>
      <c r="J60" s="3">
        <f>INDEX(BE_Tasks!$X$2:$X$53,MATCH("BE-B07",BE_Tasks!$A$2:$A$53,0))</f>
        <v>0</v>
      </c>
      <c r="K60" s="2" t="inlineStr">
        <is>
          <t xml:space="preserve"/>
        </is>
      </c>
      <c r="L60" s="5" t="inlineStr">
        <is>
          <t xml:space="preserve">Mở API</t>
        </is>
      </c>
      <c r="M60" s="5" t="inlineStr">
        <is>
          <t xml:space="preserve">Mở task</t>
        </is>
      </c>
    </row>
    <row r="61" ht="72" customHeight="1">
      <c r="A61" s="0" t="inlineStr">
        <is>
          <t xml:space="preserve">API-060</t>
        </is>
      </c>
      <c r="B61" s="0" t="inlineStr">
        <is>
          <t xml:space="preserve">PUT</t>
        </is>
      </c>
      <c r="C61" s="0" t="inlineStr">
        <is>
          <t xml:space="preserve">/api/v1/me/favorites/{postId}</t>
        </is>
      </c>
      <c r="D61" s="0" t="inlineStr">
        <is>
          <t xml:space="preserve">Lưu bài theo ID</t>
        </is>
      </c>
      <c r="E61" s="7" t="inlineStr">
        <is>
          <t xml:space="preserve">B</t>
        </is>
      </c>
      <c r="F61" s="0" t="inlineStr">
        <is>
          <t xml:space="preserve">BE-B07</t>
        </is>
      </c>
      <c r="G61" s="0" t="inlineStr">
        <is>
          <t xml:space="preserve">P2</t>
        </is>
      </c>
      <c r="H61" s="0" t="inlineStr">
        <is>
          <t xml:space="preserve">discover</t>
        </is>
      </c>
      <c r="I61" s="0" t="str">
        <f>INDEX(BE_Tasks!$P$2:$P$53,MATCH("BE-B07",BE_Tasks!$A$2:$A$53,0))</f>
        <v>Chưa làm</v>
      </c>
      <c r="J61" s="3">
        <f>INDEX(BE_Tasks!$X$2:$X$53,MATCH("BE-B07",BE_Tasks!$A$2:$A$53,0))</f>
        <v>0</v>
      </c>
      <c r="K61" s="0" t="inlineStr">
        <is>
          <t xml:space="preserve"/>
        </is>
      </c>
      <c r="L61" s="5" t="inlineStr">
        <is>
          <t xml:space="preserve">Mở API</t>
        </is>
      </c>
      <c r="M61" s="5" t="inlineStr">
        <is>
          <t xml:space="preserve">Mở task</t>
        </is>
      </c>
    </row>
    <row r="62" ht="72" customHeight="1">
      <c r="A62" s="2" t="inlineStr">
        <is>
          <t xml:space="preserve">API-061</t>
        </is>
      </c>
      <c r="B62" s="2" t="inlineStr">
        <is>
          <t xml:space="preserve">DELETE</t>
        </is>
      </c>
      <c r="C62" s="2" t="inlineStr">
        <is>
          <t xml:space="preserve">/api/v1/me/favorites/{postId}</t>
        </is>
      </c>
      <c r="D62" s="2" t="inlineStr">
        <is>
          <t xml:space="preserve">Bỏ lưu bài</t>
        </is>
      </c>
      <c r="E62" s="7" t="inlineStr">
        <is>
          <t xml:space="preserve">B</t>
        </is>
      </c>
      <c r="F62" s="2" t="inlineStr">
        <is>
          <t xml:space="preserve">BE-B07</t>
        </is>
      </c>
      <c r="G62" s="2" t="inlineStr">
        <is>
          <t xml:space="preserve">P2</t>
        </is>
      </c>
      <c r="H62" s="2" t="inlineStr">
        <is>
          <t xml:space="preserve">discover</t>
        </is>
      </c>
      <c r="I62" s="2" t="str">
        <f>INDEX(BE_Tasks!$P$2:$P$53,MATCH("BE-B07",BE_Tasks!$A$2:$A$53,0))</f>
        <v>Chưa làm</v>
      </c>
      <c r="J62" s="3">
        <f>INDEX(BE_Tasks!$X$2:$X$53,MATCH("BE-B07",BE_Tasks!$A$2:$A$53,0))</f>
        <v>0</v>
      </c>
      <c r="K62" s="2" t="inlineStr">
        <is>
          <t xml:space="preserve"/>
        </is>
      </c>
      <c r="L62" s="5" t="inlineStr">
        <is>
          <t xml:space="preserve">Mở API</t>
        </is>
      </c>
      <c r="M62" s="5" t="inlineStr">
        <is>
          <t xml:space="preserve">Mở task</t>
        </is>
      </c>
    </row>
    <row r="63" ht="72" customHeight="1">
      <c r="A63" s="0" t="inlineStr">
        <is>
          <t xml:space="preserve">API-062</t>
        </is>
      </c>
      <c r="B63" s="0" t="inlineStr">
        <is>
          <t xml:space="preserve">GET</t>
        </is>
      </c>
      <c r="C63" s="0" t="inlineStr">
        <is>
          <t xml:space="preserve">/api/v1/me/roommate-profile</t>
        </is>
      </c>
      <c r="D63" s="0" t="inlineStr">
        <is>
          <t xml:space="preserve">Đọc hồ sơ ở ghép của mình</t>
        </is>
      </c>
      <c r="E63" s="7" t="inlineStr">
        <is>
          <t xml:space="preserve">B</t>
        </is>
      </c>
      <c r="F63" s="0" t="inlineStr">
        <is>
          <t xml:space="preserve">BE-B11</t>
        </is>
      </c>
      <c r="G63" s="0" t="inlineStr">
        <is>
          <t xml:space="preserve">P4</t>
        </is>
      </c>
      <c r="H63" s="0" t="inlineStr">
        <is>
          <t xml:space="preserve">roommate-profile</t>
        </is>
      </c>
      <c r="I63" s="0" t="str">
        <f>INDEX(BE_Tasks!$P$2:$P$53,MATCH("BE-B11",BE_Tasks!$A$2:$A$53,0))</f>
        <v>Chưa làm</v>
      </c>
      <c r="J63" s="3">
        <f>INDEX(BE_Tasks!$X$2:$X$53,MATCH("BE-B11",BE_Tasks!$A$2:$A$53,0))</f>
        <v>0</v>
      </c>
      <c r="K63" s="0" t="inlineStr">
        <is>
          <t xml:space="preserve"/>
        </is>
      </c>
      <c r="L63" s="5" t="inlineStr">
        <is>
          <t xml:space="preserve">Mở API</t>
        </is>
      </c>
      <c r="M63" s="5" t="inlineStr">
        <is>
          <t xml:space="preserve">Mở task</t>
        </is>
      </c>
    </row>
    <row r="64" ht="72" customHeight="1">
      <c r="A64" s="2" t="inlineStr">
        <is>
          <t xml:space="preserve">API-063</t>
        </is>
      </c>
      <c r="B64" s="2" t="inlineStr">
        <is>
          <t xml:space="preserve">PUT</t>
        </is>
      </c>
      <c r="C64" s="2" t="inlineStr">
        <is>
          <t xml:space="preserve">/api/v1/me/roommate-profile</t>
        </is>
      </c>
      <c r="D64" s="2" t="inlineStr">
        <is>
          <t xml:space="preserve">Tạo hoặc thay thế hồ sơ ở ghép</t>
        </is>
      </c>
      <c r="E64" s="7" t="inlineStr">
        <is>
          <t xml:space="preserve">B</t>
        </is>
      </c>
      <c r="F64" s="2" t="inlineStr">
        <is>
          <t xml:space="preserve">BE-B11</t>
        </is>
      </c>
      <c r="G64" s="2" t="inlineStr">
        <is>
          <t xml:space="preserve">P4</t>
        </is>
      </c>
      <c r="H64" s="2" t="inlineStr">
        <is>
          <t xml:space="preserve">roommate-profile</t>
        </is>
      </c>
      <c r="I64" s="2" t="str">
        <f>INDEX(BE_Tasks!$P$2:$P$53,MATCH("BE-B11",BE_Tasks!$A$2:$A$53,0))</f>
        <v>Chưa làm</v>
      </c>
      <c r="J64" s="3">
        <f>INDEX(BE_Tasks!$X$2:$X$53,MATCH("BE-B11",BE_Tasks!$A$2:$A$53,0))</f>
        <v>0</v>
      </c>
      <c r="K64" s="2" t="inlineStr">
        <is>
          <t xml:space="preserve"/>
        </is>
      </c>
      <c r="L64" s="5" t="inlineStr">
        <is>
          <t xml:space="preserve">Mở API</t>
        </is>
      </c>
      <c r="M64" s="5" t="inlineStr">
        <is>
          <t xml:space="preserve">Mở task</t>
        </is>
      </c>
    </row>
    <row r="65" ht="72" customHeight="1">
      <c r="A65" s="0" t="inlineStr">
        <is>
          <t xml:space="preserve">API-064</t>
        </is>
      </c>
      <c r="B65" s="0" t="inlineStr">
        <is>
          <t xml:space="preserve">GET</t>
        </is>
      </c>
      <c r="C65" s="0" t="inlineStr">
        <is>
          <t xml:space="preserve">/api/v1/roommate-profiles/{profileId}</t>
        </is>
      </c>
      <c r="D65" s="0" t="inlineStr">
        <is>
          <t xml:space="preserve">Xem hồ sơ ứng viên theo quyền</t>
        </is>
      </c>
      <c r="E65" s="7" t="inlineStr">
        <is>
          <t xml:space="preserve">B</t>
        </is>
      </c>
      <c r="F65" s="0" t="inlineStr">
        <is>
          <t xml:space="preserve">BE-B11</t>
        </is>
      </c>
      <c r="G65" s="0" t="inlineStr">
        <is>
          <t xml:space="preserve">P4</t>
        </is>
      </c>
      <c r="H65" s="0" t="inlineStr">
        <is>
          <t xml:space="preserve">roommate-profile</t>
        </is>
      </c>
      <c r="I65" s="0" t="str">
        <f>INDEX(BE_Tasks!$P$2:$P$53,MATCH("BE-B11",BE_Tasks!$A$2:$A$53,0))</f>
        <v>Chưa làm</v>
      </c>
      <c r="J65" s="3">
        <f>INDEX(BE_Tasks!$X$2:$X$53,MATCH("BE-B11",BE_Tasks!$A$2:$A$53,0))</f>
        <v>0</v>
      </c>
      <c r="K65" s="0" t="inlineStr">
        <is>
          <t xml:space="preserve"/>
        </is>
      </c>
      <c r="L65" s="5" t="inlineStr">
        <is>
          <t xml:space="preserve">Mở API</t>
        </is>
      </c>
      <c r="M65" s="5" t="inlineStr">
        <is>
          <t xml:space="preserve">Mở task</t>
        </is>
      </c>
    </row>
    <row r="66" ht="72" customHeight="1">
      <c r="A66" s="2" t="inlineStr">
        <is>
          <t xml:space="preserve">API-065</t>
        </is>
      </c>
      <c r="B66" s="2" t="inlineStr">
        <is>
          <t xml:space="preserve">GET</t>
        </is>
      </c>
      <c r="C66" s="2" t="inlineStr">
        <is>
          <t xml:space="preserve">/api/v1/lifestyle-criteria</t>
        </is>
      </c>
      <c r="D66" s="2" t="inlineStr">
        <is>
          <t xml:space="preserve">Danh mục tiêu chí đang áp dụng</t>
        </is>
      </c>
      <c r="E66" s="7" t="inlineStr">
        <is>
          <t xml:space="preserve">B</t>
        </is>
      </c>
      <c r="F66" s="2" t="inlineStr">
        <is>
          <t xml:space="preserve">BE-B12</t>
        </is>
      </c>
      <c r="G66" s="2" t="inlineStr">
        <is>
          <t xml:space="preserve">P4</t>
        </is>
      </c>
      <c r="H66" s="2" t="inlineStr">
        <is>
          <t xml:space="preserve">matching-criteria</t>
        </is>
      </c>
      <c r="I66" s="2" t="str">
        <f>INDEX(BE_Tasks!$P$2:$P$53,MATCH("BE-B12",BE_Tasks!$A$2:$A$53,0))</f>
        <v>Chưa làm</v>
      </c>
      <c r="J66" s="3">
        <f>INDEX(BE_Tasks!$X$2:$X$53,MATCH("BE-B12",BE_Tasks!$A$2:$A$53,0))</f>
        <v>0</v>
      </c>
      <c r="K66" s="2" t="inlineStr">
        <is>
          <t xml:space="preserve"/>
        </is>
      </c>
      <c r="L66" s="5" t="inlineStr">
        <is>
          <t xml:space="preserve">Mở API</t>
        </is>
      </c>
      <c r="M66" s="5" t="inlineStr">
        <is>
          <t xml:space="preserve">Mở task</t>
        </is>
      </c>
    </row>
    <row r="67" ht="72" customHeight="1">
      <c r="A67" s="0" t="inlineStr">
        <is>
          <t xml:space="preserve">API-066</t>
        </is>
      </c>
      <c r="B67" s="0" t="inlineStr">
        <is>
          <t xml:space="preserve">GET</t>
        </is>
      </c>
      <c r="C67" s="0" t="inlineStr">
        <is>
          <t xml:space="preserve">/api/v1/me/roommate-profile/lifestyles</t>
        </is>
      </c>
      <c r="D67" s="0" t="inlineStr">
        <is>
          <t xml:space="preserve">Đọc đặc điểm và mong muốn đã lưu</t>
        </is>
      </c>
      <c r="E67" s="7" t="inlineStr">
        <is>
          <t xml:space="preserve">B</t>
        </is>
      </c>
      <c r="F67" s="0" t="inlineStr">
        <is>
          <t xml:space="preserve">BE-B11</t>
        </is>
      </c>
      <c r="G67" s="0" t="inlineStr">
        <is>
          <t xml:space="preserve">P4</t>
        </is>
      </c>
      <c r="H67" s="0" t="inlineStr">
        <is>
          <t xml:space="preserve">matching-criteria</t>
        </is>
      </c>
      <c r="I67" s="0" t="str">
        <f>INDEX(BE_Tasks!$P$2:$P$53,MATCH("BE-B11",BE_Tasks!$A$2:$A$53,0))</f>
        <v>Chưa làm</v>
      </c>
      <c r="J67" s="3">
        <f>INDEX(BE_Tasks!$X$2:$X$53,MATCH("BE-B11",BE_Tasks!$A$2:$A$53,0))</f>
        <v>0</v>
      </c>
      <c r="K67" s="0" t="inlineStr">
        <is>
          <t xml:space="preserve"/>
        </is>
      </c>
      <c r="L67" s="5" t="inlineStr">
        <is>
          <t xml:space="preserve">Mở API</t>
        </is>
      </c>
      <c r="M67" s="5" t="inlineStr">
        <is>
          <t xml:space="preserve">Mở task</t>
        </is>
      </c>
    </row>
    <row r="68" ht="72" customHeight="1">
      <c r="A68" s="2" t="inlineStr">
        <is>
          <t xml:space="preserve">API-067</t>
        </is>
      </c>
      <c r="B68" s="2" t="inlineStr">
        <is>
          <t xml:space="preserve">PUT</t>
        </is>
      </c>
      <c r="C68" s="2" t="inlineStr">
        <is>
          <t xml:space="preserve">/api/v1/me/roommate-profile/lifestyles</t>
        </is>
      </c>
      <c r="D68" s="2" t="inlineStr">
        <is>
          <t xml:space="preserve">Thay bộ tiêu chí của hồ sơ</t>
        </is>
      </c>
      <c r="E68" s="7" t="inlineStr">
        <is>
          <t xml:space="preserve">B</t>
        </is>
      </c>
      <c r="F68" s="2" t="inlineStr">
        <is>
          <t xml:space="preserve">BE-B11</t>
        </is>
      </c>
      <c r="G68" s="2" t="inlineStr">
        <is>
          <t xml:space="preserve">P4</t>
        </is>
      </c>
      <c r="H68" s="2" t="inlineStr">
        <is>
          <t xml:space="preserve">matching-criteria</t>
        </is>
      </c>
      <c r="I68" s="2" t="str">
        <f>INDEX(BE_Tasks!$P$2:$P$53,MATCH("BE-B11",BE_Tasks!$A$2:$A$53,0))</f>
        <v>Chưa làm</v>
      </c>
      <c r="J68" s="3">
        <f>INDEX(BE_Tasks!$X$2:$X$53,MATCH("BE-B11",BE_Tasks!$A$2:$A$53,0))</f>
        <v>0</v>
      </c>
      <c r="K68" s="2" t="inlineStr">
        <is>
          <t xml:space="preserve"/>
        </is>
      </c>
      <c r="L68" s="5" t="inlineStr">
        <is>
          <t xml:space="preserve">Mở API</t>
        </is>
      </c>
      <c r="M68" s="5" t="inlineStr">
        <is>
          <t xml:space="preserve">Mở task</t>
        </is>
      </c>
    </row>
    <row r="69" ht="72" customHeight="1">
      <c r="A69" s="0" t="inlineStr">
        <is>
          <t xml:space="preserve">API-068</t>
        </is>
      </c>
      <c r="B69" s="0" t="inlineStr">
        <is>
          <t xml:space="preserve">GET</t>
        </is>
      </c>
      <c r="C69" s="0" t="inlineStr">
        <is>
          <t xml:space="preserve">/api/v1/roommate-matches</t>
        </is>
      </c>
      <c r="D69" s="0" t="inlineStr">
        <is>
          <t xml:space="preserve">Danh sách người phù hợp</t>
        </is>
      </c>
      <c r="E69" s="7" t="inlineStr">
        <is>
          <t xml:space="preserve">B</t>
        </is>
      </c>
      <c r="F69" s="0" t="inlineStr">
        <is>
          <t xml:space="preserve">BE-B15</t>
        </is>
      </c>
      <c r="G69" s="0" t="inlineStr">
        <is>
          <t xml:space="preserve">P6</t>
        </is>
      </c>
      <c r="H69" s="0" t="inlineStr">
        <is>
          <t xml:space="preserve">matching-criteria</t>
        </is>
      </c>
      <c r="I69" s="0" t="str">
        <f>INDEX(BE_Tasks!$P$2:$P$53,MATCH("BE-B15",BE_Tasks!$A$2:$A$53,0))</f>
        <v>Chưa làm</v>
      </c>
      <c r="J69" s="3">
        <f>INDEX(BE_Tasks!$X$2:$X$53,MATCH("BE-B15",BE_Tasks!$A$2:$A$53,0))</f>
        <v>0</v>
      </c>
      <c r="K69" s="0" t="inlineStr">
        <is>
          <t xml:space="preserve">D02</t>
        </is>
      </c>
      <c r="L69" s="5" t="inlineStr">
        <is>
          <t xml:space="preserve">Mở API</t>
        </is>
      </c>
      <c r="M69" s="5" t="inlineStr">
        <is>
          <t xml:space="preserve">Mở task</t>
        </is>
      </c>
    </row>
    <row r="70" ht="72" customHeight="1">
      <c r="A70" s="2" t="inlineStr">
        <is>
          <t xml:space="preserve">API-069</t>
        </is>
      </c>
      <c r="B70" s="2" t="inlineStr">
        <is>
          <t xml:space="preserve">POST</t>
        </is>
      </c>
      <c r="C70" s="2" t="inlineStr">
        <is>
          <t xml:space="preserve">/api/v1/admin/lifestyle-criteria</t>
        </is>
      </c>
      <c r="D70" s="2" t="inlineStr">
        <is>
          <t xml:space="preserve">Tạo tiêu chí ghép linh động</t>
        </is>
      </c>
      <c r="E70" s="7" t="inlineStr">
        <is>
          <t xml:space="preserve">B</t>
        </is>
      </c>
      <c r="F70" s="2" t="inlineStr">
        <is>
          <t xml:space="preserve">BE-B12</t>
        </is>
      </c>
      <c r="G70" s="2" t="inlineStr">
        <is>
          <t xml:space="preserve">P4</t>
        </is>
      </c>
      <c r="H70" s="2" t="inlineStr">
        <is>
          <t xml:space="preserve">matching-criteria</t>
        </is>
      </c>
      <c r="I70" s="2" t="str">
        <f>INDEX(BE_Tasks!$P$2:$P$53,MATCH("BE-B12",BE_Tasks!$A$2:$A$53,0))</f>
        <v>Chưa làm</v>
      </c>
      <c r="J70" s="3">
        <f>INDEX(BE_Tasks!$X$2:$X$53,MATCH("BE-B12",BE_Tasks!$A$2:$A$53,0))</f>
        <v>0</v>
      </c>
      <c r="K70" s="2" t="inlineStr">
        <is>
          <t xml:space="preserve"/>
        </is>
      </c>
      <c r="L70" s="5" t="inlineStr">
        <is>
          <t xml:space="preserve">Mở API</t>
        </is>
      </c>
      <c r="M70" s="5" t="inlineStr">
        <is>
          <t xml:space="preserve">Mở task</t>
        </is>
      </c>
    </row>
    <row r="71" ht="72" customHeight="1">
      <c r="A71" s="0" t="inlineStr">
        <is>
          <t xml:space="preserve">API-070</t>
        </is>
      </c>
      <c r="B71" s="0" t="inlineStr">
        <is>
          <t xml:space="preserve">PATCH</t>
        </is>
      </c>
      <c r="C71" s="0" t="inlineStr">
        <is>
          <t xml:space="preserve">/api/v1/admin/lifestyle-criteria/{criterionId}</t>
        </is>
      </c>
      <c r="D71" s="0" t="inlineStr">
        <is>
          <t xml:space="preserve">Sửa/ngừng tiêu chí</t>
        </is>
      </c>
      <c r="E71" s="7" t="inlineStr">
        <is>
          <t xml:space="preserve">B</t>
        </is>
      </c>
      <c r="F71" s="0" t="inlineStr">
        <is>
          <t xml:space="preserve">BE-B12</t>
        </is>
      </c>
      <c r="G71" s="0" t="inlineStr">
        <is>
          <t xml:space="preserve">P4</t>
        </is>
      </c>
      <c r="H71" s="0" t="inlineStr">
        <is>
          <t xml:space="preserve">matching-criteria</t>
        </is>
      </c>
      <c r="I71" s="0" t="str">
        <f>INDEX(BE_Tasks!$P$2:$P$53,MATCH("BE-B12",BE_Tasks!$A$2:$A$53,0))</f>
        <v>Chưa làm</v>
      </c>
      <c r="J71" s="3">
        <f>INDEX(BE_Tasks!$X$2:$X$53,MATCH("BE-B12",BE_Tasks!$A$2:$A$53,0))</f>
        <v>0</v>
      </c>
      <c r="K71" s="0" t="inlineStr">
        <is>
          <t xml:space="preserve">D02</t>
        </is>
      </c>
      <c r="L71" s="5" t="inlineStr">
        <is>
          <t xml:space="preserve">Mở API</t>
        </is>
      </c>
      <c r="M71" s="5" t="inlineStr">
        <is>
          <t xml:space="preserve">Mở task</t>
        </is>
      </c>
    </row>
    <row r="72" ht="72" customHeight="1">
      <c r="A72" s="2" t="inlineStr">
        <is>
          <t xml:space="preserve">API-071</t>
        </is>
      </c>
      <c r="B72" s="2" t="inlineStr">
        <is>
          <t xml:space="preserve">GET</t>
        </is>
      </c>
      <c r="C72" s="2" t="inlineStr">
        <is>
          <t xml:space="preserve">/api/v1/roommate-requests</t>
        </is>
      </c>
      <c r="D72" s="2" t="inlineStr">
        <is>
          <t xml:space="preserve">Lời mời đến/đã gửi và bộ đếm</t>
        </is>
      </c>
      <c r="E72" s="7" t="inlineStr">
        <is>
          <t xml:space="preserve">B</t>
        </is>
      </c>
      <c r="F72" s="2" t="inlineStr">
        <is>
          <t xml:space="preserve">BE-B13</t>
        </is>
      </c>
      <c r="G72" s="2" t="inlineStr">
        <is>
          <t xml:space="preserve">P4</t>
        </is>
      </c>
      <c r="H72" s="2" t="inlineStr">
        <is>
          <t xml:space="preserve">roommate-invite</t>
        </is>
      </c>
      <c r="I72" s="2" t="str">
        <f>INDEX(BE_Tasks!$P$2:$P$53,MATCH("BE-B13",BE_Tasks!$A$2:$A$53,0))</f>
        <v>Chưa làm</v>
      </c>
      <c r="J72" s="3">
        <f>INDEX(BE_Tasks!$X$2:$X$53,MATCH("BE-B13",BE_Tasks!$A$2:$A$53,0))</f>
        <v>0</v>
      </c>
      <c r="K72" s="2" t="inlineStr">
        <is>
          <t xml:space="preserve"/>
        </is>
      </c>
      <c r="L72" s="5" t="inlineStr">
        <is>
          <t xml:space="preserve">Mở API</t>
        </is>
      </c>
      <c r="M72" s="5" t="inlineStr">
        <is>
          <t xml:space="preserve">Mở task</t>
        </is>
      </c>
    </row>
    <row r="73" ht="72" customHeight="1">
      <c r="A73" s="0" t="inlineStr">
        <is>
          <t xml:space="preserve">API-072</t>
        </is>
      </c>
      <c r="B73" s="0" t="inlineStr">
        <is>
          <t xml:space="preserve">POST</t>
        </is>
      </c>
      <c r="C73" s="0" t="inlineStr">
        <is>
          <t xml:space="preserve">/api/v1/roommate-requests</t>
        </is>
      </c>
      <c r="D73" s="0" t="inlineStr">
        <is>
          <t xml:space="preserve">Gửi lời mời kết nối</t>
        </is>
      </c>
      <c r="E73" s="7" t="inlineStr">
        <is>
          <t xml:space="preserve">B</t>
        </is>
      </c>
      <c r="F73" s="0" t="inlineStr">
        <is>
          <t xml:space="preserve">BE-B13</t>
        </is>
      </c>
      <c r="G73" s="0" t="inlineStr">
        <is>
          <t xml:space="preserve">P4</t>
        </is>
      </c>
      <c r="H73" s="0" t="inlineStr">
        <is>
          <t xml:space="preserve">roommate-invite</t>
        </is>
      </c>
      <c r="I73" s="0" t="str">
        <f>INDEX(BE_Tasks!$P$2:$P$53,MATCH("BE-B13",BE_Tasks!$A$2:$A$53,0))</f>
        <v>Chưa làm</v>
      </c>
      <c r="J73" s="3">
        <f>INDEX(BE_Tasks!$X$2:$X$53,MATCH("BE-B13",BE_Tasks!$A$2:$A$53,0))</f>
        <v>0</v>
      </c>
      <c r="K73" s="0" t="inlineStr">
        <is>
          <t xml:space="preserve"/>
        </is>
      </c>
      <c r="L73" s="5" t="inlineStr">
        <is>
          <t xml:space="preserve">Mở API</t>
        </is>
      </c>
      <c r="M73" s="5" t="inlineStr">
        <is>
          <t xml:space="preserve">Mở task</t>
        </is>
      </c>
    </row>
    <row r="74" ht="72" customHeight="1">
      <c r="A74" s="2" t="inlineStr">
        <is>
          <t xml:space="preserve">API-073</t>
        </is>
      </c>
      <c r="B74" s="2" t="inlineStr">
        <is>
          <t xml:space="preserve">POST</t>
        </is>
      </c>
      <c r="C74" s="2" t="inlineStr">
        <is>
          <t xml:space="preserve">/api/v1/roommate-requests/{requestId}/response</t>
        </is>
      </c>
      <c r="D74" s="2" t="inlineStr">
        <is>
          <t xml:space="preserve">Người nhận chấp nhận/từ chối kết nối</t>
        </is>
      </c>
      <c r="E74" s="7" t="inlineStr">
        <is>
          <t xml:space="preserve">B</t>
        </is>
      </c>
      <c r="F74" s="2" t="inlineStr">
        <is>
          <t xml:space="preserve">BE-B13</t>
        </is>
      </c>
      <c r="G74" s="2" t="inlineStr">
        <is>
          <t xml:space="preserve">P4</t>
        </is>
      </c>
      <c r="H74" s="2" t="inlineStr">
        <is>
          <t xml:space="preserve">roommate-invite</t>
        </is>
      </c>
      <c r="I74" s="2" t="str">
        <f>INDEX(BE_Tasks!$P$2:$P$53,MATCH("BE-B13",BE_Tasks!$A$2:$A$53,0))</f>
        <v>Chưa làm</v>
      </c>
      <c r="J74" s="3">
        <f>INDEX(BE_Tasks!$X$2:$X$53,MATCH("BE-B13",BE_Tasks!$A$2:$A$53,0))</f>
        <v>0</v>
      </c>
      <c r="K74" s="2" t="inlineStr">
        <is>
          <t xml:space="preserve"/>
        </is>
      </c>
      <c r="L74" s="5" t="inlineStr">
        <is>
          <t xml:space="preserve">Mở API</t>
        </is>
      </c>
      <c r="M74" s="5" t="inlineStr">
        <is>
          <t xml:space="preserve">Mở task</t>
        </is>
      </c>
    </row>
    <row r="75" ht="72" customHeight="1">
      <c r="A75" s="0" t="inlineStr">
        <is>
          <t xml:space="preserve">API-074</t>
        </is>
      </c>
      <c r="B75" s="0" t="inlineStr">
        <is>
          <t xml:space="preserve">POST</t>
        </is>
      </c>
      <c r="C75" s="0" t="inlineStr">
        <is>
          <t xml:space="preserve">/api/v1/roommate-requests/{requestId}/cancel</t>
        </is>
      </c>
      <c r="D75" s="0" t="inlineStr">
        <is>
          <t xml:space="preserve">Người gửi hủy lời mời chờ</t>
        </is>
      </c>
      <c r="E75" s="7" t="inlineStr">
        <is>
          <t xml:space="preserve">B</t>
        </is>
      </c>
      <c r="F75" s="0" t="inlineStr">
        <is>
          <t xml:space="preserve">BE-B13</t>
        </is>
      </c>
      <c r="G75" s="0" t="inlineStr">
        <is>
          <t xml:space="preserve">P4</t>
        </is>
      </c>
      <c r="H75" s="0" t="inlineStr">
        <is>
          <t xml:space="preserve">roommate-invite</t>
        </is>
      </c>
      <c r="I75" s="0" t="str">
        <f>INDEX(BE_Tasks!$P$2:$P$53,MATCH("BE-B13",BE_Tasks!$A$2:$A$53,0))</f>
        <v>Chưa làm</v>
      </c>
      <c r="J75" s="3">
        <f>INDEX(BE_Tasks!$X$2:$X$53,MATCH("BE-B13",BE_Tasks!$A$2:$A$53,0))</f>
        <v>0</v>
      </c>
      <c r="K75" s="0" t="inlineStr">
        <is>
          <t xml:space="preserve"/>
        </is>
      </c>
      <c r="L75" s="5" t="inlineStr">
        <is>
          <t xml:space="preserve">Mở API</t>
        </is>
      </c>
      <c r="M75" s="5" t="inlineStr">
        <is>
          <t xml:space="preserve">Mở task</t>
        </is>
      </c>
    </row>
    <row r="76" ht="72" customHeight="1">
      <c r="A76" s="2" t="inlineStr">
        <is>
          <t xml:space="preserve">API-075</t>
        </is>
      </c>
      <c r="B76" s="2" t="inlineStr">
        <is>
          <t xml:space="preserve">POST</t>
        </is>
      </c>
      <c r="C76" s="2" t="inlineStr">
        <is>
          <t xml:space="preserve">/api/v1/roommate-requests/{requestId}/end</t>
        </is>
      </c>
      <c r="D76" s="2" t="inlineStr">
        <is>
          <t xml:space="preserve">Kết thúc kết nối đã nhận</t>
        </is>
      </c>
      <c r="E76" s="7" t="inlineStr">
        <is>
          <t xml:space="preserve">B</t>
        </is>
      </c>
      <c r="F76" s="2" t="inlineStr">
        <is>
          <t xml:space="preserve">BE-B13</t>
        </is>
      </c>
      <c r="G76" s="2" t="inlineStr">
        <is>
          <t xml:space="preserve">P4</t>
        </is>
      </c>
      <c r="H76" s="2" t="inlineStr">
        <is>
          <t xml:space="preserve">roommate-invite</t>
        </is>
      </c>
      <c r="I76" s="2" t="str">
        <f>INDEX(BE_Tasks!$P$2:$P$53,MATCH("BE-B13",BE_Tasks!$A$2:$A$53,0))</f>
        <v>Chưa làm</v>
      </c>
      <c r="J76" s="3">
        <f>INDEX(BE_Tasks!$X$2:$X$53,MATCH("BE-B13",BE_Tasks!$A$2:$A$53,0))</f>
        <v>0</v>
      </c>
      <c r="K76" s="2" t="inlineStr">
        <is>
          <t xml:space="preserve">D03</t>
        </is>
      </c>
      <c r="L76" s="5" t="inlineStr">
        <is>
          <t xml:space="preserve">Mở API</t>
        </is>
      </c>
      <c r="M76" s="5" t="inlineStr">
        <is>
          <t xml:space="preserve">Mở task</t>
        </is>
      </c>
    </row>
    <row r="77" ht="72" customHeight="1">
      <c r="A77" s="0" t="inlineStr">
        <is>
          <t xml:space="preserve">API-076</t>
        </is>
      </c>
      <c r="B77" s="0" t="inlineStr">
        <is>
          <t xml:space="preserve">POST</t>
        </is>
      </c>
      <c r="C77" s="0" t="inlineStr">
        <is>
          <t xml:space="preserve">/api/v1/conversations/room-inquiries</t>
        </is>
      </c>
      <c r="D77" s="0" t="inlineStr">
        <is>
          <t xml:space="preserve">Mở/lấy hội thoại hỏi đúng bài</t>
        </is>
      </c>
      <c r="E77" s="6" t="inlineStr">
        <is>
          <t xml:space="preserve">A</t>
        </is>
      </c>
      <c r="F77" s="0" t="inlineStr">
        <is>
          <t xml:space="preserve">BE-A08</t>
        </is>
      </c>
      <c r="G77" s="0" t="inlineStr">
        <is>
          <t xml:space="preserve">P2</t>
        </is>
      </c>
      <c r="H77" s="0" t="inlineStr">
        <is>
          <t xml:space="preserve">room-chat</t>
        </is>
      </c>
      <c r="I77" s="0" t="str">
        <f>INDEX(BE_Tasks!$P$2:$P$53,MATCH("BE-A08",BE_Tasks!$A$2:$A$53,0))</f>
        <v>Chưa làm</v>
      </c>
      <c r="J77" s="3">
        <f>INDEX(BE_Tasks!$X$2:$X$53,MATCH("BE-A08",BE_Tasks!$A$2:$A$53,0))</f>
        <v>0</v>
      </c>
      <c r="K77" s="0" t="inlineStr">
        <is>
          <t xml:space="preserve">D08</t>
        </is>
      </c>
      <c r="L77" s="5" t="inlineStr">
        <is>
          <t xml:space="preserve">Mở API</t>
        </is>
      </c>
      <c r="M77" s="5" t="inlineStr">
        <is>
          <t xml:space="preserve">Mở task</t>
        </is>
      </c>
    </row>
    <row r="78" ht="72" customHeight="1">
      <c r="A78" s="2" t="inlineStr">
        <is>
          <t xml:space="preserve">API-077</t>
        </is>
      </c>
      <c r="B78" s="2" t="inlineStr">
        <is>
          <t xml:space="preserve">GET</t>
        </is>
      </c>
      <c r="C78" s="2" t="inlineStr">
        <is>
          <t xml:space="preserve">/api/v1/conversations</t>
        </is>
      </c>
      <c r="D78" s="2" t="inlineStr">
        <is>
          <t xml:space="preserve">Hội thoại của tài khoản</t>
        </is>
      </c>
      <c r="E78" s="6" t="inlineStr">
        <is>
          <t xml:space="preserve">A</t>
        </is>
      </c>
      <c r="F78" s="2" t="inlineStr">
        <is>
          <t xml:space="preserve">BE-A08</t>
        </is>
      </c>
      <c r="G78" s="2" t="inlineStr">
        <is>
          <t xml:space="preserve">P2</t>
        </is>
      </c>
      <c r="H78" s="2" t="inlineStr">
        <is>
          <t xml:space="preserve">room-chat</t>
        </is>
      </c>
      <c r="I78" s="2" t="str">
        <f>INDEX(BE_Tasks!$P$2:$P$53,MATCH("BE-A08",BE_Tasks!$A$2:$A$53,0))</f>
        <v>Chưa làm</v>
      </c>
      <c r="J78" s="3">
        <f>INDEX(BE_Tasks!$X$2:$X$53,MATCH("BE-A08",BE_Tasks!$A$2:$A$53,0))</f>
        <v>0</v>
      </c>
      <c r="K78" s="2" t="inlineStr">
        <is>
          <t xml:space="preserve"/>
        </is>
      </c>
      <c r="L78" s="5" t="inlineStr">
        <is>
          <t xml:space="preserve">Mở API</t>
        </is>
      </c>
      <c r="M78" s="5" t="inlineStr">
        <is>
          <t xml:space="preserve">Mở task</t>
        </is>
      </c>
    </row>
    <row r="79" ht="72" customHeight="1">
      <c r="A79" s="0" t="inlineStr">
        <is>
          <t xml:space="preserve">API-078</t>
        </is>
      </c>
      <c r="B79" s="0" t="inlineStr">
        <is>
          <t xml:space="preserve">GET</t>
        </is>
      </c>
      <c r="C79" s="0" t="inlineStr">
        <is>
          <t xml:space="preserve">/api/v1/conversations/{conversationId}</t>
        </is>
      </c>
      <c r="D79" s="0" t="inlineStr">
        <is>
          <t xml:space="preserve">Chi tiết hội thoại và thành viên</t>
        </is>
      </c>
      <c r="E79" s="6" t="inlineStr">
        <is>
          <t xml:space="preserve">A</t>
        </is>
      </c>
      <c r="F79" s="0" t="inlineStr">
        <is>
          <t xml:space="preserve">BE-A08</t>
        </is>
      </c>
      <c r="G79" s="0" t="inlineStr">
        <is>
          <t xml:space="preserve">P2</t>
        </is>
      </c>
      <c r="H79" s="0" t="inlineStr">
        <is>
          <t xml:space="preserve">room-chat</t>
        </is>
      </c>
      <c r="I79" s="0" t="str">
        <f>INDEX(BE_Tasks!$P$2:$P$53,MATCH("BE-A08",BE_Tasks!$A$2:$A$53,0))</f>
        <v>Chưa làm</v>
      </c>
      <c r="J79" s="3">
        <f>INDEX(BE_Tasks!$X$2:$X$53,MATCH("BE-A08",BE_Tasks!$A$2:$A$53,0))</f>
        <v>0</v>
      </c>
      <c r="K79" s="0" t="inlineStr">
        <is>
          <t xml:space="preserve"/>
        </is>
      </c>
      <c r="L79" s="5" t="inlineStr">
        <is>
          <t xml:space="preserve">Mở API</t>
        </is>
      </c>
      <c r="M79" s="5" t="inlineStr">
        <is>
          <t xml:space="preserve">Mở task</t>
        </is>
      </c>
    </row>
    <row r="80" ht="72" customHeight="1">
      <c r="A80" s="2" t="inlineStr">
        <is>
          <t xml:space="preserve">API-079</t>
        </is>
      </c>
      <c r="B80" s="2" t="inlineStr">
        <is>
          <t xml:space="preserve">GET</t>
        </is>
      </c>
      <c r="C80" s="2" t="inlineStr">
        <is>
          <t xml:space="preserve">/api/v1/conversations/{conversationId}/messages</t>
        </is>
      </c>
      <c r="D80" s="2" t="inlineStr">
        <is>
          <t xml:space="preserve">Lịch sử tin và thẻ chia sẻ</t>
        </is>
      </c>
      <c r="E80" s="6" t="inlineStr">
        <is>
          <t xml:space="preserve">A</t>
        </is>
      </c>
      <c r="F80" s="2" t="inlineStr">
        <is>
          <t xml:space="preserve">BE-A08</t>
        </is>
      </c>
      <c r="G80" s="2" t="inlineStr">
        <is>
          <t xml:space="preserve">P2</t>
        </is>
      </c>
      <c r="H80" s="2" t="inlineStr">
        <is>
          <t xml:space="preserve">room-chat</t>
        </is>
      </c>
      <c r="I80" s="2" t="str">
        <f>INDEX(BE_Tasks!$P$2:$P$53,MATCH("BE-A08",BE_Tasks!$A$2:$A$53,0))</f>
        <v>Chưa làm</v>
      </c>
      <c r="J80" s="3">
        <f>INDEX(BE_Tasks!$X$2:$X$53,MATCH("BE-A08",BE_Tasks!$A$2:$A$53,0))</f>
        <v>0</v>
      </c>
      <c r="K80" s="2" t="inlineStr">
        <is>
          <t xml:space="preserve"/>
        </is>
      </c>
      <c r="L80" s="5" t="inlineStr">
        <is>
          <t xml:space="preserve">Mở API</t>
        </is>
      </c>
      <c r="M80" s="5" t="inlineStr">
        <is>
          <t xml:space="preserve">Mở task</t>
        </is>
      </c>
    </row>
    <row r="81" ht="72" customHeight="1">
      <c r="A81" s="0" t="inlineStr">
        <is>
          <t xml:space="preserve">API-080</t>
        </is>
      </c>
      <c r="B81" s="0" t="inlineStr">
        <is>
          <t xml:space="preserve">POST</t>
        </is>
      </c>
      <c r="C81" s="0" t="inlineStr">
        <is>
          <t xml:space="preserve">/api/v1/conversations/{conversationId}/messages</t>
        </is>
      </c>
      <c r="D81" s="0" t="inlineStr">
        <is>
          <t xml:space="preserve">Gửi tin nhắn chữ/ảnh</t>
        </is>
      </c>
      <c r="E81" s="6" t="inlineStr">
        <is>
          <t xml:space="preserve">A</t>
        </is>
      </c>
      <c r="F81" s="0" t="inlineStr">
        <is>
          <t xml:space="preserve">BE-A08</t>
        </is>
      </c>
      <c r="G81" s="0" t="inlineStr">
        <is>
          <t xml:space="preserve">P2</t>
        </is>
      </c>
      <c r="H81" s="0" t="inlineStr">
        <is>
          <t xml:space="preserve">room-chat</t>
        </is>
      </c>
      <c r="I81" s="0" t="str">
        <f>INDEX(BE_Tasks!$P$2:$P$53,MATCH("BE-A08",BE_Tasks!$A$2:$A$53,0))</f>
        <v>Chưa làm</v>
      </c>
      <c r="J81" s="3">
        <f>INDEX(BE_Tasks!$X$2:$X$53,MATCH("BE-A08",BE_Tasks!$A$2:$A$53,0))</f>
        <v>0</v>
      </c>
      <c r="K81" s="0" t="inlineStr">
        <is>
          <t xml:space="preserve"/>
        </is>
      </c>
      <c r="L81" s="5" t="inlineStr">
        <is>
          <t xml:space="preserve">Mở API</t>
        </is>
      </c>
      <c r="M81" s="5" t="inlineStr">
        <is>
          <t xml:space="preserve">Mở task</t>
        </is>
      </c>
    </row>
    <row r="82" ht="72" customHeight="1">
      <c r="A82" s="2" t="inlineStr">
        <is>
          <t xml:space="preserve">API-081</t>
        </is>
      </c>
      <c r="B82" s="2" t="inlineStr">
        <is>
          <t xml:space="preserve">PUT</t>
        </is>
      </c>
      <c r="C82" s="2" t="inlineStr">
        <is>
          <t xml:space="preserve">/api/v1/conversations/{conversationId}/read-state</t>
        </is>
      </c>
      <c r="D82" s="2" t="inlineStr">
        <is>
          <t xml:space="preserve">Đánh dấu đã đọc đến tin xác định</t>
        </is>
      </c>
      <c r="E82" s="6" t="inlineStr">
        <is>
          <t xml:space="preserve">A</t>
        </is>
      </c>
      <c r="F82" s="2" t="inlineStr">
        <is>
          <t xml:space="preserve">BE-A08</t>
        </is>
      </c>
      <c r="G82" s="2" t="inlineStr">
        <is>
          <t xml:space="preserve">P2</t>
        </is>
      </c>
      <c r="H82" s="2" t="inlineStr">
        <is>
          <t xml:space="preserve">room-chat</t>
        </is>
      </c>
      <c r="I82" s="2" t="str">
        <f>INDEX(BE_Tasks!$P$2:$P$53,MATCH("BE-A08",BE_Tasks!$A$2:$A$53,0))</f>
        <v>Chưa làm</v>
      </c>
      <c r="J82" s="3">
        <f>INDEX(BE_Tasks!$X$2:$X$53,MATCH("BE-A08",BE_Tasks!$A$2:$A$53,0))</f>
        <v>0</v>
      </c>
      <c r="K82" s="2" t="inlineStr">
        <is>
          <t xml:space="preserve"/>
        </is>
      </c>
      <c r="L82" s="5" t="inlineStr">
        <is>
          <t xml:space="preserve">Mở API</t>
        </is>
      </c>
      <c r="M82" s="5" t="inlineStr">
        <is>
          <t xml:space="preserve">Mở task</t>
        </is>
      </c>
    </row>
    <row r="83" ht="72" customHeight="1">
      <c r="A83" s="0" t="inlineStr">
        <is>
          <t xml:space="preserve">API-082</t>
        </is>
      </c>
      <c r="B83" s="0" t="inlineStr">
        <is>
          <t xml:space="preserve">PATCH</t>
        </is>
      </c>
      <c r="C83" s="0" t="inlineStr">
        <is>
          <t xml:space="preserve">/api/v1/conversations/{conversationId}/preferences</t>
        </is>
      </c>
      <c r="D83" s="0" t="inlineStr">
        <is>
          <t xml:space="preserve">Ẩn/lưu trữ/tắt thông báo phía mình</t>
        </is>
      </c>
      <c r="E83" s="6" t="inlineStr">
        <is>
          <t xml:space="preserve">A</t>
        </is>
      </c>
      <c r="F83" s="0" t="inlineStr">
        <is>
          <t xml:space="preserve">BE-A08</t>
        </is>
      </c>
      <c r="G83" s="0" t="inlineStr">
        <is>
          <t xml:space="preserve">P2</t>
        </is>
      </c>
      <c r="H83" s="0" t="inlineStr">
        <is>
          <t xml:space="preserve">room-chat</t>
        </is>
      </c>
      <c r="I83" s="0" t="str">
        <f>INDEX(BE_Tasks!$P$2:$P$53,MATCH("BE-A08",BE_Tasks!$A$2:$A$53,0))</f>
        <v>Chưa làm</v>
      </c>
      <c r="J83" s="3">
        <f>INDEX(BE_Tasks!$X$2:$X$53,MATCH("BE-A08",BE_Tasks!$A$2:$A$53,0))</f>
        <v>0</v>
      </c>
      <c r="K83" s="0" t="inlineStr">
        <is>
          <t xml:space="preserve"/>
        </is>
      </c>
      <c r="L83" s="5" t="inlineStr">
        <is>
          <t xml:space="preserve">Mở API</t>
        </is>
      </c>
      <c r="M83" s="5" t="inlineStr">
        <is>
          <t xml:space="preserve">Mở task</t>
        </is>
      </c>
    </row>
    <row r="84" ht="72" customHeight="1">
      <c r="A84" s="2" t="inlineStr">
        <is>
          <t xml:space="preserve">API-083</t>
        </is>
      </c>
      <c r="B84" s="2" t="inlineStr">
        <is>
          <t xml:space="preserve">GET</t>
        </is>
      </c>
      <c r="C84" s="2" t="inlineStr">
        <is>
          <t xml:space="preserve">/api/v1/conversations/{conversationId}/viewing-timeline</t>
        </is>
      </c>
      <c r="D84" s="2" t="inlineStr">
        <is>
          <t xml:space="preserve">Thẻ lịch và đề nghị trong chat</t>
        </is>
      </c>
      <c r="E84" s="6" t="inlineStr">
        <is>
          <t xml:space="preserve">A</t>
        </is>
      </c>
      <c r="F84" s="2" t="inlineStr">
        <is>
          <t xml:space="preserve">BE-A11</t>
        </is>
      </c>
      <c r="G84" s="2" t="inlineStr">
        <is>
          <t xml:space="preserve">P4</t>
        </is>
      </c>
      <c r="H84" s="2" t="inlineStr">
        <is>
          <t xml:space="preserve">room-chat, propose-viewing, schedule-viewing</t>
        </is>
      </c>
      <c r="I84" s="2" t="str">
        <f>INDEX(BE_Tasks!$P$2:$P$53,MATCH("BE-A11",BE_Tasks!$A$2:$A$53,0))</f>
        <v>Chưa làm</v>
      </c>
      <c r="J84" s="3">
        <f>INDEX(BE_Tasks!$X$2:$X$53,MATCH("BE-A11",BE_Tasks!$A$2:$A$53,0))</f>
        <v>0</v>
      </c>
      <c r="K84" s="2" t="inlineStr">
        <is>
          <t xml:space="preserve"/>
        </is>
      </c>
      <c r="L84" s="5" t="inlineStr">
        <is>
          <t xml:space="preserve">Mở API</t>
        </is>
      </c>
      <c r="M84" s="5" t="inlineStr">
        <is>
          <t xml:space="preserve">Mở task</t>
        </is>
      </c>
    </row>
    <row r="85" ht="72" customHeight="1">
      <c r="A85" s="0" t="inlineStr">
        <is>
          <t xml:space="preserve">API-084</t>
        </is>
      </c>
      <c r="B85" s="0" t="inlineStr">
        <is>
          <t xml:space="preserve">POST</t>
        </is>
      </c>
      <c r="C85" s="0" t="inlineStr">
        <is>
          <t xml:space="preserve">/api/v1/roommate-requests/{requestId}/conversation</t>
        </is>
      </c>
      <c r="D85" s="0" t="inlineStr">
        <is>
          <t xml:space="preserve">Mở lại đúng chat bạn ghép</t>
        </is>
      </c>
      <c r="E85" s="6" t="inlineStr">
        <is>
          <t xml:space="preserve">A</t>
        </is>
      </c>
      <c r="F85" s="0" t="inlineStr">
        <is>
          <t xml:space="preserve">BE-A11</t>
        </is>
      </c>
      <c r="G85" s="0" t="inlineStr">
        <is>
          <t xml:space="preserve">P4</t>
        </is>
      </c>
      <c r="H85" s="0" t="inlineStr">
        <is>
          <t xml:space="preserve">roommate-chat</t>
        </is>
      </c>
      <c r="I85" s="0" t="str">
        <f>INDEX(BE_Tasks!$P$2:$P$53,MATCH("BE-A11",BE_Tasks!$A$2:$A$53,0))</f>
        <v>Chưa làm</v>
      </c>
      <c r="J85" s="3">
        <f>INDEX(BE_Tasks!$X$2:$X$53,MATCH("BE-A11",BE_Tasks!$A$2:$A$53,0))</f>
        <v>0</v>
      </c>
      <c r="K85" s="0" t="inlineStr">
        <is>
          <t xml:space="preserve"/>
        </is>
      </c>
      <c r="L85" s="5" t="inlineStr">
        <is>
          <t xml:space="preserve">Mở API</t>
        </is>
      </c>
      <c r="M85" s="5" t="inlineStr">
        <is>
          <t xml:space="preserve">Mở task</t>
        </is>
      </c>
    </row>
    <row r="86" ht="72" customHeight="1">
      <c r="A86" s="2" t="inlineStr">
        <is>
          <t xml:space="preserve">API-085</t>
        </is>
      </c>
      <c r="B86" s="2" t="inlineStr">
        <is>
          <t xml:space="preserve">POST</t>
        </is>
      </c>
      <c r="C86" s="2" t="inlineStr">
        <is>
          <t xml:space="preserve">/api/v1/conversations/{conversationId}/post-shares</t>
        </is>
      </c>
      <c r="D86" s="2" t="inlineStr">
        <is>
          <t xml:space="preserve">Chia sẻ đúng bài cho bạn ghép</t>
        </is>
      </c>
      <c r="E86" s="6" t="inlineStr">
        <is>
          <t xml:space="preserve">A</t>
        </is>
      </c>
      <c r="F86" s="2" t="inlineStr">
        <is>
          <t xml:space="preserve">BE-A11</t>
        </is>
      </c>
      <c r="G86" s="2" t="inlineStr">
        <is>
          <t xml:space="preserve">P4</t>
        </is>
      </c>
      <c r="H86" s="2" t="inlineStr">
        <is>
          <t xml:space="preserve">share-post</t>
        </is>
      </c>
      <c r="I86" s="2" t="str">
        <f>INDEX(BE_Tasks!$P$2:$P$53,MATCH("BE-A11",BE_Tasks!$A$2:$A$53,0))</f>
        <v>Chưa làm</v>
      </c>
      <c r="J86" s="3">
        <f>INDEX(BE_Tasks!$X$2:$X$53,MATCH("BE-A11",BE_Tasks!$A$2:$A$53,0))</f>
        <v>0</v>
      </c>
      <c r="K86" s="2" t="inlineStr">
        <is>
          <t xml:space="preserve"/>
        </is>
      </c>
      <c r="L86" s="5" t="inlineStr">
        <is>
          <t xml:space="preserve">Mở API</t>
        </is>
      </c>
      <c r="M86" s="5" t="inlineStr">
        <is>
          <t xml:space="preserve">Mở task</t>
        </is>
      </c>
    </row>
    <row r="87" ht="72" customHeight="1">
      <c r="A87" s="0" t="inlineStr">
        <is>
          <t xml:space="preserve">API-086</t>
        </is>
      </c>
      <c r="B87" s="0" t="inlineStr">
        <is>
          <t xml:space="preserve">GET</t>
        </is>
      </c>
      <c r="C87" s="0" t="inlineStr">
        <is>
          <t xml:space="preserve">/api/v1/me/notifications</t>
        </is>
      </c>
      <c r="D87" s="0" t="inlineStr">
        <is>
          <t xml:space="preserve">Feed thông báo của mình</t>
        </is>
      </c>
      <c r="E87" s="6" t="inlineStr">
        <is>
          <t xml:space="preserve">A</t>
        </is>
      </c>
      <c r="F87" s="0" t="inlineStr">
        <is>
          <t xml:space="preserve">BE-A09</t>
        </is>
      </c>
      <c r="G87" s="0" t="inlineStr">
        <is>
          <t xml:space="preserve">P3</t>
        </is>
      </c>
      <c r="H87" s="0" t="inlineStr">
        <is>
          <t xml:space="preserve">notifications</t>
        </is>
      </c>
      <c r="I87" s="0" t="str">
        <f>INDEX(BE_Tasks!$P$2:$P$53,MATCH("BE-A09",BE_Tasks!$A$2:$A$53,0))</f>
        <v>Chưa làm</v>
      </c>
      <c r="J87" s="3">
        <f>INDEX(BE_Tasks!$X$2:$X$53,MATCH("BE-A09",BE_Tasks!$A$2:$A$53,0))</f>
        <v>0</v>
      </c>
      <c r="K87" s="0" t="inlineStr">
        <is>
          <t xml:space="preserve"/>
        </is>
      </c>
      <c r="L87" s="5" t="inlineStr">
        <is>
          <t xml:space="preserve">Mở API</t>
        </is>
      </c>
      <c r="M87" s="5" t="inlineStr">
        <is>
          <t xml:space="preserve">Mở task</t>
        </is>
      </c>
    </row>
    <row r="88" ht="72" customHeight="1">
      <c r="A88" s="2" t="inlineStr">
        <is>
          <t xml:space="preserve">API-087</t>
        </is>
      </c>
      <c r="B88" s="2" t="inlineStr">
        <is>
          <t xml:space="preserve">GET</t>
        </is>
      </c>
      <c r="C88" s="2" t="inlineStr">
        <is>
          <t xml:space="preserve">/api/v1/me/notification-counts</t>
        </is>
      </c>
      <c r="D88" s="2" t="inlineStr">
        <is>
          <t xml:space="preserve">Bộ đếm chưa đọc</t>
        </is>
      </c>
      <c r="E88" s="6" t="inlineStr">
        <is>
          <t xml:space="preserve">A</t>
        </is>
      </c>
      <c r="F88" s="2" t="inlineStr">
        <is>
          <t xml:space="preserve">BE-A09</t>
        </is>
      </c>
      <c r="G88" s="2" t="inlineStr">
        <is>
          <t xml:space="preserve">P3</t>
        </is>
      </c>
      <c r="H88" s="2" t="inlineStr">
        <is>
          <t xml:space="preserve">notifications</t>
        </is>
      </c>
      <c r="I88" s="2" t="str">
        <f>INDEX(BE_Tasks!$P$2:$P$53,MATCH("BE-A09",BE_Tasks!$A$2:$A$53,0))</f>
        <v>Chưa làm</v>
      </c>
      <c r="J88" s="3">
        <f>INDEX(BE_Tasks!$X$2:$X$53,MATCH("BE-A09",BE_Tasks!$A$2:$A$53,0))</f>
        <v>0</v>
      </c>
      <c r="K88" s="2" t="inlineStr">
        <is>
          <t xml:space="preserve"/>
        </is>
      </c>
      <c r="L88" s="5" t="inlineStr">
        <is>
          <t xml:space="preserve">Mở API</t>
        </is>
      </c>
      <c r="M88" s="5" t="inlineStr">
        <is>
          <t xml:space="preserve">Mở task</t>
        </is>
      </c>
    </row>
    <row r="89" ht="72" customHeight="1">
      <c r="A89" s="0" t="inlineStr">
        <is>
          <t xml:space="preserve">API-088</t>
        </is>
      </c>
      <c r="B89" s="0" t="inlineStr">
        <is>
          <t xml:space="preserve">PUT</t>
        </is>
      </c>
      <c r="C89" s="0" t="inlineStr">
        <is>
          <t xml:space="preserve">/api/v1/me/notifications/{notificationId}/read-state</t>
        </is>
      </c>
      <c r="D89" s="0" t="inlineStr">
        <is>
          <t xml:space="preserve">Đánh dấu một thông báo đã đọc</t>
        </is>
      </c>
      <c r="E89" s="6" t="inlineStr">
        <is>
          <t xml:space="preserve">A</t>
        </is>
      </c>
      <c r="F89" s="0" t="inlineStr">
        <is>
          <t xml:space="preserve">BE-A09</t>
        </is>
      </c>
      <c r="G89" s="0" t="inlineStr">
        <is>
          <t xml:space="preserve">P3</t>
        </is>
      </c>
      <c r="H89" s="0" t="inlineStr">
        <is>
          <t xml:space="preserve">notifications</t>
        </is>
      </c>
      <c r="I89" s="0" t="str">
        <f>INDEX(BE_Tasks!$P$2:$P$53,MATCH("BE-A09",BE_Tasks!$A$2:$A$53,0))</f>
        <v>Chưa làm</v>
      </c>
      <c r="J89" s="3">
        <f>INDEX(BE_Tasks!$X$2:$X$53,MATCH("BE-A09",BE_Tasks!$A$2:$A$53,0))</f>
        <v>0</v>
      </c>
      <c r="K89" s="0" t="inlineStr">
        <is>
          <t xml:space="preserve"/>
        </is>
      </c>
      <c r="L89" s="5" t="inlineStr">
        <is>
          <t xml:space="preserve">Mở API</t>
        </is>
      </c>
      <c r="M89" s="5" t="inlineStr">
        <is>
          <t xml:space="preserve">Mở task</t>
        </is>
      </c>
    </row>
    <row r="90" ht="72" customHeight="1">
      <c r="A90" s="2" t="inlineStr">
        <is>
          <t xml:space="preserve">API-089</t>
        </is>
      </c>
      <c r="B90" s="2" t="inlineStr">
        <is>
          <t xml:space="preserve">POST</t>
        </is>
      </c>
      <c r="C90" s="2" t="inlineStr">
        <is>
          <t xml:space="preserve">/api/v1/me/notifications/read-all</t>
        </is>
      </c>
      <c r="D90" s="2" t="inlineStr">
        <is>
          <t xml:space="preserve">Đọc tất cả đến mốc xác định</t>
        </is>
      </c>
      <c r="E90" s="6" t="inlineStr">
        <is>
          <t xml:space="preserve">A</t>
        </is>
      </c>
      <c r="F90" s="2" t="inlineStr">
        <is>
          <t xml:space="preserve">BE-A09</t>
        </is>
      </c>
      <c r="G90" s="2" t="inlineStr">
        <is>
          <t xml:space="preserve">P3</t>
        </is>
      </c>
      <c r="H90" s="2" t="inlineStr">
        <is>
          <t xml:space="preserve">notifications</t>
        </is>
      </c>
      <c r="I90" s="2" t="str">
        <f>INDEX(BE_Tasks!$P$2:$P$53,MATCH("BE-A09",BE_Tasks!$A$2:$A$53,0))</f>
        <v>Chưa làm</v>
      </c>
      <c r="J90" s="3">
        <f>INDEX(BE_Tasks!$X$2:$X$53,MATCH("BE-A09",BE_Tasks!$A$2:$A$53,0))</f>
        <v>0</v>
      </c>
      <c r="K90" s="2" t="inlineStr">
        <is>
          <t xml:space="preserve"/>
        </is>
      </c>
      <c r="L90" s="5" t="inlineStr">
        <is>
          <t xml:space="preserve">Mở API</t>
        </is>
      </c>
      <c r="M90" s="5" t="inlineStr">
        <is>
          <t xml:space="preserve">Mở task</t>
        </is>
      </c>
    </row>
    <row r="91" ht="72" customHeight="1">
      <c r="A91" s="0" t="inlineStr">
        <is>
          <t xml:space="preserve">API-090</t>
        </is>
      </c>
      <c r="B91" s="0" t="inlineStr">
        <is>
          <t xml:space="preserve">GET</t>
        </is>
      </c>
      <c r="C91" s="0" t="inlineStr">
        <is>
          <t xml:space="preserve">/api/v1/events</t>
        </is>
      </c>
      <c r="D91" s="0" t="inlineStr">
        <is>
          <t xml:space="preserve">Kênh sự kiện SSE có xác thực</t>
        </is>
      </c>
      <c r="E91" s="6" t="inlineStr">
        <is>
          <t xml:space="preserve">A</t>
        </is>
      </c>
      <c r="F91" s="0" t="inlineStr">
        <is>
          <t xml:space="preserve">BE-A14</t>
        </is>
      </c>
      <c r="G91" s="0" t="inlineStr">
        <is>
          <t xml:space="preserve">P5</t>
        </is>
      </c>
      <c r="H91" s="0" t="inlineStr">
        <is>
          <t xml:space="preserve">notifications</t>
        </is>
      </c>
      <c r="I91" s="0" t="str">
        <f>INDEX(BE_Tasks!$P$2:$P$53,MATCH("BE-A14",BE_Tasks!$A$2:$A$53,0))</f>
        <v>Chưa làm</v>
      </c>
      <c r="J91" s="3">
        <f>INDEX(BE_Tasks!$X$2:$X$53,MATCH("BE-A14",BE_Tasks!$A$2:$A$53,0))</f>
        <v>0</v>
      </c>
      <c r="K91" s="0" t="inlineStr">
        <is>
          <t xml:space="preserve">D09</t>
        </is>
      </c>
      <c r="L91" s="5" t="inlineStr">
        <is>
          <t xml:space="preserve">Mở API</t>
        </is>
      </c>
      <c r="M91" s="5" t="inlineStr">
        <is>
          <t xml:space="preserve">Mở task</t>
        </is>
      </c>
    </row>
    <row r="92" ht="72" customHeight="1">
      <c r="A92" s="2" t="inlineStr">
        <is>
          <t xml:space="preserve">API-091</t>
        </is>
      </c>
      <c r="B92" s="2" t="inlineStr">
        <is>
          <t xml:space="preserve">GET</t>
        </is>
      </c>
      <c r="C92" s="2" t="inlineStr">
        <is>
          <t xml:space="preserve">/api/v1/viewing-proposals</t>
        </is>
      </c>
      <c r="D92" s="2" t="inlineStr">
        <is>
          <t xml:space="preserve">Danh sách đề nghị đúng các bên</t>
        </is>
      </c>
      <c r="E92" s="7" t="inlineStr">
        <is>
          <t xml:space="preserve">B</t>
        </is>
      </c>
      <c r="F92" s="2" t="inlineStr">
        <is>
          <t xml:space="preserve">BE-B08</t>
        </is>
      </c>
      <c r="G92" s="2" t="inlineStr">
        <is>
          <t xml:space="preserve">P3</t>
        </is>
      </c>
      <c r="H92" s="2" t="inlineStr">
        <is>
          <t xml:space="preserve">propose-viewing</t>
        </is>
      </c>
      <c r="I92" s="2" t="str">
        <f>INDEX(BE_Tasks!$P$2:$P$53,MATCH("BE-B08",BE_Tasks!$A$2:$A$53,0))</f>
        <v>Chưa làm</v>
      </c>
      <c r="J92" s="3">
        <f>INDEX(BE_Tasks!$X$2:$X$53,MATCH("BE-B08",BE_Tasks!$A$2:$A$53,0))</f>
        <v>0</v>
      </c>
      <c r="K92" s="2" t="inlineStr">
        <is>
          <t xml:space="preserve"/>
        </is>
      </c>
      <c r="L92" s="5" t="inlineStr">
        <is>
          <t xml:space="preserve">Mở API</t>
        </is>
      </c>
      <c r="M92" s="5" t="inlineStr">
        <is>
          <t xml:space="preserve">Mở task</t>
        </is>
      </c>
    </row>
    <row r="93" ht="72" customHeight="1">
      <c r="A93" s="0" t="inlineStr">
        <is>
          <t xml:space="preserve">API-092</t>
        </is>
      </c>
      <c r="B93" s="0" t="inlineStr">
        <is>
          <t xml:space="preserve">POST</t>
        </is>
      </c>
      <c r="C93" s="0" t="inlineStr">
        <is>
          <t xml:space="preserve">/api/v1/viewing-proposals</t>
        </is>
      </c>
      <c r="D93" s="0" t="inlineStr">
        <is>
          <t xml:space="preserve">Người thuê gửi đề nghị lịch xem</t>
        </is>
      </c>
      <c r="E93" s="7" t="inlineStr">
        <is>
          <t xml:space="preserve">B</t>
        </is>
      </c>
      <c r="F93" s="0" t="inlineStr">
        <is>
          <t xml:space="preserve">BE-B08</t>
        </is>
      </c>
      <c r="G93" s="0" t="inlineStr">
        <is>
          <t xml:space="preserve">P3</t>
        </is>
      </c>
      <c r="H93" s="0" t="inlineStr">
        <is>
          <t xml:space="preserve">propose-viewing</t>
        </is>
      </c>
      <c r="I93" s="0" t="str">
        <f>INDEX(BE_Tasks!$P$2:$P$53,MATCH("BE-B08",BE_Tasks!$A$2:$A$53,0))</f>
        <v>Chưa làm</v>
      </c>
      <c r="J93" s="3">
        <f>INDEX(BE_Tasks!$X$2:$X$53,MATCH("BE-B08",BE_Tasks!$A$2:$A$53,0))</f>
        <v>0</v>
      </c>
      <c r="K93" s="0" t="inlineStr">
        <is>
          <t xml:space="preserve"/>
        </is>
      </c>
      <c r="L93" s="5" t="inlineStr">
        <is>
          <t xml:space="preserve">Mở API</t>
        </is>
      </c>
      <c r="M93" s="5" t="inlineStr">
        <is>
          <t xml:space="preserve">Mở task</t>
        </is>
      </c>
    </row>
    <row r="94" ht="72" customHeight="1">
      <c r="A94" s="2" t="inlineStr">
        <is>
          <t xml:space="preserve">API-093</t>
        </is>
      </c>
      <c r="B94" s="2" t="inlineStr">
        <is>
          <t xml:space="preserve">POST</t>
        </is>
      </c>
      <c r="C94" s="2" t="inlineStr">
        <is>
          <t xml:space="preserve">/api/v1/viewing-proposals/{proposalId}/decision</t>
        </is>
      </c>
      <c r="D94" s="2" t="inlineStr">
        <is>
          <t xml:space="preserve">Chủ trọ chấp nhận/từ chối đề nghị</t>
        </is>
      </c>
      <c r="E94" s="7" t="inlineStr">
        <is>
          <t xml:space="preserve">B</t>
        </is>
      </c>
      <c r="F94" s="2" t="inlineStr">
        <is>
          <t xml:space="preserve">BE-B08</t>
        </is>
      </c>
      <c r="G94" s="2" t="inlineStr">
        <is>
          <t xml:space="preserve">P3</t>
        </is>
      </c>
      <c r="H94" s="2" t="inlineStr">
        <is>
          <t xml:space="preserve">propose-viewing</t>
        </is>
      </c>
      <c r="I94" s="2" t="str">
        <f>INDEX(BE_Tasks!$P$2:$P$53,MATCH("BE-B08",BE_Tasks!$A$2:$A$53,0))</f>
        <v>Chưa làm</v>
      </c>
      <c r="J94" s="3">
        <f>INDEX(BE_Tasks!$X$2:$X$53,MATCH("BE-B08",BE_Tasks!$A$2:$A$53,0))</f>
        <v>0</v>
      </c>
      <c r="K94" s="2" t="inlineStr">
        <is>
          <t xml:space="preserve"/>
        </is>
      </c>
      <c r="L94" s="5" t="inlineStr">
        <is>
          <t xml:space="preserve">Mở API</t>
        </is>
      </c>
      <c r="M94" s="5" t="inlineStr">
        <is>
          <t xml:space="preserve">Mở task</t>
        </is>
      </c>
    </row>
    <row r="95" ht="72" customHeight="1">
      <c r="A95" s="0" t="inlineStr">
        <is>
          <t xml:space="preserve">API-094</t>
        </is>
      </c>
      <c r="B95" s="0" t="inlineStr">
        <is>
          <t xml:space="preserve">POST</t>
        </is>
      </c>
      <c r="C95" s="0" t="inlineStr">
        <is>
          <t xml:space="preserve">/api/v1/viewing-proposals/{proposalId}/withdraw</t>
        </is>
      </c>
      <c r="D95" s="0" t="inlineStr">
        <is>
          <t xml:space="preserve">Rút đề nghị của mình</t>
        </is>
      </c>
      <c r="E95" s="7" t="inlineStr">
        <is>
          <t xml:space="preserve">B</t>
        </is>
      </c>
      <c r="F95" s="0" t="inlineStr">
        <is>
          <t xml:space="preserve">BE-B08</t>
        </is>
      </c>
      <c r="G95" s="0" t="inlineStr">
        <is>
          <t xml:space="preserve">P3</t>
        </is>
      </c>
      <c r="H95" s="0" t="inlineStr">
        <is>
          <t xml:space="preserve">propose-viewing</t>
        </is>
      </c>
      <c r="I95" s="0" t="str">
        <f>INDEX(BE_Tasks!$P$2:$P$53,MATCH("BE-B08",BE_Tasks!$A$2:$A$53,0))</f>
        <v>Chưa làm</v>
      </c>
      <c r="J95" s="3">
        <f>INDEX(BE_Tasks!$X$2:$X$53,MATCH("BE-B08",BE_Tasks!$A$2:$A$53,0))</f>
        <v>0</v>
      </c>
      <c r="K95" s="0" t="inlineStr">
        <is>
          <t xml:space="preserve"/>
        </is>
      </c>
      <c r="L95" s="5" t="inlineStr">
        <is>
          <t xml:space="preserve">Mở API</t>
        </is>
      </c>
      <c r="M95" s="5" t="inlineStr">
        <is>
          <t xml:space="preserve">Mở task</t>
        </is>
      </c>
    </row>
    <row r="96" ht="72" customHeight="1">
      <c r="A96" s="2" t="inlineStr">
        <is>
          <t xml:space="preserve">API-095</t>
        </is>
      </c>
      <c r="B96" s="2" t="inlineStr">
        <is>
          <t xml:space="preserve">GET</t>
        </is>
      </c>
      <c r="C96" s="2" t="inlineStr">
        <is>
          <t xml:space="preserve">/api/v1/viewings</t>
        </is>
      </c>
      <c r="D96" s="2" t="inlineStr">
        <is>
          <t xml:space="preserve">Danh sách lịch đã chốt</t>
        </is>
      </c>
      <c r="E96" s="7" t="inlineStr">
        <is>
          <t xml:space="preserve">B</t>
        </is>
      </c>
      <c r="F96" s="2" t="inlineStr">
        <is>
          <t xml:space="preserve">BE-B09</t>
        </is>
      </c>
      <c r="G96" s="2" t="inlineStr">
        <is>
          <t xml:space="preserve">P3</t>
        </is>
      </c>
      <c r="H96" s="2" t="inlineStr">
        <is>
          <t xml:space="preserve">schedule-viewing</t>
        </is>
      </c>
      <c r="I96" s="2" t="str">
        <f>INDEX(BE_Tasks!$P$2:$P$53,MATCH("BE-B09",BE_Tasks!$A$2:$A$53,0))</f>
        <v>Chưa làm</v>
      </c>
      <c r="J96" s="3">
        <f>INDEX(BE_Tasks!$X$2:$X$53,MATCH("BE-B09",BE_Tasks!$A$2:$A$53,0))</f>
        <v>0</v>
      </c>
      <c r="K96" s="2" t="inlineStr">
        <is>
          <t xml:space="preserve"/>
        </is>
      </c>
      <c r="L96" s="5" t="inlineStr">
        <is>
          <t xml:space="preserve">Mở API</t>
        </is>
      </c>
      <c r="M96" s="5" t="inlineStr">
        <is>
          <t xml:space="preserve">Mở task</t>
        </is>
      </c>
    </row>
    <row r="97" ht="72" customHeight="1">
      <c r="A97" s="0" t="inlineStr">
        <is>
          <t xml:space="preserve">API-096</t>
        </is>
      </c>
      <c r="B97" s="0" t="inlineStr">
        <is>
          <t xml:space="preserve">GET</t>
        </is>
      </c>
      <c r="C97" s="0" t="inlineStr">
        <is>
          <t xml:space="preserve">/api/v1/viewings/{viewingId}</t>
        </is>
      </c>
      <c r="D97" s="0" t="inlineStr">
        <is>
          <t xml:space="preserve">Chi tiết lịch xem</t>
        </is>
      </c>
      <c r="E97" s="7" t="inlineStr">
        <is>
          <t xml:space="preserve">B</t>
        </is>
      </c>
      <c r="F97" s="0" t="inlineStr">
        <is>
          <t xml:space="preserve">BE-B09</t>
        </is>
      </c>
      <c r="G97" s="0" t="inlineStr">
        <is>
          <t xml:space="preserve">P3</t>
        </is>
      </c>
      <c r="H97" s="0" t="inlineStr">
        <is>
          <t xml:space="preserve">schedule-viewing</t>
        </is>
      </c>
      <c r="I97" s="0" t="str">
        <f>INDEX(BE_Tasks!$P$2:$P$53,MATCH("BE-B09",BE_Tasks!$A$2:$A$53,0))</f>
        <v>Chưa làm</v>
      </c>
      <c r="J97" s="3">
        <f>INDEX(BE_Tasks!$X$2:$X$53,MATCH("BE-B09",BE_Tasks!$A$2:$A$53,0))</f>
        <v>0</v>
      </c>
      <c r="K97" s="0" t="inlineStr">
        <is>
          <t xml:space="preserve"/>
        </is>
      </c>
      <c r="L97" s="5" t="inlineStr">
        <is>
          <t xml:space="preserve">Mở API</t>
        </is>
      </c>
      <c r="M97" s="5" t="inlineStr">
        <is>
          <t xml:space="preserve">Mở task</t>
        </is>
      </c>
    </row>
    <row r="98" ht="72" customHeight="1">
      <c r="A98" s="2" t="inlineStr">
        <is>
          <t xml:space="preserve">API-097</t>
        </is>
      </c>
      <c r="B98" s="2" t="inlineStr">
        <is>
          <t xml:space="preserve">POST</t>
        </is>
      </c>
      <c r="C98" s="2" t="inlineStr">
        <is>
          <t xml:space="preserve">/api/v1/viewings</t>
        </is>
      </c>
      <c r="D98" s="2" t="inlineStr">
        <is>
          <t xml:space="preserve">Chủ trọ tự chốt lịch sau trao đổi</t>
        </is>
      </c>
      <c r="E98" s="7" t="inlineStr">
        <is>
          <t xml:space="preserve">B</t>
        </is>
      </c>
      <c r="F98" s="2" t="inlineStr">
        <is>
          <t xml:space="preserve">BE-B09</t>
        </is>
      </c>
      <c r="G98" s="2" t="inlineStr">
        <is>
          <t xml:space="preserve">P3</t>
        </is>
      </c>
      <c r="H98" s="2" t="inlineStr">
        <is>
          <t xml:space="preserve">schedule-viewing</t>
        </is>
      </c>
      <c r="I98" s="2" t="str">
        <f>INDEX(BE_Tasks!$P$2:$P$53,MATCH("BE-B09",BE_Tasks!$A$2:$A$53,0))</f>
        <v>Chưa làm</v>
      </c>
      <c r="J98" s="3">
        <f>INDEX(BE_Tasks!$X$2:$X$53,MATCH("BE-B09",BE_Tasks!$A$2:$A$53,0))</f>
        <v>0</v>
      </c>
      <c r="K98" s="2" t="inlineStr">
        <is>
          <t xml:space="preserve"/>
        </is>
      </c>
      <c r="L98" s="5" t="inlineStr">
        <is>
          <t xml:space="preserve">Mở API</t>
        </is>
      </c>
      <c r="M98" s="5" t="inlineStr">
        <is>
          <t xml:space="preserve">Mở task</t>
        </is>
      </c>
    </row>
    <row r="99" ht="72" customHeight="1">
      <c r="A99" s="0" t="inlineStr">
        <is>
          <t xml:space="preserve">API-098</t>
        </is>
      </c>
      <c r="B99" s="0" t="inlineStr">
        <is>
          <t xml:space="preserve">POST</t>
        </is>
      </c>
      <c r="C99" s="0" t="inlineStr">
        <is>
          <t xml:space="preserve">/api/v1/viewings/{viewingId}/attendance</t>
        </is>
      </c>
      <c r="D99" s="0" t="inlineStr">
        <is>
          <t xml:space="preserve">Chủ trọ ghi nhận đã xem hoặc không đến</t>
        </is>
      </c>
      <c r="E99" s="7" t="inlineStr">
        <is>
          <t xml:space="preserve">B</t>
        </is>
      </c>
      <c r="F99" s="0" t="inlineStr">
        <is>
          <t xml:space="preserve">BE-B09</t>
        </is>
      </c>
      <c r="G99" s="0" t="inlineStr">
        <is>
          <t xml:space="preserve">P3</t>
        </is>
      </c>
      <c r="H99" s="0" t="inlineStr">
        <is>
          <t xml:space="preserve">viewing-outcome</t>
        </is>
      </c>
      <c r="I99" s="0" t="str">
        <f>INDEX(BE_Tasks!$P$2:$P$53,MATCH("BE-B09",BE_Tasks!$A$2:$A$53,0))</f>
        <v>Chưa làm</v>
      </c>
      <c r="J99" s="3">
        <f>INDEX(BE_Tasks!$X$2:$X$53,MATCH("BE-B09",BE_Tasks!$A$2:$A$53,0))</f>
        <v>0</v>
      </c>
      <c r="K99" s="0" t="inlineStr">
        <is>
          <t xml:space="preserve"/>
        </is>
      </c>
      <c r="L99" s="5" t="inlineStr">
        <is>
          <t xml:space="preserve">Mở API</t>
        </is>
      </c>
      <c r="M99" s="5" t="inlineStr">
        <is>
          <t xml:space="preserve">Mở task</t>
        </is>
      </c>
    </row>
    <row r="100" ht="72" customHeight="1">
      <c r="A100" s="2" t="inlineStr">
        <is>
          <t xml:space="preserve">API-099</t>
        </is>
      </c>
      <c r="B100" s="2" t="inlineStr">
        <is>
          <t xml:space="preserve">POST</t>
        </is>
      </c>
      <c r="C100" s="2" t="inlineStr">
        <is>
          <t xml:space="preserve">/api/v1/viewings/{viewingId}/cancel</t>
        </is>
      </c>
      <c r="D100" s="2" t="inlineStr">
        <is>
          <t xml:space="preserve">Hai bên hủy lịch đang hẹn</t>
        </is>
      </c>
      <c r="E100" s="7" t="inlineStr">
        <is>
          <t xml:space="preserve">B</t>
        </is>
      </c>
      <c r="F100" s="2" t="inlineStr">
        <is>
          <t xml:space="preserve">BE-B09</t>
        </is>
      </c>
      <c r="G100" s="2" t="inlineStr">
        <is>
          <t xml:space="preserve">P3</t>
        </is>
      </c>
      <c r="H100" s="2" t="inlineStr">
        <is>
          <t xml:space="preserve">viewing-outcome</t>
        </is>
      </c>
      <c r="I100" s="2" t="str">
        <f>INDEX(BE_Tasks!$P$2:$P$53,MATCH("BE-B09",BE_Tasks!$A$2:$A$53,0))</f>
        <v>Chưa làm</v>
      </c>
      <c r="J100" s="3">
        <f>INDEX(BE_Tasks!$X$2:$X$53,MATCH("BE-B09",BE_Tasks!$A$2:$A$53,0))</f>
        <v>0</v>
      </c>
      <c r="K100" s="2" t="inlineStr">
        <is>
          <t xml:space="preserve"/>
        </is>
      </c>
      <c r="L100" s="5" t="inlineStr">
        <is>
          <t xml:space="preserve">Mở API</t>
        </is>
      </c>
      <c r="M100" s="5" t="inlineStr">
        <is>
          <t xml:space="preserve">Mở task</t>
        </is>
      </c>
    </row>
    <row r="101" ht="72" customHeight="1">
      <c r="A101" s="0" t="inlineStr">
        <is>
          <t xml:space="preserve">API-100</t>
        </is>
      </c>
      <c r="B101" s="0" t="inlineStr">
        <is>
          <t xml:space="preserve">POST</t>
        </is>
      </c>
      <c r="C101" s="0" t="inlineStr">
        <is>
          <t xml:space="preserve">/api/v1/viewings/{viewingId}/rental-decision</t>
        </is>
      </c>
      <c r="D101" s="0" t="inlineStr">
        <is>
          <t xml:space="preserve">Người thuê quyết định sau khi xem</t>
        </is>
      </c>
      <c r="E101" s="7" t="inlineStr">
        <is>
          <t xml:space="preserve">B</t>
        </is>
      </c>
      <c r="F101" s="0" t="inlineStr">
        <is>
          <t xml:space="preserve">BE-B09</t>
        </is>
      </c>
      <c r="G101" s="0" t="inlineStr">
        <is>
          <t xml:space="preserve">P3</t>
        </is>
      </c>
      <c r="H101" s="0" t="inlineStr">
        <is>
          <t xml:space="preserve">viewing-outcome</t>
        </is>
      </c>
      <c r="I101" s="0" t="str">
        <f>INDEX(BE_Tasks!$P$2:$P$53,MATCH("BE-B09",BE_Tasks!$A$2:$A$53,0))</f>
        <v>Chưa làm</v>
      </c>
      <c r="J101" s="3">
        <f>INDEX(BE_Tasks!$X$2:$X$53,MATCH("BE-B09",BE_Tasks!$A$2:$A$53,0))</f>
        <v>0</v>
      </c>
      <c r="K101" s="0" t="inlineStr">
        <is>
          <t xml:space="preserve"/>
        </is>
      </c>
      <c r="L101" s="5" t="inlineStr">
        <is>
          <t xml:space="preserve">Mở API</t>
        </is>
      </c>
      <c r="M101" s="5" t="inlineStr">
        <is>
          <t xml:space="preserve">Mở task</t>
        </is>
      </c>
    </row>
    <row r="102" ht="72" customHeight="1">
      <c r="A102" s="2" t="inlineStr">
        <is>
          <t xml:space="preserve">API-101</t>
        </is>
      </c>
      <c r="B102" s="2" t="inlineStr">
        <is>
          <t xml:space="preserve">GET</t>
        </is>
      </c>
      <c r="C102" s="2" t="inlineStr">
        <is>
          <t xml:space="preserve">/api/v1/contracts</t>
        </is>
      </c>
      <c r="D102" s="2" t="inlineStr">
        <is>
          <t xml:space="preserve">Danh sách hợp đồng được quyền xem</t>
        </is>
      </c>
      <c r="E102" s="8" t="inlineStr">
        <is>
          <t xml:space="preserve">C</t>
        </is>
      </c>
      <c r="F102" s="2" t="inlineStr">
        <is>
          <t xml:space="preserve">BE-C02</t>
        </is>
      </c>
      <c r="G102" s="2" t="inlineStr">
        <is>
          <t xml:space="preserve">P1</t>
        </is>
      </c>
      <c r="H102" s="2" t="inlineStr">
        <is>
          <t xml:space="preserve">create-contract</t>
        </is>
      </c>
      <c r="I102" s="2" t="str">
        <f>INDEX(BE_Tasks!$P$2:$P$53,MATCH("BE-C02",BE_Tasks!$A$2:$A$53,0))</f>
        <v>Chưa làm</v>
      </c>
      <c r="J102" s="3">
        <f>INDEX(BE_Tasks!$X$2:$X$53,MATCH("BE-C02",BE_Tasks!$A$2:$A$53,0))</f>
        <v>0</v>
      </c>
      <c r="K102" s="2" t="inlineStr">
        <is>
          <t xml:space="preserve"/>
        </is>
      </c>
      <c r="L102" s="5" t="inlineStr">
        <is>
          <t xml:space="preserve">Mở API</t>
        </is>
      </c>
      <c r="M102" s="5" t="inlineStr">
        <is>
          <t xml:space="preserve">Mở task</t>
        </is>
      </c>
    </row>
    <row r="103" ht="72" customHeight="1">
      <c r="A103" s="0" t="inlineStr">
        <is>
          <t xml:space="preserve">API-102</t>
        </is>
      </c>
      <c r="B103" s="0" t="inlineStr">
        <is>
          <t xml:space="preserve">GET</t>
        </is>
      </c>
      <c r="C103" s="0" t="inlineStr">
        <is>
          <t xml:space="preserve">/api/v1/contracts/{contractId}</t>
        </is>
      </c>
      <c r="D103" s="0" t="inlineStr">
        <is>
          <t xml:space="preserve">Chi tiết hợp đồng và quyền thao tác</t>
        </is>
      </c>
      <c r="E103" s="8" t="inlineStr">
        <is>
          <t xml:space="preserve">C</t>
        </is>
      </c>
      <c r="F103" s="0" t="inlineStr">
        <is>
          <t xml:space="preserve">BE-C02</t>
        </is>
      </c>
      <c r="G103" s="0" t="inlineStr">
        <is>
          <t xml:space="preserve">P1</t>
        </is>
      </c>
      <c r="H103" s="0" t="inlineStr">
        <is>
          <t xml:space="preserve">create-contract</t>
        </is>
      </c>
      <c r="I103" s="0" t="str">
        <f>INDEX(BE_Tasks!$P$2:$P$53,MATCH("BE-C02",BE_Tasks!$A$2:$A$53,0))</f>
        <v>Chưa làm</v>
      </c>
      <c r="J103" s="3">
        <f>INDEX(BE_Tasks!$X$2:$X$53,MATCH("BE-C02",BE_Tasks!$A$2:$A$53,0))</f>
        <v>0</v>
      </c>
      <c r="K103" s="0" t="inlineStr">
        <is>
          <t xml:space="preserve"/>
        </is>
      </c>
      <c r="L103" s="5" t="inlineStr">
        <is>
          <t xml:space="preserve">Mở API</t>
        </is>
      </c>
      <c r="M103" s="5" t="inlineStr">
        <is>
          <t xml:space="preserve">Mở task</t>
        </is>
      </c>
    </row>
    <row r="104" ht="72" customHeight="1">
      <c r="A104" s="2" t="inlineStr">
        <is>
          <t xml:space="preserve">API-103</t>
        </is>
      </c>
      <c r="B104" s="2" t="inlineStr">
        <is>
          <t xml:space="preserve">POST</t>
        </is>
      </c>
      <c r="C104" s="2" t="inlineStr">
        <is>
          <t xml:space="preserve">/api/v1/contracts</t>
        </is>
      </c>
      <c r="D104" s="2" t="inlineStr">
        <is>
          <t xml:space="preserve">Gửi hợp đồng thuê mới và giữ phòng</t>
        </is>
      </c>
      <c r="E104" s="8" t="inlineStr">
        <is>
          <t xml:space="preserve">C</t>
        </is>
      </c>
      <c r="F104" s="2" t="inlineStr">
        <is>
          <t xml:space="preserve">BE-C05</t>
        </is>
      </c>
      <c r="G104" s="2" t="inlineStr">
        <is>
          <t xml:space="preserve">P3</t>
        </is>
      </c>
      <c r="H104" s="2" t="inlineStr">
        <is>
          <t xml:space="preserve">create-contract, reserve-cleanup</t>
        </is>
      </c>
      <c r="I104" s="2" t="str">
        <f>INDEX(BE_Tasks!$P$2:$P$53,MATCH("BE-C05",BE_Tasks!$A$2:$A$53,0))</f>
        <v>Chưa làm</v>
      </c>
      <c r="J104" s="3">
        <f>INDEX(BE_Tasks!$X$2:$X$53,MATCH("BE-C05",BE_Tasks!$A$2:$A$53,0))</f>
        <v>0</v>
      </c>
      <c r="K104" s="2" t="inlineStr">
        <is>
          <t xml:space="preserve"/>
        </is>
      </c>
      <c r="L104" s="5" t="inlineStr">
        <is>
          <t xml:space="preserve">Mở API</t>
        </is>
      </c>
      <c r="M104" s="5" t="inlineStr">
        <is>
          <t xml:space="preserve">Mở task</t>
        </is>
      </c>
    </row>
    <row r="105" ht="72" customHeight="1">
      <c r="A105" s="0" t="inlineStr">
        <is>
          <t xml:space="preserve">API-104</t>
        </is>
      </c>
      <c r="B105" s="0" t="inlineStr">
        <is>
          <t xml:space="preserve">GET</t>
        </is>
      </c>
      <c r="C105" s="0" t="inlineStr">
        <is>
          <t xml:space="preserve">/api/v1/viewings/{viewingId}/contract-impact</t>
        </is>
      </c>
      <c r="D105" s="0" t="inlineStr">
        <is>
          <t xml:space="preserve">Dự kiến lịch/đề nghị bị đóng khi gửi hợp đồng</t>
        </is>
      </c>
      <c r="E105" s="8" t="inlineStr">
        <is>
          <t xml:space="preserve">C</t>
        </is>
      </c>
      <c r="F105" s="0" t="inlineStr">
        <is>
          <t xml:space="preserve">BE-C05</t>
        </is>
      </c>
      <c r="G105" s="0" t="inlineStr">
        <is>
          <t xml:space="preserve">P3</t>
        </is>
      </c>
      <c r="H105" s="0" t="inlineStr">
        <is>
          <t xml:space="preserve">reserve-cleanup</t>
        </is>
      </c>
      <c r="I105" s="0" t="str">
        <f>INDEX(BE_Tasks!$P$2:$P$53,MATCH("BE-C05",BE_Tasks!$A$2:$A$53,0))</f>
        <v>Chưa làm</v>
      </c>
      <c r="J105" s="3">
        <f>INDEX(BE_Tasks!$X$2:$X$53,MATCH("BE-C05",BE_Tasks!$A$2:$A$53,0))</f>
        <v>0</v>
      </c>
      <c r="K105" s="0" t="inlineStr">
        <is>
          <t xml:space="preserve"/>
        </is>
      </c>
      <c r="L105" s="5" t="inlineStr">
        <is>
          <t xml:space="preserve">Mở API</t>
        </is>
      </c>
      <c r="M105" s="5" t="inlineStr">
        <is>
          <t xml:space="preserve">Mở task</t>
        </is>
      </c>
    </row>
    <row r="106" ht="72" customHeight="1">
      <c r="A106" s="2" t="inlineStr">
        <is>
          <t xml:space="preserve">API-105</t>
        </is>
      </c>
      <c r="B106" s="2" t="inlineStr">
        <is>
          <t xml:space="preserve">GET</t>
        </is>
      </c>
      <c r="C106" s="2" t="inlineStr">
        <is>
          <t xml:space="preserve">/api/v1/contracts/{contractId}/revisions</t>
        </is>
      </c>
      <c r="D106" s="2" t="inlineStr">
        <is>
          <t xml:space="preserve">Lịch sử phiên bản hợp đồng</t>
        </is>
      </c>
      <c r="E106" s="8" t="inlineStr">
        <is>
          <t xml:space="preserve">C</t>
        </is>
      </c>
      <c r="F106" s="2" t="inlineStr">
        <is>
          <t xml:space="preserve">BE-C02</t>
        </is>
      </c>
      <c r="G106" s="2" t="inlineStr">
        <is>
          <t xml:space="preserve">P1</t>
        </is>
      </c>
      <c r="H106" s="2" t="inlineStr">
        <is>
          <t xml:space="preserve">contract-revision</t>
        </is>
      </c>
      <c r="I106" s="2" t="str">
        <f>INDEX(BE_Tasks!$P$2:$P$53,MATCH("BE-C02",BE_Tasks!$A$2:$A$53,0))</f>
        <v>Chưa làm</v>
      </c>
      <c r="J106" s="3">
        <f>INDEX(BE_Tasks!$X$2:$X$53,MATCH("BE-C02",BE_Tasks!$A$2:$A$53,0))</f>
        <v>0</v>
      </c>
      <c r="K106" s="2" t="inlineStr">
        <is>
          <t xml:space="preserve"/>
        </is>
      </c>
      <c r="L106" s="5" t="inlineStr">
        <is>
          <t xml:space="preserve">Mở API</t>
        </is>
      </c>
      <c r="M106" s="5" t="inlineStr">
        <is>
          <t xml:space="preserve">Mở task</t>
        </is>
      </c>
    </row>
    <row r="107" ht="72" customHeight="1">
      <c r="A107" s="0" t="inlineStr">
        <is>
          <t xml:space="preserve">API-106</t>
        </is>
      </c>
      <c r="B107" s="0" t="inlineStr">
        <is>
          <t xml:space="preserve">POST</t>
        </is>
      </c>
      <c r="C107" s="0" t="inlineStr">
        <is>
          <t xml:space="preserve">/api/v1/contracts/{contractId}/revision-requests</t>
        </is>
      </c>
      <c r="D107" s="0" t="inlineStr">
        <is>
          <t xml:space="preserve">Đại diện yêu cầu sửa bản đang chờ</t>
        </is>
      </c>
      <c r="E107" s="8" t="inlineStr">
        <is>
          <t xml:space="preserve">C</t>
        </is>
      </c>
      <c r="F107" s="0" t="inlineStr">
        <is>
          <t xml:space="preserve">BE-C06</t>
        </is>
      </c>
      <c r="G107" s="0" t="inlineStr">
        <is>
          <t xml:space="preserve">P4</t>
        </is>
      </c>
      <c r="H107" s="0" t="inlineStr">
        <is>
          <t xml:space="preserve">contract-revision</t>
        </is>
      </c>
      <c r="I107" s="0" t="str">
        <f>INDEX(BE_Tasks!$P$2:$P$53,MATCH("BE-C06",BE_Tasks!$A$2:$A$53,0))</f>
        <v>Chưa làm</v>
      </c>
      <c r="J107" s="3">
        <f>INDEX(BE_Tasks!$X$2:$X$53,MATCH("BE-C06",BE_Tasks!$A$2:$A$53,0))</f>
        <v>0</v>
      </c>
      <c r="K107" s="0" t="inlineStr">
        <is>
          <t xml:space="preserve"/>
        </is>
      </c>
      <c r="L107" s="5" t="inlineStr">
        <is>
          <t xml:space="preserve">Mở API</t>
        </is>
      </c>
      <c r="M107" s="5" t="inlineStr">
        <is>
          <t xml:space="preserve">Mở task</t>
        </is>
      </c>
    </row>
    <row r="108" ht="72" customHeight="1">
      <c r="A108" s="2" t="inlineStr">
        <is>
          <t xml:space="preserve">API-107</t>
        </is>
      </c>
      <c r="B108" s="2" t="inlineStr">
        <is>
          <t xml:space="preserve">PATCH</t>
        </is>
      </c>
      <c r="C108" s="2" t="inlineStr">
        <is>
          <t xml:space="preserve">/api/v1/contracts/{contractId}/revisions/{revisionId}</t>
        </is>
      </c>
      <c r="D108" s="2" t="inlineStr">
        <is>
          <t xml:space="preserve">Chủ trọ chỉnh bản nháp hợp đồng</t>
        </is>
      </c>
      <c r="E108" s="8" t="inlineStr">
        <is>
          <t xml:space="preserve">C</t>
        </is>
      </c>
      <c r="F108" s="2" t="inlineStr">
        <is>
          <t xml:space="preserve">BE-C06</t>
        </is>
      </c>
      <c r="G108" s="2" t="inlineStr">
        <is>
          <t xml:space="preserve">P4</t>
        </is>
      </c>
      <c r="H108" s="2" t="inlineStr">
        <is>
          <t xml:space="preserve">contract-revision</t>
        </is>
      </c>
      <c r="I108" s="2" t="str">
        <f>INDEX(BE_Tasks!$P$2:$P$53,MATCH("BE-C06",BE_Tasks!$A$2:$A$53,0))</f>
        <v>Chưa làm</v>
      </c>
      <c r="J108" s="3">
        <f>INDEX(BE_Tasks!$X$2:$X$53,MATCH("BE-C06",BE_Tasks!$A$2:$A$53,0))</f>
        <v>0</v>
      </c>
      <c r="K108" s="2" t="inlineStr">
        <is>
          <t xml:space="preserve"/>
        </is>
      </c>
      <c r="L108" s="5" t="inlineStr">
        <is>
          <t xml:space="preserve">Mở API</t>
        </is>
      </c>
      <c r="M108" s="5" t="inlineStr">
        <is>
          <t xml:space="preserve">Mở task</t>
        </is>
      </c>
    </row>
    <row r="109" ht="72" customHeight="1">
      <c r="A109" s="0" t="inlineStr">
        <is>
          <t xml:space="preserve">API-108</t>
        </is>
      </c>
      <c r="B109" s="0" t="inlineStr">
        <is>
          <t xml:space="preserve">POST</t>
        </is>
      </c>
      <c r="C109" s="0" t="inlineStr">
        <is>
          <t xml:space="preserve">/api/v1/contracts/{contractId}/revisions/{revisionId}/submit</t>
        </is>
      </c>
      <c r="D109" s="0" t="inlineStr">
        <is>
          <t xml:space="preserve">Gửi lại phiên bản nháp</t>
        </is>
      </c>
      <c r="E109" s="8" t="inlineStr">
        <is>
          <t xml:space="preserve">C</t>
        </is>
      </c>
      <c r="F109" s="0" t="inlineStr">
        <is>
          <t xml:space="preserve">BE-C06</t>
        </is>
      </c>
      <c r="G109" s="0" t="inlineStr">
        <is>
          <t xml:space="preserve">P4</t>
        </is>
      </c>
      <c r="H109" s="0" t="inlineStr">
        <is>
          <t xml:space="preserve">contract-revision</t>
        </is>
      </c>
      <c r="I109" s="0" t="str">
        <f>INDEX(BE_Tasks!$P$2:$P$53,MATCH("BE-C06",BE_Tasks!$A$2:$A$53,0))</f>
        <v>Chưa làm</v>
      </c>
      <c r="J109" s="3">
        <f>INDEX(BE_Tasks!$X$2:$X$53,MATCH("BE-C06",BE_Tasks!$A$2:$A$53,0))</f>
        <v>0</v>
      </c>
      <c r="K109" s="0" t="inlineStr">
        <is>
          <t xml:space="preserve"/>
        </is>
      </c>
      <c r="L109" s="5" t="inlineStr">
        <is>
          <t xml:space="preserve">Mở API</t>
        </is>
      </c>
      <c r="M109" s="5" t="inlineStr">
        <is>
          <t xml:space="preserve">Mở task</t>
        </is>
      </c>
    </row>
    <row r="110" ht="72" customHeight="1">
      <c r="A110" s="2" t="inlineStr">
        <is>
          <t xml:space="preserve">API-109</t>
        </is>
      </c>
      <c r="B110" s="2" t="inlineStr">
        <is>
          <t xml:space="preserve">POST</t>
        </is>
      </c>
      <c r="C110" s="2" t="inlineStr">
        <is>
          <t xml:space="preserve">/api/v1/contracts/{contractId}/confirm</t>
        </is>
      </c>
      <c r="D110" s="2" t="inlineStr">
        <is>
          <t xml:space="preserve">Đại diện xác nhận phiên bản hiện hành</t>
        </is>
      </c>
      <c r="E110" s="8" t="inlineStr">
        <is>
          <t xml:space="preserve">C</t>
        </is>
      </c>
      <c r="F110" s="2" t="inlineStr">
        <is>
          <t xml:space="preserve">BE-C06</t>
        </is>
      </c>
      <c r="G110" s="2" t="inlineStr">
        <is>
          <t xml:space="preserve">P4</t>
        </is>
      </c>
      <c r="H110" s="2" t="inlineStr">
        <is>
          <t xml:space="preserve">contract-revision</t>
        </is>
      </c>
      <c r="I110" s="2" t="str">
        <f>INDEX(BE_Tasks!$P$2:$P$53,MATCH("BE-C06",BE_Tasks!$A$2:$A$53,0))</f>
        <v>Chưa làm</v>
      </c>
      <c r="J110" s="3">
        <f>INDEX(BE_Tasks!$X$2:$X$53,MATCH("BE-C06",BE_Tasks!$A$2:$A$53,0))</f>
        <v>0</v>
      </c>
      <c r="K110" s="2" t="inlineStr">
        <is>
          <t xml:space="preserve">D10</t>
        </is>
      </c>
      <c r="L110" s="5" t="inlineStr">
        <is>
          <t xml:space="preserve">Mở API</t>
        </is>
      </c>
      <c r="M110" s="5" t="inlineStr">
        <is>
          <t xml:space="preserve">Mở task</t>
        </is>
      </c>
    </row>
    <row r="111" ht="72" customHeight="1">
      <c r="A111" s="0" t="inlineStr">
        <is>
          <t xml:space="preserve">API-110</t>
        </is>
      </c>
      <c r="B111" s="0" t="inlineStr">
        <is>
          <t xml:space="preserve">POST</t>
        </is>
      </c>
      <c r="C111" s="0" t="inlineStr">
        <is>
          <t xml:space="preserve">/api/v1/contracts/{contractId}/move-ins</t>
        </is>
      </c>
      <c r="D111" s="0" t="inlineStr">
        <is>
          <t xml:space="preserve">Xác nhận vào ở theo nhóm/từng người</t>
        </is>
      </c>
      <c r="E111" s="8" t="inlineStr">
        <is>
          <t xml:space="preserve">C</t>
        </is>
      </c>
      <c r="F111" s="0" t="inlineStr">
        <is>
          <t xml:space="preserve">BE-C07</t>
        </is>
      </c>
      <c r="G111" s="0" t="inlineStr">
        <is>
          <t xml:space="preserve">P4</t>
        </is>
      </c>
      <c r="H111" s="0" t="inlineStr">
        <is>
          <t xml:space="preserve">move-in</t>
        </is>
      </c>
      <c r="I111" s="0" t="str">
        <f>INDEX(BE_Tasks!$P$2:$P$53,MATCH("BE-C07",BE_Tasks!$A$2:$A$53,0))</f>
        <v>Chưa làm</v>
      </c>
      <c r="J111" s="3">
        <f>INDEX(BE_Tasks!$X$2:$X$53,MATCH("BE-C07",BE_Tasks!$A$2:$A$53,0))</f>
        <v>0</v>
      </c>
      <c r="K111" s="0" t="inlineStr">
        <is>
          <t xml:space="preserve"/>
        </is>
      </c>
      <c r="L111" s="5" t="inlineStr">
        <is>
          <t xml:space="preserve">Mở API</t>
        </is>
      </c>
      <c r="M111" s="5" t="inlineStr">
        <is>
          <t xml:space="preserve">Mở task</t>
        </is>
      </c>
    </row>
    <row r="112" ht="72" customHeight="1">
      <c r="A112" s="2" t="inlineStr">
        <is>
          <t xml:space="preserve">API-111</t>
        </is>
      </c>
      <c r="B112" s="2" t="inlineStr">
        <is>
          <t xml:space="preserve">POST</t>
        </is>
      </c>
      <c r="C112" s="2" t="inlineStr">
        <is>
          <t xml:space="preserve">/api/v1/contracts/{contractId}/cancel</t>
        </is>
      </c>
      <c r="D112" s="2" t="inlineStr">
        <is>
          <t xml:space="preserve">Hủy hợp đồng trước vào ở</t>
        </is>
      </c>
      <c r="E112" s="8" t="inlineStr">
        <is>
          <t xml:space="preserve">C</t>
        </is>
      </c>
      <c r="F112" s="2" t="inlineStr">
        <is>
          <t xml:space="preserve">BE-C07</t>
        </is>
      </c>
      <c r="G112" s="2" t="inlineStr">
        <is>
          <t xml:space="preserve">P4</t>
        </is>
      </c>
      <c r="H112" s="2" t="inlineStr">
        <is>
          <t xml:space="preserve">cancel-contract</t>
        </is>
      </c>
      <c r="I112" s="2" t="str">
        <f>INDEX(BE_Tasks!$P$2:$P$53,MATCH("BE-C07",BE_Tasks!$A$2:$A$53,0))</f>
        <v>Chưa làm</v>
      </c>
      <c r="J112" s="3">
        <f>INDEX(BE_Tasks!$X$2:$X$53,MATCH("BE-C07",BE_Tasks!$A$2:$A$53,0))</f>
        <v>0</v>
      </c>
      <c r="K112" s="2" t="inlineStr">
        <is>
          <t xml:space="preserve"/>
        </is>
      </c>
      <c r="L112" s="5" t="inlineStr">
        <is>
          <t xml:space="preserve">Mở API</t>
        </is>
      </c>
      <c r="M112" s="5" t="inlineStr">
        <is>
          <t xml:space="preserve">Mở task</t>
        </is>
      </c>
    </row>
    <row r="113" ht="72" customHeight="1">
      <c r="A113" s="0" t="inlineStr">
        <is>
          <t xml:space="preserve">API-112</t>
        </is>
      </c>
      <c r="B113" s="0" t="inlineStr">
        <is>
          <t xml:space="preserve">POST</t>
        </is>
      </c>
      <c r="C113" s="0" t="inlineStr">
        <is>
          <t xml:space="preserve">/api/v1/contracts/{contractId}/members/{memberId}/cancel</t>
        </is>
      </c>
      <c r="D113" s="0" t="inlineStr">
        <is>
          <t xml:space="preserve">Hủy thành viên dự kiến chưa đến</t>
        </is>
      </c>
      <c r="E113" s="8" t="inlineStr">
        <is>
          <t xml:space="preserve">C</t>
        </is>
      </c>
      <c r="F113" s="0" t="inlineStr">
        <is>
          <t xml:space="preserve">BE-C07</t>
        </is>
      </c>
      <c r="G113" s="0" t="inlineStr">
        <is>
          <t xml:space="preserve">P4</t>
        </is>
      </c>
      <c r="H113" s="0" t="inlineStr">
        <is>
          <t xml:space="preserve">cancel-contract</t>
        </is>
      </c>
      <c r="I113" s="0" t="str">
        <f>INDEX(BE_Tasks!$P$2:$P$53,MATCH("BE-C07",BE_Tasks!$A$2:$A$53,0))</f>
        <v>Chưa làm</v>
      </c>
      <c r="J113" s="3">
        <f>INDEX(BE_Tasks!$X$2:$X$53,MATCH("BE-C07",BE_Tasks!$A$2:$A$53,0))</f>
        <v>0</v>
      </c>
      <c r="K113" s="0" t="inlineStr">
        <is>
          <t xml:space="preserve"/>
        </is>
      </c>
      <c r="L113" s="5" t="inlineStr">
        <is>
          <t xml:space="preserve">Mở API</t>
        </is>
      </c>
      <c r="M113" s="5" t="inlineStr">
        <is>
          <t xml:space="preserve">Mở task</t>
        </is>
      </c>
    </row>
    <row r="114" ht="72" customHeight="1">
      <c r="A114" s="2" t="inlineStr">
        <is>
          <t xml:space="preserve">API-113</t>
        </is>
      </c>
      <c r="B114" s="2" t="inlineStr">
        <is>
          <t xml:space="preserve">POST</t>
        </is>
      </c>
      <c r="C114" s="2" t="inlineStr">
        <is>
          <t xml:space="preserve">/api/v1/contract-imports</t>
        </is>
      </c>
      <c r="D114" s="2" t="inlineStr">
        <is>
          <t xml:space="preserve">Nhập hợp đồng giấy có chứng cứ</t>
        </is>
      </c>
      <c r="E114" s="8" t="inlineStr">
        <is>
          <t xml:space="preserve">C</t>
        </is>
      </c>
      <c r="F114" s="2" t="inlineStr">
        <is>
          <t xml:space="preserve">BE-C13</t>
        </is>
      </c>
      <c r="G114" s="2" t="inlineStr">
        <is>
          <t xml:space="preserve">P6</t>
        </is>
      </c>
      <c r="H114" s="2" t="inlineStr">
        <is>
          <t xml:space="preserve">cancel-contract</t>
        </is>
      </c>
      <c r="I114" s="2" t="str">
        <f>INDEX(BE_Tasks!$P$2:$P$53,MATCH("BE-C13",BE_Tasks!$A$2:$A$53,0))</f>
        <v>Chưa làm</v>
      </c>
      <c r="J114" s="3">
        <f>INDEX(BE_Tasks!$X$2:$X$53,MATCH("BE-C13",BE_Tasks!$A$2:$A$53,0))</f>
        <v>0</v>
      </c>
      <c r="K114" s="2" t="inlineStr">
        <is>
          <t xml:space="preserve">D11</t>
        </is>
      </c>
      <c r="L114" s="5" t="inlineStr">
        <is>
          <t xml:space="preserve">Mở API</t>
        </is>
      </c>
      <c r="M114" s="5" t="inlineStr">
        <is>
          <t xml:space="preserve">Mở task</t>
        </is>
      </c>
    </row>
    <row r="115" ht="72" customHeight="1">
      <c r="A115" s="0" t="inlineStr">
        <is>
          <t xml:space="preserve">API-114</t>
        </is>
      </c>
      <c r="B115" s="0" t="inlineStr">
        <is>
          <t xml:space="preserve">GET</t>
        </is>
      </c>
      <c r="C115" s="0" t="inlineStr">
        <is>
          <t xml:space="preserve">/api/v1/residents</t>
        </is>
      </c>
      <c r="D115" s="0" t="inlineStr">
        <is>
          <t xml:space="preserve">Danh sách và lịch sử người ở quản lý</t>
        </is>
      </c>
      <c r="E115" s="8" t="inlineStr">
        <is>
          <t xml:space="preserve">C</t>
        </is>
      </c>
      <c r="F115" s="0" t="inlineStr">
        <is>
          <t xml:space="preserve">BE-C02</t>
        </is>
      </c>
      <c r="G115" s="0" t="inlineStr">
        <is>
          <t xml:space="preserve">P1</t>
        </is>
      </c>
      <c r="H115" s="0" t="inlineStr">
        <is>
          <t xml:space="preserve">residents</t>
        </is>
      </c>
      <c r="I115" s="0" t="str">
        <f>INDEX(BE_Tasks!$P$2:$P$53,MATCH("BE-C02",BE_Tasks!$A$2:$A$53,0))</f>
        <v>Chưa làm</v>
      </c>
      <c r="J115" s="3">
        <f>INDEX(BE_Tasks!$X$2:$X$53,MATCH("BE-C02",BE_Tasks!$A$2:$A$53,0))</f>
        <v>0</v>
      </c>
      <c r="K115" s="0" t="inlineStr">
        <is>
          <t xml:space="preserve"/>
        </is>
      </c>
      <c r="L115" s="5" t="inlineStr">
        <is>
          <t xml:space="preserve">Mở API</t>
        </is>
      </c>
      <c r="M115" s="5" t="inlineStr">
        <is>
          <t xml:space="preserve">Mở task</t>
        </is>
      </c>
    </row>
    <row r="116" ht="72" customHeight="1">
      <c r="A116" s="2" t="inlineStr">
        <is>
          <t xml:space="preserve">API-115</t>
        </is>
      </c>
      <c r="B116" s="2" t="inlineStr">
        <is>
          <t xml:space="preserve">GET</t>
        </is>
      </c>
      <c r="C116" s="2" t="inlineStr">
        <is>
          <t xml:space="preserve">/api/v1/contracts/{contractId}/members</t>
        </is>
      </c>
      <c r="D116" s="2" t="inlineStr">
        <is>
          <t xml:space="preserve">Thành viên của hợp đồng</t>
        </is>
      </c>
      <c r="E116" s="8" t="inlineStr">
        <is>
          <t xml:space="preserve">C</t>
        </is>
      </c>
      <c r="F116" s="2" t="inlineStr">
        <is>
          <t xml:space="preserve">BE-C02</t>
        </is>
      </c>
      <c r="G116" s="2" t="inlineStr">
        <is>
          <t xml:space="preserve">P1</t>
        </is>
      </c>
      <c r="H116" s="2" t="inlineStr">
        <is>
          <t xml:space="preserve">residents</t>
        </is>
      </c>
      <c r="I116" s="2" t="str">
        <f>INDEX(BE_Tasks!$P$2:$P$53,MATCH("BE-C02",BE_Tasks!$A$2:$A$53,0))</f>
        <v>Chưa làm</v>
      </c>
      <c r="J116" s="3">
        <f>INDEX(BE_Tasks!$X$2:$X$53,MATCH("BE-C02",BE_Tasks!$A$2:$A$53,0))</f>
        <v>0</v>
      </c>
      <c r="K116" s="2" t="inlineStr">
        <is>
          <t xml:space="preserve"/>
        </is>
      </c>
      <c r="L116" s="5" t="inlineStr">
        <is>
          <t xml:space="preserve">Mở API</t>
        </is>
      </c>
      <c r="M116" s="5" t="inlineStr">
        <is>
          <t xml:space="preserve">Mở task</t>
        </is>
      </c>
    </row>
    <row r="117" ht="72" customHeight="1">
      <c r="A117" s="0" t="inlineStr">
        <is>
          <t xml:space="preserve">API-116</t>
        </is>
      </c>
      <c r="B117" s="0" t="inlineStr">
        <is>
          <t xml:space="preserve">GET</t>
        </is>
      </c>
      <c r="C117" s="0" t="inlineStr">
        <is>
          <t xml:space="preserve">/api/v1/residents/export</t>
        </is>
      </c>
      <c r="D117" s="0" t="inlineStr">
        <is>
          <t xml:space="preserve">Xuất danh sách cư dân đang ở</t>
        </is>
      </c>
      <c r="E117" s="8" t="inlineStr">
        <is>
          <t xml:space="preserve">C</t>
        </is>
      </c>
      <c r="F117" s="0" t="inlineStr">
        <is>
          <t xml:space="preserve">BE-C02</t>
        </is>
      </c>
      <c r="G117" s="0" t="inlineStr">
        <is>
          <t xml:space="preserve">P1</t>
        </is>
      </c>
      <c r="H117" s="0" t="inlineStr">
        <is>
          <t xml:space="preserve">residents</t>
        </is>
      </c>
      <c r="I117" s="0" t="str">
        <f>INDEX(BE_Tasks!$P$2:$P$53,MATCH("BE-C02",BE_Tasks!$A$2:$A$53,0))</f>
        <v>Chưa làm</v>
      </c>
      <c r="J117" s="3">
        <f>INDEX(BE_Tasks!$X$2:$X$53,MATCH("BE-C02",BE_Tasks!$A$2:$A$53,0))</f>
        <v>0</v>
      </c>
      <c r="K117" s="0" t="inlineStr">
        <is>
          <t xml:space="preserve"/>
        </is>
      </c>
      <c r="L117" s="5" t="inlineStr">
        <is>
          <t xml:space="preserve">Mở API</t>
        </is>
      </c>
      <c r="M117" s="5" t="inlineStr">
        <is>
          <t xml:space="preserve">Mở task</t>
        </is>
      </c>
    </row>
    <row r="118" ht="72" customHeight="1">
      <c r="A118" s="2" t="inlineStr">
        <is>
          <t xml:space="preserve">API-117</t>
        </is>
      </c>
      <c r="B118" s="2" t="inlineStr">
        <is>
          <t xml:space="preserve">GET</t>
        </is>
      </c>
      <c r="C118" s="2" t="inlineStr">
        <is>
          <t xml:space="preserve">/api/v1/occupant-join-requests</t>
        </is>
      </c>
      <c r="D118" s="2" t="inlineStr">
        <is>
          <t xml:space="preserve">Yêu cầu thêm người trong phạm vi được xem</t>
        </is>
      </c>
      <c r="E118" s="8" t="inlineStr">
        <is>
          <t xml:space="preserve">C</t>
        </is>
      </c>
      <c r="F118" s="2" t="inlineStr">
        <is>
          <t xml:space="preserve">BE-C09</t>
        </is>
      </c>
      <c r="G118" s="2" t="inlineStr">
        <is>
          <t xml:space="preserve">P4</t>
        </is>
      </c>
      <c r="H118" s="2" t="inlineStr">
        <is>
          <t xml:space="preserve">join-consent</t>
        </is>
      </c>
      <c r="I118" s="2" t="str">
        <f>INDEX(BE_Tasks!$P$2:$P$53,MATCH("BE-C09",BE_Tasks!$A$2:$A$53,0))</f>
        <v>Chưa làm</v>
      </c>
      <c r="J118" s="3">
        <f>INDEX(BE_Tasks!$X$2:$X$53,MATCH("BE-C09",BE_Tasks!$A$2:$A$53,0))</f>
        <v>0</v>
      </c>
      <c r="K118" s="2" t="inlineStr">
        <is>
          <t xml:space="preserve"/>
        </is>
      </c>
      <c r="L118" s="5" t="inlineStr">
        <is>
          <t xml:space="preserve">Mở API</t>
        </is>
      </c>
      <c r="M118" s="5" t="inlineStr">
        <is>
          <t xml:space="preserve">Mở task</t>
        </is>
      </c>
    </row>
    <row r="119" ht="72" customHeight="1">
      <c r="A119" s="0" t="inlineStr">
        <is>
          <t xml:space="preserve">API-118</t>
        </is>
      </c>
      <c r="B119" s="0" t="inlineStr">
        <is>
          <t xml:space="preserve">POST</t>
        </is>
      </c>
      <c r="C119" s="0" t="inlineStr">
        <is>
          <t xml:space="preserve">/api/v1/occupant-join-requests</t>
        </is>
      </c>
      <c r="D119" s="0" t="inlineStr">
        <is>
          <t xml:space="preserve">Đại diện đề nghị thêm người</t>
        </is>
      </c>
      <c r="E119" s="8" t="inlineStr">
        <is>
          <t xml:space="preserve">C</t>
        </is>
      </c>
      <c r="F119" s="0" t="inlineStr">
        <is>
          <t xml:space="preserve">BE-C09</t>
        </is>
      </c>
      <c r="G119" s="0" t="inlineStr">
        <is>
          <t xml:space="preserve">P4</t>
        </is>
      </c>
      <c r="H119" s="0" t="inlineStr">
        <is>
          <t xml:space="preserve">join-consent</t>
        </is>
      </c>
      <c r="I119" s="0" t="str">
        <f>INDEX(BE_Tasks!$P$2:$P$53,MATCH("BE-C09",BE_Tasks!$A$2:$A$53,0))</f>
        <v>Chưa làm</v>
      </c>
      <c r="J119" s="3">
        <f>INDEX(BE_Tasks!$X$2:$X$53,MATCH("BE-C09",BE_Tasks!$A$2:$A$53,0))</f>
        <v>0</v>
      </c>
      <c r="K119" s="0" t="inlineStr">
        <is>
          <t xml:space="preserve"/>
        </is>
      </c>
      <c r="L119" s="5" t="inlineStr">
        <is>
          <t xml:space="preserve">Mở API</t>
        </is>
      </c>
      <c r="M119" s="5" t="inlineStr">
        <is>
          <t xml:space="preserve">Mở task</t>
        </is>
      </c>
    </row>
    <row r="120" ht="72" customHeight="1">
      <c r="A120" s="2" t="inlineStr">
        <is>
          <t xml:space="preserve">API-119</t>
        </is>
      </c>
      <c r="B120" s="2" t="inlineStr">
        <is>
          <t xml:space="preserve">POST</t>
        </is>
      </c>
      <c r="C120" s="2" t="inlineStr">
        <is>
          <t xml:space="preserve">/api/v1/occupant-join-requests/{requestId}/consents</t>
        </is>
      </c>
      <c r="D120" s="2" t="inlineStr">
        <is>
          <t xml:space="preserve">Ghi đồng ý riêng của đại diện hoặc người xin vào</t>
        </is>
      </c>
      <c r="E120" s="8" t="inlineStr">
        <is>
          <t xml:space="preserve">C</t>
        </is>
      </c>
      <c r="F120" s="2" t="inlineStr">
        <is>
          <t xml:space="preserve">BE-C09</t>
        </is>
      </c>
      <c r="G120" s="2" t="inlineStr">
        <is>
          <t xml:space="preserve">P4</t>
        </is>
      </c>
      <c r="H120" s="2" t="inlineStr">
        <is>
          <t xml:space="preserve">join-consent</t>
        </is>
      </c>
      <c r="I120" s="2" t="str">
        <f>INDEX(BE_Tasks!$P$2:$P$53,MATCH("BE-C09",BE_Tasks!$A$2:$A$53,0))</f>
        <v>Chưa làm</v>
      </c>
      <c r="J120" s="3">
        <f>INDEX(BE_Tasks!$X$2:$X$53,MATCH("BE-C09",BE_Tasks!$A$2:$A$53,0))</f>
        <v>0</v>
      </c>
      <c r="K120" s="2" t="inlineStr">
        <is>
          <t xml:space="preserve"/>
        </is>
      </c>
      <c r="L120" s="5" t="inlineStr">
        <is>
          <t xml:space="preserve">Mở API</t>
        </is>
      </c>
      <c r="M120" s="5" t="inlineStr">
        <is>
          <t xml:space="preserve">Mở task</t>
        </is>
      </c>
    </row>
    <row r="121" ht="72" customHeight="1">
      <c r="A121" s="0" t="inlineStr">
        <is>
          <t xml:space="preserve">API-120</t>
        </is>
      </c>
      <c r="B121" s="0" t="inlineStr">
        <is>
          <t xml:space="preserve">POST</t>
        </is>
      </c>
      <c r="C121" s="0" t="inlineStr">
        <is>
          <t xml:space="preserve">/api/v1/occupant-join-requests/{requestId}/cancel</t>
        </is>
      </c>
      <c r="D121" s="0" t="inlineStr">
        <is>
          <t xml:space="preserve">Rút yêu cầu chưa được duyệt</t>
        </is>
      </c>
      <c r="E121" s="8" t="inlineStr">
        <is>
          <t xml:space="preserve">C</t>
        </is>
      </c>
      <c r="F121" s="0" t="inlineStr">
        <is>
          <t xml:space="preserve">BE-C09</t>
        </is>
      </c>
      <c r="G121" s="0" t="inlineStr">
        <is>
          <t xml:space="preserve">P4</t>
        </is>
      </c>
      <c r="H121" s="0" t="inlineStr">
        <is>
          <t xml:space="preserve">join-consent</t>
        </is>
      </c>
      <c r="I121" s="0" t="str">
        <f>INDEX(BE_Tasks!$P$2:$P$53,MATCH("BE-C09",BE_Tasks!$A$2:$A$53,0))</f>
        <v>Chưa làm</v>
      </c>
      <c r="J121" s="3">
        <f>INDEX(BE_Tasks!$X$2:$X$53,MATCH("BE-C09",BE_Tasks!$A$2:$A$53,0))</f>
        <v>0</v>
      </c>
      <c r="K121" s="0" t="inlineStr">
        <is>
          <t xml:space="preserve"/>
        </is>
      </c>
      <c r="L121" s="5" t="inlineStr">
        <is>
          <t xml:space="preserve">Mở API</t>
        </is>
      </c>
      <c r="M121" s="5" t="inlineStr">
        <is>
          <t xml:space="preserve">Mở task</t>
        </is>
      </c>
    </row>
    <row r="122" ht="72" customHeight="1">
      <c r="A122" s="2" t="inlineStr">
        <is>
          <t xml:space="preserve">API-121</t>
        </is>
      </c>
      <c r="B122" s="2" t="inlineStr">
        <is>
          <t xml:space="preserve">POST</t>
        </is>
      </c>
      <c r="C122" s="2" t="inlineStr">
        <is>
          <t xml:space="preserve">/api/v1/occupant-join-requests/{requestId}/approve</t>
        </is>
      </c>
      <c r="D122" s="2" t="inlineStr">
        <is>
          <t xml:space="preserve">Chủ trọ duyệt và giữ một chỗ 48 giờ</t>
        </is>
      </c>
      <c r="E122" s="8" t="inlineStr">
        <is>
          <t xml:space="preserve">C</t>
        </is>
      </c>
      <c r="F122" s="2" t="inlineStr">
        <is>
          <t xml:space="preserve">BE-C10</t>
        </is>
      </c>
      <c r="G122" s="2" t="inlineStr">
        <is>
          <t xml:space="preserve">P5</t>
        </is>
      </c>
      <c r="H122" s="2" t="inlineStr">
        <is>
          <t xml:space="preserve">join-hold</t>
        </is>
      </c>
      <c r="I122" s="2" t="str">
        <f>INDEX(BE_Tasks!$P$2:$P$53,MATCH("BE-C10",BE_Tasks!$A$2:$A$53,0))</f>
        <v>Chưa làm</v>
      </c>
      <c r="J122" s="3">
        <f>INDEX(BE_Tasks!$X$2:$X$53,MATCH("BE-C10",BE_Tasks!$A$2:$A$53,0))</f>
        <v>0</v>
      </c>
      <c r="K122" s="2" t="inlineStr">
        <is>
          <t xml:space="preserve"/>
        </is>
      </c>
      <c r="L122" s="5" t="inlineStr">
        <is>
          <t xml:space="preserve">Mở API</t>
        </is>
      </c>
      <c r="M122" s="5" t="inlineStr">
        <is>
          <t xml:space="preserve">Mở task</t>
        </is>
      </c>
    </row>
    <row r="123" ht="72" customHeight="1">
      <c r="A123" s="0" t="inlineStr">
        <is>
          <t xml:space="preserve">API-122</t>
        </is>
      </c>
      <c r="B123" s="0" t="inlineStr">
        <is>
          <t xml:space="preserve">POST</t>
        </is>
      </c>
      <c r="C123" s="0" t="inlineStr">
        <is>
          <t xml:space="preserve">/api/v1/occupant-join-requests/{requestId}/reject</t>
        </is>
      </c>
      <c r="D123" s="0" t="inlineStr">
        <is>
          <t xml:space="preserve">Chủ trọ từ chối thêm người</t>
        </is>
      </c>
      <c r="E123" s="8" t="inlineStr">
        <is>
          <t xml:space="preserve">C</t>
        </is>
      </c>
      <c r="F123" s="0" t="inlineStr">
        <is>
          <t xml:space="preserve">BE-C10</t>
        </is>
      </c>
      <c r="G123" s="0" t="inlineStr">
        <is>
          <t xml:space="preserve">P5</t>
        </is>
      </c>
      <c r="H123" s="0" t="inlineStr">
        <is>
          <t xml:space="preserve">join-hold</t>
        </is>
      </c>
      <c r="I123" s="0" t="str">
        <f>INDEX(BE_Tasks!$P$2:$P$53,MATCH("BE-C10",BE_Tasks!$A$2:$A$53,0))</f>
        <v>Chưa làm</v>
      </c>
      <c r="J123" s="3">
        <f>INDEX(BE_Tasks!$X$2:$X$53,MATCH("BE-C10",BE_Tasks!$A$2:$A$53,0))</f>
        <v>0</v>
      </c>
      <c r="K123" s="0" t="inlineStr">
        <is>
          <t xml:space="preserve"/>
        </is>
      </c>
      <c r="L123" s="5" t="inlineStr">
        <is>
          <t xml:space="preserve">Mở API</t>
        </is>
      </c>
      <c r="M123" s="5" t="inlineStr">
        <is>
          <t xml:space="preserve">Mở task</t>
        </is>
      </c>
    </row>
    <row r="124" ht="72" customHeight="1">
      <c r="A124" s="2" t="inlineStr">
        <is>
          <t xml:space="preserve">API-123</t>
        </is>
      </c>
      <c r="B124" s="2" t="inlineStr">
        <is>
          <t xml:space="preserve">POST</t>
        </is>
      </c>
      <c r="C124" s="2" t="inlineStr">
        <is>
          <t xml:space="preserve">/api/v1/occupant-join-requests/{requestId}/cancel-hold</t>
        </is>
      </c>
      <c r="D124" s="2" t="inlineStr">
        <is>
          <t xml:space="preserve">Chủ trọ hủy giữ chỗ đã duyệt</t>
        </is>
      </c>
      <c r="E124" s="8" t="inlineStr">
        <is>
          <t xml:space="preserve">C</t>
        </is>
      </c>
      <c r="F124" s="2" t="inlineStr">
        <is>
          <t xml:space="preserve">BE-C10</t>
        </is>
      </c>
      <c r="G124" s="2" t="inlineStr">
        <is>
          <t xml:space="preserve">P5</t>
        </is>
      </c>
      <c r="H124" s="2" t="inlineStr">
        <is>
          <t xml:space="preserve">join-hold</t>
        </is>
      </c>
      <c r="I124" s="2" t="str">
        <f>INDEX(BE_Tasks!$P$2:$P$53,MATCH("BE-C10",BE_Tasks!$A$2:$A$53,0))</f>
        <v>Chưa làm</v>
      </c>
      <c r="J124" s="3">
        <f>INDEX(BE_Tasks!$X$2:$X$53,MATCH("BE-C10",BE_Tasks!$A$2:$A$53,0))</f>
        <v>0</v>
      </c>
      <c r="K124" s="2" t="inlineStr">
        <is>
          <t xml:space="preserve"/>
        </is>
      </c>
      <c r="L124" s="5" t="inlineStr">
        <is>
          <t xml:space="preserve">Mở API</t>
        </is>
      </c>
      <c r="M124" s="5" t="inlineStr">
        <is>
          <t xml:space="preserve">Mở task</t>
        </is>
      </c>
    </row>
    <row r="125" ht="72" customHeight="1">
      <c r="A125" s="0" t="inlineStr">
        <is>
          <t xml:space="preserve">API-124</t>
        </is>
      </c>
      <c r="B125" s="0" t="inlineStr">
        <is>
          <t xml:space="preserve">POST</t>
        </is>
      </c>
      <c r="C125" s="0" t="inlineStr">
        <is>
          <t xml:space="preserve">/api/v1/occupant-join-requests/{requestId}/complete</t>
        </is>
      </c>
      <c r="D125" s="0" t="inlineStr">
        <is>
          <t xml:space="preserve">Hoàn tất vào ở từ giữ chỗ</t>
        </is>
      </c>
      <c r="E125" s="8" t="inlineStr">
        <is>
          <t xml:space="preserve">C</t>
        </is>
      </c>
      <c r="F125" s="0" t="inlineStr">
        <is>
          <t xml:space="preserve">BE-C10</t>
        </is>
      </c>
      <c r="G125" s="0" t="inlineStr">
        <is>
          <t xml:space="preserve">P5</t>
        </is>
      </c>
      <c r="H125" s="0" t="inlineStr">
        <is>
          <t xml:space="preserve">join-hold</t>
        </is>
      </c>
      <c r="I125" s="0" t="str">
        <f>INDEX(BE_Tasks!$P$2:$P$53,MATCH("BE-C10",BE_Tasks!$A$2:$A$53,0))</f>
        <v>Chưa làm</v>
      </c>
      <c r="J125" s="3">
        <f>INDEX(BE_Tasks!$X$2:$X$53,MATCH("BE-C10",BE_Tasks!$A$2:$A$53,0))</f>
        <v>0</v>
      </c>
      <c r="K125" s="0" t="inlineStr">
        <is>
          <t xml:space="preserve"/>
        </is>
      </c>
      <c r="L125" s="5" t="inlineStr">
        <is>
          <t xml:space="preserve">Mở API</t>
        </is>
      </c>
      <c r="M125" s="5" t="inlineStr">
        <is>
          <t xml:space="preserve">Mở task</t>
        </is>
      </c>
    </row>
    <row r="126" ht="72" customHeight="1">
      <c r="A126" s="2" t="inlineStr">
        <is>
          <t xml:space="preserve">API-125</t>
        </is>
      </c>
      <c r="B126" s="2" t="inlineStr">
        <is>
          <t xml:space="preserve">POST</t>
        </is>
      </c>
      <c r="C126" s="2" t="inlineStr">
        <is>
          <t xml:space="preserve">/api/v1/contracts/{contractId}/members/{memberId}/move-out</t>
        </is>
      </c>
      <c r="D126" s="2" t="inlineStr">
        <is>
          <t xml:space="preserve">Ghi nhận thành viên thực tế rời</t>
        </is>
      </c>
      <c r="E126" s="8" t="inlineStr">
        <is>
          <t xml:space="preserve">C</t>
        </is>
      </c>
      <c r="F126" s="2" t="inlineStr">
        <is>
          <t xml:space="preserve">BE-C11</t>
        </is>
      </c>
      <c r="G126" s="2" t="inlineStr">
        <is>
          <t xml:space="preserve">P5</t>
        </is>
      </c>
      <c r="H126" s="2" t="inlineStr">
        <is>
          <t xml:space="preserve">departure</t>
        </is>
      </c>
      <c r="I126" s="2" t="str">
        <f>INDEX(BE_Tasks!$P$2:$P$53,MATCH("BE-C11",BE_Tasks!$A$2:$A$53,0))</f>
        <v>Chưa làm</v>
      </c>
      <c r="J126" s="3">
        <f>INDEX(BE_Tasks!$X$2:$X$53,MATCH("BE-C11",BE_Tasks!$A$2:$A$53,0))</f>
        <v>0</v>
      </c>
      <c r="K126" s="2" t="inlineStr">
        <is>
          <t xml:space="preserve"/>
        </is>
      </c>
      <c r="L126" s="5" t="inlineStr">
        <is>
          <t xml:space="preserve">Mở API</t>
        </is>
      </c>
      <c r="M126" s="5" t="inlineStr">
        <is>
          <t xml:space="preserve">Mở task</t>
        </is>
      </c>
    </row>
    <row r="127" ht="72" customHeight="1">
      <c r="A127" s="0" t="inlineStr">
        <is>
          <t xml:space="preserve">API-126</t>
        </is>
      </c>
      <c r="B127" s="0" t="inlineStr">
        <is>
          <t xml:space="preserve">GET</t>
        </is>
      </c>
      <c r="C127" s="0" t="inlineStr">
        <is>
          <t xml:space="preserve">/api/v1/contracts/{contractId}/representative-candidates</t>
        </is>
      </c>
      <c r="D127" s="0" t="inlineStr">
        <is>
          <t xml:space="preserve">Người đủ điều kiện nhận đại diện</t>
        </is>
      </c>
      <c r="E127" s="8" t="inlineStr">
        <is>
          <t xml:space="preserve">C</t>
        </is>
      </c>
      <c r="F127" s="0" t="inlineStr">
        <is>
          <t xml:space="preserve">BE-C02</t>
        </is>
      </c>
      <c r="G127" s="0" t="inlineStr">
        <is>
          <t xml:space="preserve">P1</t>
        </is>
      </c>
      <c r="H127" s="0" t="inlineStr">
        <is>
          <t xml:space="preserve">handover</t>
        </is>
      </c>
      <c r="I127" s="0" t="str">
        <f>INDEX(BE_Tasks!$P$2:$P$53,MATCH("BE-C02",BE_Tasks!$A$2:$A$53,0))</f>
        <v>Chưa làm</v>
      </c>
      <c r="J127" s="3">
        <f>INDEX(BE_Tasks!$X$2:$X$53,MATCH("BE-C02",BE_Tasks!$A$2:$A$53,0))</f>
        <v>0</v>
      </c>
      <c r="K127" s="0" t="inlineStr">
        <is>
          <t xml:space="preserve"/>
        </is>
      </c>
      <c r="L127" s="5" t="inlineStr">
        <is>
          <t xml:space="preserve">Mở API</t>
        </is>
      </c>
      <c r="M127" s="5" t="inlineStr">
        <is>
          <t xml:space="preserve">Mở task</t>
        </is>
      </c>
    </row>
    <row r="128" ht="72" customHeight="1">
      <c r="A128" s="2" t="inlineStr">
        <is>
          <t xml:space="preserve">API-127</t>
        </is>
      </c>
      <c r="B128" s="2" t="inlineStr">
        <is>
          <t xml:space="preserve">GET</t>
        </is>
      </c>
      <c r="C128" s="2" t="inlineStr">
        <is>
          <t xml:space="preserve">/api/v1/contracts/{contractId}/representative-history</t>
        </is>
      </c>
      <c r="D128" s="2" t="inlineStr">
        <is>
          <t xml:space="preserve">Lịch sử đại diện theo giai đoạn</t>
        </is>
      </c>
      <c r="E128" s="8" t="inlineStr">
        <is>
          <t xml:space="preserve">C</t>
        </is>
      </c>
      <c r="F128" s="2" t="inlineStr">
        <is>
          <t xml:space="preserve">BE-C02</t>
        </is>
      </c>
      <c r="G128" s="2" t="inlineStr">
        <is>
          <t xml:space="preserve">P1</t>
        </is>
      </c>
      <c r="H128" s="2" t="inlineStr">
        <is>
          <t xml:space="preserve">handover</t>
        </is>
      </c>
      <c r="I128" s="2" t="str">
        <f>INDEX(BE_Tasks!$P$2:$P$53,MATCH("BE-C02",BE_Tasks!$A$2:$A$53,0))</f>
        <v>Chưa làm</v>
      </c>
      <c r="J128" s="3">
        <f>INDEX(BE_Tasks!$X$2:$X$53,MATCH("BE-C02",BE_Tasks!$A$2:$A$53,0))</f>
        <v>0</v>
      </c>
      <c r="K128" s="2" t="inlineStr">
        <is>
          <t xml:space="preserve"/>
        </is>
      </c>
      <c r="L128" s="5" t="inlineStr">
        <is>
          <t xml:space="preserve">Mở API</t>
        </is>
      </c>
      <c r="M128" s="5" t="inlineStr">
        <is>
          <t xml:space="preserve">Mở task</t>
        </is>
      </c>
    </row>
    <row r="129" ht="72" customHeight="1">
      <c r="A129" s="0" t="inlineStr">
        <is>
          <t xml:space="preserve">API-128</t>
        </is>
      </c>
      <c r="B129" s="0" t="inlineStr">
        <is>
          <t xml:space="preserve">POST</t>
        </is>
      </c>
      <c r="C129" s="0" t="inlineStr">
        <is>
          <t xml:space="preserve">/api/v1/contracts/{contractId}/representative-handovers</t>
        </is>
      </c>
      <c r="D129" s="0" t="inlineStr">
        <is>
          <t xml:space="preserve">Bàn giao và ghi người cũ rời</t>
        </is>
      </c>
      <c r="E129" s="8" t="inlineStr">
        <is>
          <t xml:space="preserve">C</t>
        </is>
      </c>
      <c r="F129" s="0" t="inlineStr">
        <is>
          <t xml:space="preserve">BE-C11</t>
        </is>
      </c>
      <c r="G129" s="0" t="inlineStr">
        <is>
          <t xml:space="preserve">P5</t>
        </is>
      </c>
      <c r="H129" s="0" t="inlineStr">
        <is>
          <t xml:space="preserve">handover</t>
        </is>
      </c>
      <c r="I129" s="0" t="str">
        <f>INDEX(BE_Tasks!$P$2:$P$53,MATCH("BE-C11",BE_Tasks!$A$2:$A$53,0))</f>
        <v>Chưa làm</v>
      </c>
      <c r="J129" s="3">
        <f>INDEX(BE_Tasks!$X$2:$X$53,MATCH("BE-C11",BE_Tasks!$A$2:$A$53,0))</f>
        <v>0</v>
      </c>
      <c r="K129" s="0" t="inlineStr">
        <is>
          <t xml:space="preserve"/>
        </is>
      </c>
      <c r="L129" s="5" t="inlineStr">
        <is>
          <t xml:space="preserve">Mở API</t>
        </is>
      </c>
      <c r="M129" s="5" t="inlineStr">
        <is>
          <t xml:space="preserve">Mở task</t>
        </is>
      </c>
    </row>
    <row r="130" ht="72" customHeight="1">
      <c r="A130" s="2" t="inlineStr">
        <is>
          <t xml:space="preserve">API-129</t>
        </is>
      </c>
      <c r="B130" s="2" t="inlineStr">
        <is>
          <t xml:space="preserve">GET</t>
        </is>
      </c>
      <c r="C130" s="2" t="inlineStr">
        <is>
          <t xml:space="preserve">/api/v1/contracts/{contractId}/change-requests</t>
        </is>
      </c>
      <c r="D130" s="2" t="inlineStr">
        <is>
          <t xml:space="preserve">Lịch sử yêu cầu điều chỉnh hợp đồng</t>
        </is>
      </c>
      <c r="E130" s="8" t="inlineStr">
        <is>
          <t xml:space="preserve">C</t>
        </is>
      </c>
      <c r="F130" s="2" t="inlineStr">
        <is>
          <t xml:space="preserve">BE-C12</t>
        </is>
      </c>
      <c r="G130" s="2" t="inlineStr">
        <is>
          <t xml:space="preserve">P5</t>
        </is>
      </c>
      <c r="H130" s="2" t="inlineStr">
        <is>
          <t xml:space="preserve">change-request</t>
        </is>
      </c>
      <c r="I130" s="2" t="str">
        <f>INDEX(BE_Tasks!$P$2:$P$53,MATCH("BE-C12",BE_Tasks!$A$2:$A$53,0))</f>
        <v>Chưa làm</v>
      </c>
      <c r="J130" s="3">
        <f>INDEX(BE_Tasks!$X$2:$X$53,MATCH("BE-C12",BE_Tasks!$A$2:$A$53,0))</f>
        <v>0</v>
      </c>
      <c r="K130" s="2" t="inlineStr">
        <is>
          <t xml:space="preserve"/>
        </is>
      </c>
      <c r="L130" s="5" t="inlineStr">
        <is>
          <t xml:space="preserve">Mở API</t>
        </is>
      </c>
      <c r="M130" s="5" t="inlineStr">
        <is>
          <t xml:space="preserve">Mở task</t>
        </is>
      </c>
    </row>
    <row r="131" ht="72" customHeight="1">
      <c r="A131" s="0" t="inlineStr">
        <is>
          <t xml:space="preserve">API-130</t>
        </is>
      </c>
      <c r="B131" s="0" t="inlineStr">
        <is>
          <t xml:space="preserve">POST</t>
        </is>
      </c>
      <c r="C131" s="0" t="inlineStr">
        <is>
          <t xml:space="preserve">/api/v1/contracts/{contractId}/change-requests</t>
        </is>
      </c>
      <c r="D131" s="0" t="inlineStr">
        <is>
          <t xml:space="preserve">Gửi yêu cầu gia hạn/đổi phòng/chấm dứt</t>
        </is>
      </c>
      <c r="E131" s="8" t="inlineStr">
        <is>
          <t xml:space="preserve">C</t>
        </is>
      </c>
      <c r="F131" s="0" t="inlineStr">
        <is>
          <t xml:space="preserve">BE-C12</t>
        </is>
      </c>
      <c r="G131" s="0" t="inlineStr">
        <is>
          <t xml:space="preserve">P5</t>
        </is>
      </c>
      <c r="H131" s="0" t="inlineStr">
        <is>
          <t xml:space="preserve">change-request, renewal, transfer, end-lease</t>
        </is>
      </c>
      <c r="I131" s="0" t="str">
        <f>INDEX(BE_Tasks!$P$2:$P$53,MATCH("BE-C12",BE_Tasks!$A$2:$A$53,0))</f>
        <v>Chưa làm</v>
      </c>
      <c r="J131" s="3">
        <f>INDEX(BE_Tasks!$X$2:$X$53,MATCH("BE-C12",BE_Tasks!$A$2:$A$53,0))</f>
        <v>0</v>
      </c>
      <c r="K131" s="0" t="inlineStr">
        <is>
          <t xml:space="preserve"/>
        </is>
      </c>
      <c r="L131" s="5" t="inlineStr">
        <is>
          <t xml:space="preserve">Mở API</t>
        </is>
      </c>
      <c r="M131" s="5" t="inlineStr">
        <is>
          <t xml:space="preserve">Mở task</t>
        </is>
      </c>
    </row>
    <row r="132" ht="72" customHeight="1">
      <c r="A132" s="2" t="inlineStr">
        <is>
          <t xml:space="preserve">API-131</t>
        </is>
      </c>
      <c r="B132" s="2" t="inlineStr">
        <is>
          <t xml:space="preserve">GET</t>
        </is>
      </c>
      <c r="C132" s="2" t="inlineStr">
        <is>
          <t xml:space="preserve">/api/v1/contract-change-requests/{requestId}</t>
        </is>
      </c>
      <c r="D132" s="2" t="inlineStr">
        <is>
          <t xml:space="preserve">Đọc phương án điều chỉnh</t>
        </is>
      </c>
      <c r="E132" s="8" t="inlineStr">
        <is>
          <t xml:space="preserve">C</t>
        </is>
      </c>
      <c r="F132" s="2" t="inlineStr">
        <is>
          <t xml:space="preserve">BE-C12</t>
        </is>
      </c>
      <c r="G132" s="2" t="inlineStr">
        <is>
          <t xml:space="preserve">P5</t>
        </is>
      </c>
      <c r="H132" s="2" t="inlineStr">
        <is>
          <t xml:space="preserve">change-request</t>
        </is>
      </c>
      <c r="I132" s="2" t="str">
        <f>INDEX(BE_Tasks!$P$2:$P$53,MATCH("BE-C12",BE_Tasks!$A$2:$A$53,0))</f>
        <v>Chưa làm</v>
      </c>
      <c r="J132" s="3">
        <f>INDEX(BE_Tasks!$X$2:$X$53,MATCH("BE-C12",BE_Tasks!$A$2:$A$53,0))</f>
        <v>0</v>
      </c>
      <c r="K132" s="2" t="inlineStr">
        <is>
          <t xml:space="preserve"/>
        </is>
      </c>
      <c r="L132" s="5" t="inlineStr">
        <is>
          <t xml:space="preserve">Mở API</t>
        </is>
      </c>
      <c r="M132" s="5" t="inlineStr">
        <is>
          <t xml:space="preserve">Mở task</t>
        </is>
      </c>
    </row>
    <row r="133" ht="72" customHeight="1">
      <c r="A133" s="0" t="inlineStr">
        <is>
          <t xml:space="preserve">API-132</t>
        </is>
      </c>
      <c r="B133" s="0" t="inlineStr">
        <is>
          <t xml:space="preserve">POST</t>
        </is>
      </c>
      <c r="C133" s="0" t="inlineStr">
        <is>
          <t xml:space="preserve">/api/v1/contract-change-requests/{requestId}/decision</t>
        </is>
      </c>
      <c r="D133" s="0" t="inlineStr">
        <is>
          <t xml:space="preserve">Chủ trọ duyệt/từ chối phương án</t>
        </is>
      </c>
      <c r="E133" s="8" t="inlineStr">
        <is>
          <t xml:space="preserve">C</t>
        </is>
      </c>
      <c r="F133" s="0" t="inlineStr">
        <is>
          <t xml:space="preserve">BE-C12</t>
        </is>
      </c>
      <c r="G133" s="0" t="inlineStr">
        <is>
          <t xml:space="preserve">P5</t>
        </is>
      </c>
      <c r="H133" s="0" t="inlineStr">
        <is>
          <t xml:space="preserve">change-request</t>
        </is>
      </c>
      <c r="I133" s="0" t="str">
        <f>INDEX(BE_Tasks!$P$2:$P$53,MATCH("BE-C12",BE_Tasks!$A$2:$A$53,0))</f>
        <v>Chưa làm</v>
      </c>
      <c r="J133" s="3">
        <f>INDEX(BE_Tasks!$X$2:$X$53,MATCH("BE-C12",BE_Tasks!$A$2:$A$53,0))</f>
        <v>0</v>
      </c>
      <c r="K133" s="0" t="inlineStr">
        <is>
          <t xml:space="preserve"/>
        </is>
      </c>
      <c r="L133" s="5" t="inlineStr">
        <is>
          <t xml:space="preserve">Mở API</t>
        </is>
      </c>
      <c r="M133" s="5" t="inlineStr">
        <is>
          <t xml:space="preserve">Mở task</t>
        </is>
      </c>
    </row>
    <row r="134" ht="72" customHeight="1">
      <c r="A134" s="2" t="inlineStr">
        <is>
          <t xml:space="preserve">API-133</t>
        </is>
      </c>
      <c r="B134" s="2" t="inlineStr">
        <is>
          <t xml:space="preserve">POST</t>
        </is>
      </c>
      <c r="C134" s="2" t="inlineStr">
        <is>
          <t xml:space="preserve">/api/v1/contract-change-requests/{requestId}/confirm</t>
        </is>
      </c>
      <c r="D134" s="2" t="inlineStr">
        <is>
          <t xml:space="preserve">Đại diện xác nhận đúng phương án</t>
        </is>
      </c>
      <c r="E134" s="8" t="inlineStr">
        <is>
          <t xml:space="preserve">C</t>
        </is>
      </c>
      <c r="F134" s="2" t="inlineStr">
        <is>
          <t xml:space="preserve">BE-C12</t>
        </is>
      </c>
      <c r="G134" s="2" t="inlineStr">
        <is>
          <t xml:space="preserve">P5</t>
        </is>
      </c>
      <c r="H134" s="2" t="inlineStr">
        <is>
          <t xml:space="preserve">change-request</t>
        </is>
      </c>
      <c r="I134" s="2" t="str">
        <f>INDEX(BE_Tasks!$P$2:$P$53,MATCH("BE-C12",BE_Tasks!$A$2:$A$53,0))</f>
        <v>Chưa làm</v>
      </c>
      <c r="J134" s="3">
        <f>INDEX(BE_Tasks!$X$2:$X$53,MATCH("BE-C12",BE_Tasks!$A$2:$A$53,0))</f>
        <v>0</v>
      </c>
      <c r="K134" s="2" t="inlineStr">
        <is>
          <t xml:space="preserve"/>
        </is>
      </c>
      <c r="L134" s="5" t="inlineStr">
        <is>
          <t xml:space="preserve">Mở API</t>
        </is>
      </c>
      <c r="M134" s="5" t="inlineStr">
        <is>
          <t xml:space="preserve">Mở task</t>
        </is>
      </c>
    </row>
    <row r="135" ht="72" customHeight="1">
      <c r="A135" s="0" t="inlineStr">
        <is>
          <t xml:space="preserve">API-134</t>
        </is>
      </c>
      <c r="B135" s="0" t="inlineStr">
        <is>
          <t xml:space="preserve">POST</t>
        </is>
      </c>
      <c r="C135" s="0" t="inlineStr">
        <is>
          <t xml:space="preserve">/api/v1/contract-change-requests/{requestId}/cancel</t>
        </is>
      </c>
      <c r="D135" s="0" t="inlineStr">
        <is>
          <t xml:space="preserve">Hủy yêu cầu điều chỉnh còn mở</t>
        </is>
      </c>
      <c r="E135" s="8" t="inlineStr">
        <is>
          <t xml:space="preserve">C</t>
        </is>
      </c>
      <c r="F135" s="0" t="inlineStr">
        <is>
          <t xml:space="preserve">BE-C12</t>
        </is>
      </c>
      <c r="G135" s="0" t="inlineStr">
        <is>
          <t xml:space="preserve">P5</t>
        </is>
      </c>
      <c r="H135" s="0" t="inlineStr">
        <is>
          <t xml:space="preserve">change-request</t>
        </is>
      </c>
      <c r="I135" s="0" t="str">
        <f>INDEX(BE_Tasks!$P$2:$P$53,MATCH("BE-C12",BE_Tasks!$A$2:$A$53,0))</f>
        <v>Chưa làm</v>
      </c>
      <c r="J135" s="3">
        <f>INDEX(BE_Tasks!$X$2:$X$53,MATCH("BE-C12",BE_Tasks!$A$2:$A$53,0))</f>
        <v>0</v>
      </c>
      <c r="K135" s="0" t="inlineStr">
        <is>
          <t xml:space="preserve"/>
        </is>
      </c>
      <c r="L135" s="5" t="inlineStr">
        <is>
          <t xml:space="preserve">Mở API</t>
        </is>
      </c>
      <c r="M135" s="5" t="inlineStr">
        <is>
          <t xml:space="preserve">Mở task</t>
        </is>
      </c>
    </row>
    <row r="136" ht="72" customHeight="1">
      <c r="A136" s="2" t="inlineStr">
        <is>
          <t xml:space="preserve">API-135</t>
        </is>
      </c>
      <c r="B136" s="2" t="inlineStr">
        <is>
          <t xml:space="preserve">POST</t>
        </is>
      </c>
      <c r="C136" s="2" t="inlineStr">
        <is>
          <t xml:space="preserve">/api/v1/contract-change-requests/{requestId}/apply</t>
        </is>
      </c>
      <c r="D136" s="2" t="inlineStr">
        <is>
          <t xml:space="preserve">Áp dụng yêu cầu đã đủ xác nhận</t>
        </is>
      </c>
      <c r="E136" s="8" t="inlineStr">
        <is>
          <t xml:space="preserve">C</t>
        </is>
      </c>
      <c r="F136" s="2" t="inlineStr">
        <is>
          <t xml:space="preserve">BE-C12</t>
        </is>
      </c>
      <c r="G136" s="2" t="inlineStr">
        <is>
          <t xml:space="preserve">P5</t>
        </is>
      </c>
      <c r="H136" s="2" t="inlineStr">
        <is>
          <t xml:space="preserve">change-request, renewal, transfer, end-lease</t>
        </is>
      </c>
      <c r="I136" s="2" t="str">
        <f>INDEX(BE_Tasks!$P$2:$P$53,MATCH("BE-C12",BE_Tasks!$A$2:$A$53,0))</f>
        <v>Chưa làm</v>
      </c>
      <c r="J136" s="3">
        <f>INDEX(BE_Tasks!$X$2:$X$53,MATCH("BE-C12",BE_Tasks!$A$2:$A$53,0))</f>
        <v>0</v>
      </c>
      <c r="K136" s="2" t="inlineStr">
        <is>
          <t xml:space="preserve"/>
        </is>
      </c>
      <c r="L136" s="5" t="inlineStr">
        <is>
          <t xml:space="preserve">Mở API</t>
        </is>
      </c>
      <c r="M136" s="5" t="inlineStr">
        <is>
          <t xml:space="preserve">Mở task</t>
        </is>
      </c>
    </row>
    <row r="137" ht="72" customHeight="1">
      <c r="A137" s="0" t="inlineStr">
        <is>
          <t xml:space="preserve">API-136</t>
        </is>
      </c>
      <c r="B137" s="0" t="inlineStr">
        <is>
          <t xml:space="preserve">GET</t>
        </is>
      </c>
      <c r="C137" s="0" t="inlineStr">
        <is>
          <t xml:space="preserve">/api/v1/contracts/{contractId}/transfer-options</t>
        </is>
      </c>
      <c r="D137" s="0" t="inlineStr">
        <is>
          <t xml:space="preserve">Phòng đích có thể chuyển toàn bộ nhóm</t>
        </is>
      </c>
      <c r="E137" s="8" t="inlineStr">
        <is>
          <t xml:space="preserve">C</t>
        </is>
      </c>
      <c r="F137" s="0" t="inlineStr">
        <is>
          <t xml:space="preserve">BE-C12</t>
        </is>
      </c>
      <c r="G137" s="0" t="inlineStr">
        <is>
          <t xml:space="preserve">P5</t>
        </is>
      </c>
      <c r="H137" s="0" t="inlineStr">
        <is>
          <t xml:space="preserve">transfer</t>
        </is>
      </c>
      <c r="I137" s="0" t="str">
        <f>INDEX(BE_Tasks!$P$2:$P$53,MATCH("BE-C12",BE_Tasks!$A$2:$A$53,0))</f>
        <v>Chưa làm</v>
      </c>
      <c r="J137" s="3">
        <f>INDEX(BE_Tasks!$X$2:$X$53,MATCH("BE-C12",BE_Tasks!$A$2:$A$53,0))</f>
        <v>0</v>
      </c>
      <c r="K137" s="0" t="inlineStr">
        <is>
          <t xml:space="preserve"/>
        </is>
      </c>
      <c r="L137" s="5" t="inlineStr">
        <is>
          <t xml:space="preserve">Mở API</t>
        </is>
      </c>
      <c r="M137" s="5" t="inlineStr">
        <is>
          <t xml:space="preserve">Mở task</t>
        </is>
      </c>
    </row>
    <row r="138" ht="72" customHeight="1">
      <c r="A138" s="2" t="inlineStr">
        <is>
          <t xml:space="preserve">API-137</t>
        </is>
      </c>
      <c r="B138" s="2" t="inlineStr">
        <is>
          <t xml:space="preserve">GET</t>
        </is>
      </c>
      <c r="C138" s="2" t="inlineStr">
        <is>
          <t xml:space="preserve">/api/v1/rental-services</t>
        </is>
      </c>
      <c r="D138" s="2" t="inlineStr">
        <is>
          <t xml:space="preserve">Danh mục dịch vụ cho cấu hình</t>
        </is>
      </c>
      <c r="E138" s="7" t="inlineStr">
        <is>
          <t xml:space="preserve">B</t>
        </is>
      </c>
      <c r="F138" s="2" t="inlineStr">
        <is>
          <t xml:space="preserve">BE-B03</t>
        </is>
      </c>
      <c r="G138" s="2" t="inlineStr">
        <is>
          <t xml:space="preserve">P1</t>
        </is>
      </c>
      <c r="H138" s="2" t="inlineStr">
        <is>
          <t xml:space="preserve">services</t>
        </is>
      </c>
      <c r="I138" s="2" t="str">
        <f>INDEX(BE_Tasks!$P$2:$P$53,MATCH("BE-B03",BE_Tasks!$A$2:$A$53,0))</f>
        <v>Chưa làm</v>
      </c>
      <c r="J138" s="3">
        <f>INDEX(BE_Tasks!$X$2:$X$53,MATCH("BE-B03",BE_Tasks!$A$2:$A$53,0))</f>
        <v>0</v>
      </c>
      <c r="K138" s="2" t="inlineStr">
        <is>
          <t xml:space="preserve"/>
        </is>
      </c>
      <c r="L138" s="5" t="inlineStr">
        <is>
          <t xml:space="preserve">Mở API</t>
        </is>
      </c>
      <c r="M138" s="5" t="inlineStr">
        <is>
          <t xml:space="preserve">Mở task</t>
        </is>
      </c>
    </row>
    <row r="139" ht="72" customHeight="1">
      <c r="A139" s="0" t="inlineStr">
        <is>
          <t xml:space="preserve">API-138</t>
        </is>
      </c>
      <c r="B139" s="0" t="inlineStr">
        <is>
          <t xml:space="preserve">POST</t>
        </is>
      </c>
      <c r="C139" s="0" t="inlineStr">
        <is>
          <t xml:space="preserve">/api/v1/admin/rental-services</t>
        </is>
      </c>
      <c r="D139" s="0" t="inlineStr">
        <is>
          <t xml:space="preserve">Quản trị bổ sung danh mục dịch vụ</t>
        </is>
      </c>
      <c r="E139" s="7" t="inlineStr">
        <is>
          <t xml:space="preserve">B</t>
        </is>
      </c>
      <c r="F139" s="0" t="inlineStr">
        <is>
          <t xml:space="preserve">BE-B03</t>
        </is>
      </c>
      <c r="G139" s="0" t="inlineStr">
        <is>
          <t xml:space="preserve">P1</t>
        </is>
      </c>
      <c r="H139" s="0" t="inlineStr">
        <is>
          <t xml:space="preserve">services</t>
        </is>
      </c>
      <c r="I139" s="0" t="str">
        <f>INDEX(BE_Tasks!$P$2:$P$53,MATCH("BE-B03",BE_Tasks!$A$2:$A$53,0))</f>
        <v>Chưa làm</v>
      </c>
      <c r="J139" s="3">
        <f>INDEX(BE_Tasks!$X$2:$X$53,MATCH("BE-B03",BE_Tasks!$A$2:$A$53,0))</f>
        <v>0</v>
      </c>
      <c r="K139" s="0" t="inlineStr">
        <is>
          <t xml:space="preserve"/>
        </is>
      </c>
      <c r="L139" s="5" t="inlineStr">
        <is>
          <t xml:space="preserve">Mở API</t>
        </is>
      </c>
      <c r="M139" s="5" t="inlineStr">
        <is>
          <t xml:space="preserve">Mở task</t>
        </is>
      </c>
    </row>
    <row r="140" ht="72" customHeight="1">
      <c r="A140" s="2" t="inlineStr">
        <is>
          <t xml:space="preserve">API-139</t>
        </is>
      </c>
      <c r="B140" s="2" t="inlineStr">
        <is>
          <t xml:space="preserve">PATCH</t>
        </is>
      </c>
      <c r="C140" s="2" t="inlineStr">
        <is>
          <t xml:space="preserve">/api/v1/admin/rental-services/{serviceId}</t>
        </is>
      </c>
      <c r="D140" s="2" t="inlineStr">
        <is>
          <t xml:space="preserve">Sửa nội dung mẫu dịch vụ</t>
        </is>
      </c>
      <c r="E140" s="7" t="inlineStr">
        <is>
          <t xml:space="preserve">B</t>
        </is>
      </c>
      <c r="F140" s="2" t="inlineStr">
        <is>
          <t xml:space="preserve">BE-B03</t>
        </is>
      </c>
      <c r="G140" s="2" t="inlineStr">
        <is>
          <t xml:space="preserve">P1</t>
        </is>
      </c>
      <c r="H140" s="2" t="inlineStr">
        <is>
          <t xml:space="preserve">services</t>
        </is>
      </c>
      <c r="I140" s="2" t="str">
        <f>INDEX(BE_Tasks!$P$2:$P$53,MATCH("BE-B03",BE_Tasks!$A$2:$A$53,0))</f>
        <v>Chưa làm</v>
      </c>
      <c r="J140" s="3">
        <f>INDEX(BE_Tasks!$X$2:$X$53,MATCH("BE-B03",BE_Tasks!$A$2:$A$53,0))</f>
        <v>0</v>
      </c>
      <c r="K140" s="2" t="inlineStr">
        <is>
          <t xml:space="preserve"/>
        </is>
      </c>
      <c r="L140" s="5" t="inlineStr">
        <is>
          <t xml:space="preserve">Mở API</t>
        </is>
      </c>
      <c r="M140" s="5" t="inlineStr">
        <is>
          <t xml:space="preserve">Mở task</t>
        </is>
      </c>
    </row>
    <row r="141" ht="72" customHeight="1">
      <c r="A141" s="0" t="inlineStr">
        <is>
          <t xml:space="preserve">API-140</t>
        </is>
      </c>
      <c r="B141" s="0" t="inlineStr">
        <is>
          <t xml:space="preserve">GET</t>
        </is>
      </c>
      <c r="C141" s="0" t="inlineStr">
        <is>
          <t xml:space="preserve">/api/v1/houses/{houseId}/services</t>
        </is>
      </c>
      <c r="D141" s="0" t="inlineStr">
        <is>
          <t xml:space="preserve">Cấu hình dịch vụ của nhà</t>
        </is>
      </c>
      <c r="E141" s="7" t="inlineStr">
        <is>
          <t xml:space="preserve">B</t>
        </is>
      </c>
      <c r="F141" s="0" t="inlineStr">
        <is>
          <t xml:space="preserve">BE-B03</t>
        </is>
      </c>
      <c r="G141" s="0" t="inlineStr">
        <is>
          <t xml:space="preserve">P1</t>
        </is>
      </c>
      <c r="H141" s="0" t="inlineStr">
        <is>
          <t xml:space="preserve">services</t>
        </is>
      </c>
      <c r="I141" s="0" t="str">
        <f>INDEX(BE_Tasks!$P$2:$P$53,MATCH("BE-B03",BE_Tasks!$A$2:$A$53,0))</f>
        <v>Chưa làm</v>
      </c>
      <c r="J141" s="3">
        <f>INDEX(BE_Tasks!$X$2:$X$53,MATCH("BE-B03",BE_Tasks!$A$2:$A$53,0))</f>
        <v>0</v>
      </c>
      <c r="K141" s="0" t="inlineStr">
        <is>
          <t xml:space="preserve"/>
        </is>
      </c>
      <c r="L141" s="5" t="inlineStr">
        <is>
          <t xml:space="preserve">Mở API</t>
        </is>
      </c>
      <c r="M141" s="5" t="inlineStr">
        <is>
          <t xml:space="preserve">Mở task</t>
        </is>
      </c>
    </row>
    <row r="142" ht="72" customHeight="1">
      <c r="A142" s="2" t="inlineStr">
        <is>
          <t xml:space="preserve">API-141</t>
        </is>
      </c>
      <c r="B142" s="2" t="inlineStr">
        <is>
          <t xml:space="preserve">POST</t>
        </is>
      </c>
      <c r="C142" s="2" t="inlineStr">
        <is>
          <t xml:space="preserve">/api/v1/houses/{houseId}/services</t>
        </is>
      </c>
      <c r="D142" s="2" t="inlineStr">
        <is>
          <t xml:space="preserve">Thêm dịch vụ vào nhà</t>
        </is>
      </c>
      <c r="E142" s="7" t="inlineStr">
        <is>
          <t xml:space="preserve">B</t>
        </is>
      </c>
      <c r="F142" s="2" t="inlineStr">
        <is>
          <t xml:space="preserve">BE-B03</t>
        </is>
      </c>
      <c r="G142" s="2" t="inlineStr">
        <is>
          <t xml:space="preserve">P1</t>
        </is>
      </c>
      <c r="H142" s="2" t="inlineStr">
        <is>
          <t xml:space="preserve">services</t>
        </is>
      </c>
      <c r="I142" s="2" t="str">
        <f>INDEX(BE_Tasks!$P$2:$P$53,MATCH("BE-B03",BE_Tasks!$A$2:$A$53,0))</f>
        <v>Chưa làm</v>
      </c>
      <c r="J142" s="3">
        <f>INDEX(BE_Tasks!$X$2:$X$53,MATCH("BE-B03",BE_Tasks!$A$2:$A$53,0))</f>
        <v>0</v>
      </c>
      <c r="K142" s="2" t="inlineStr">
        <is>
          <t xml:space="preserve"/>
        </is>
      </c>
      <c r="L142" s="5" t="inlineStr">
        <is>
          <t xml:space="preserve">Mở API</t>
        </is>
      </c>
      <c r="M142" s="5" t="inlineStr">
        <is>
          <t xml:space="preserve">Mở task</t>
        </is>
      </c>
    </row>
    <row r="143" ht="72" customHeight="1">
      <c r="A143" s="0" t="inlineStr">
        <is>
          <t xml:space="preserve">API-142</t>
        </is>
      </c>
      <c r="B143" s="0" t="inlineStr">
        <is>
          <t xml:space="preserve">PATCH</t>
        </is>
      </c>
      <c r="C143" s="0" t="inlineStr">
        <is>
          <t xml:space="preserve">/api/v1/houses/{houseId}/services/{houseServiceId}</t>
        </is>
      </c>
      <c r="D143" s="0" t="inlineStr">
        <is>
          <t xml:space="preserve">Sửa/bật/ngừng dịch vụ nhà</t>
        </is>
      </c>
      <c r="E143" s="7" t="inlineStr">
        <is>
          <t xml:space="preserve">B</t>
        </is>
      </c>
      <c r="F143" s="0" t="inlineStr">
        <is>
          <t xml:space="preserve">BE-B03</t>
        </is>
      </c>
      <c r="G143" s="0" t="inlineStr">
        <is>
          <t xml:space="preserve">P1</t>
        </is>
      </c>
      <c r="H143" s="0" t="inlineStr">
        <is>
          <t xml:space="preserve">services</t>
        </is>
      </c>
      <c r="I143" s="0" t="str">
        <f>INDEX(BE_Tasks!$P$2:$P$53,MATCH("BE-B03",BE_Tasks!$A$2:$A$53,0))</f>
        <v>Chưa làm</v>
      </c>
      <c r="J143" s="3">
        <f>INDEX(BE_Tasks!$X$2:$X$53,MATCH("BE-B03",BE_Tasks!$A$2:$A$53,0))</f>
        <v>0</v>
      </c>
      <c r="K143" s="0" t="inlineStr">
        <is>
          <t xml:space="preserve"/>
        </is>
      </c>
      <c r="L143" s="5" t="inlineStr">
        <is>
          <t xml:space="preserve">Mở API</t>
        </is>
      </c>
      <c r="M143" s="5" t="inlineStr">
        <is>
          <t xml:space="preserve">Mở task</t>
        </is>
      </c>
    </row>
    <row r="144" ht="72" customHeight="1">
      <c r="A144" s="2" t="inlineStr">
        <is>
          <t xml:space="preserve">API-143</t>
        </is>
      </c>
      <c r="B144" s="2" t="inlineStr">
        <is>
          <t xml:space="preserve">PUT</t>
        </is>
      </c>
      <c r="C144" s="2" t="inlineStr">
        <is>
          <t xml:space="preserve">/api/v1/rooms/{roomId}/service-settings/{houseServiceId}</t>
        </is>
      </c>
      <c r="D144" s="2" t="inlineStr">
        <is>
          <t xml:space="preserve">Gán hoặc đổi giá dịch vụ tại phòng</t>
        </is>
      </c>
      <c r="E144" s="7" t="inlineStr">
        <is>
          <t xml:space="preserve">B</t>
        </is>
      </c>
      <c r="F144" s="2" t="inlineStr">
        <is>
          <t xml:space="preserve">BE-B03</t>
        </is>
      </c>
      <c r="G144" s="2" t="inlineStr">
        <is>
          <t xml:space="preserve">P1</t>
        </is>
      </c>
      <c r="H144" s="2" t="inlineStr">
        <is>
          <t xml:space="preserve">services</t>
        </is>
      </c>
      <c r="I144" s="2" t="str">
        <f>INDEX(BE_Tasks!$P$2:$P$53,MATCH("BE-B03",BE_Tasks!$A$2:$A$53,0))</f>
        <v>Chưa làm</v>
      </c>
      <c r="J144" s="3">
        <f>INDEX(BE_Tasks!$X$2:$X$53,MATCH("BE-B03",BE_Tasks!$A$2:$A$53,0))</f>
        <v>0</v>
      </c>
      <c r="K144" s="2" t="inlineStr">
        <is>
          <t xml:space="preserve"/>
        </is>
      </c>
      <c r="L144" s="5" t="inlineStr">
        <is>
          <t xml:space="preserve">Mở API</t>
        </is>
      </c>
      <c r="M144" s="5" t="inlineStr">
        <is>
          <t xml:space="preserve">Mở task</t>
        </is>
      </c>
    </row>
    <row r="145" ht="72" customHeight="1">
      <c r="A145" s="0" t="inlineStr">
        <is>
          <t xml:space="preserve">API-144</t>
        </is>
      </c>
      <c r="B145" s="0" t="inlineStr">
        <is>
          <t xml:space="preserve">GET</t>
        </is>
      </c>
      <c r="C145" s="0" t="inlineStr">
        <is>
          <t xml:space="preserve">/api/v1/rooms/{roomId}/service-settings</t>
        </is>
      </c>
      <c r="D145" s="0" t="inlineStr">
        <is>
          <t xml:space="preserve">Cấu hình dịch vụ phòng để quản lý</t>
        </is>
      </c>
      <c r="E145" s="7" t="inlineStr">
        <is>
          <t xml:space="preserve">B</t>
        </is>
      </c>
      <c r="F145" s="0" t="inlineStr">
        <is>
          <t xml:space="preserve">BE-B03</t>
        </is>
      </c>
      <c r="G145" s="0" t="inlineStr">
        <is>
          <t xml:space="preserve">P1</t>
        </is>
      </c>
      <c r="H145" s="0" t="inlineStr">
        <is>
          <t xml:space="preserve">services</t>
        </is>
      </c>
      <c r="I145" s="0" t="str">
        <f>INDEX(BE_Tasks!$P$2:$P$53,MATCH("BE-B03",BE_Tasks!$A$2:$A$53,0))</f>
        <v>Chưa làm</v>
      </c>
      <c r="J145" s="3">
        <f>INDEX(BE_Tasks!$X$2:$X$53,MATCH("BE-B03",BE_Tasks!$A$2:$A$53,0))</f>
        <v>0</v>
      </c>
      <c r="K145" s="0" t="inlineStr">
        <is>
          <t xml:space="preserve"/>
        </is>
      </c>
      <c r="L145" s="5" t="inlineStr">
        <is>
          <t xml:space="preserve">Mở API</t>
        </is>
      </c>
      <c r="M145" s="5" t="inlineStr">
        <is>
          <t xml:space="preserve">Mở task</t>
        </is>
      </c>
    </row>
    <row r="146" ht="72" customHeight="1">
      <c r="A146" s="2" t="inlineStr">
        <is>
          <t xml:space="preserve">API-145</t>
        </is>
      </c>
      <c r="B146" s="2" t="inlineStr">
        <is>
          <t xml:space="preserve">GET</t>
        </is>
      </c>
      <c r="C146" s="2" t="inlineStr">
        <is>
          <t xml:space="preserve">/api/v1/invoices</t>
        </is>
      </c>
      <c r="D146" s="2" t="inlineStr">
        <is>
          <t xml:space="preserve">Danh sách hóa đơn được xem</t>
        </is>
      </c>
      <c r="E146" s="6" t="inlineStr">
        <is>
          <t xml:space="preserve">A</t>
        </is>
      </c>
      <c r="F146" s="2" t="inlineStr">
        <is>
          <t xml:space="preserve">BE-A10</t>
        </is>
      </c>
      <c r="G146" s="2" t="inlineStr">
        <is>
          <t xml:space="preserve">P4</t>
        </is>
      </c>
      <c r="H146" s="2" t="inlineStr">
        <is>
          <t xml:space="preserve">bill</t>
        </is>
      </c>
      <c r="I146" s="2" t="str">
        <f>INDEX(BE_Tasks!$P$2:$P$53,MATCH("BE-A10",BE_Tasks!$A$2:$A$53,0))</f>
        <v>Chưa làm</v>
      </c>
      <c r="J146" s="3">
        <f>INDEX(BE_Tasks!$X$2:$X$53,MATCH("BE-A10",BE_Tasks!$A$2:$A$53,0))</f>
        <v>0</v>
      </c>
      <c r="K146" s="2" t="inlineStr">
        <is>
          <t xml:space="preserve"/>
        </is>
      </c>
      <c r="L146" s="5" t="inlineStr">
        <is>
          <t xml:space="preserve">Mở API</t>
        </is>
      </c>
      <c r="M146" s="5" t="inlineStr">
        <is>
          <t xml:space="preserve">Mở task</t>
        </is>
      </c>
    </row>
    <row r="147" ht="72" customHeight="1">
      <c r="A147" s="0" t="inlineStr">
        <is>
          <t xml:space="preserve">API-146</t>
        </is>
      </c>
      <c r="B147" s="0" t="inlineStr">
        <is>
          <t xml:space="preserve">GET</t>
        </is>
      </c>
      <c r="C147" s="0" t="inlineStr">
        <is>
          <t xml:space="preserve">/api/v1/invoices/{invoiceId}</t>
        </is>
      </c>
      <c r="D147" s="0" t="inlineStr">
        <is>
          <t xml:space="preserve">Chi tiết dòng tiền và người trả tại kỳ lập</t>
        </is>
      </c>
      <c r="E147" s="6" t="inlineStr">
        <is>
          <t xml:space="preserve">A</t>
        </is>
      </c>
      <c r="F147" s="0" t="inlineStr">
        <is>
          <t xml:space="preserve">BE-A10</t>
        </is>
      </c>
      <c r="G147" s="0" t="inlineStr">
        <is>
          <t xml:space="preserve">P4</t>
        </is>
      </c>
      <c r="H147" s="0" t="inlineStr">
        <is>
          <t xml:space="preserve">bill</t>
        </is>
      </c>
      <c r="I147" s="0" t="str">
        <f>INDEX(BE_Tasks!$P$2:$P$53,MATCH("BE-A10",BE_Tasks!$A$2:$A$53,0))</f>
        <v>Chưa làm</v>
      </c>
      <c r="J147" s="3">
        <f>INDEX(BE_Tasks!$X$2:$X$53,MATCH("BE-A10",BE_Tasks!$A$2:$A$53,0))</f>
        <v>0</v>
      </c>
      <c r="K147" s="0" t="inlineStr">
        <is>
          <t xml:space="preserve"/>
        </is>
      </c>
      <c r="L147" s="5" t="inlineStr">
        <is>
          <t xml:space="preserve">Mở API</t>
        </is>
      </c>
      <c r="M147" s="5" t="inlineStr">
        <is>
          <t xml:space="preserve">Mở task</t>
        </is>
      </c>
    </row>
    <row r="148" ht="72" customHeight="1">
      <c r="A148" s="2" t="inlineStr">
        <is>
          <t xml:space="preserve">API-147</t>
        </is>
      </c>
      <c r="B148" s="2" t="inlineStr">
        <is>
          <t xml:space="preserve">POST</t>
        </is>
      </c>
      <c r="C148" s="2" t="inlineStr">
        <is>
          <t xml:space="preserve">/api/v1/invoices</t>
        </is>
      </c>
      <c r="D148" s="2" t="inlineStr">
        <is>
          <t xml:space="preserve">Lập hóa đơn nháp theo kỳ</t>
        </is>
      </c>
      <c r="E148" s="6" t="inlineStr">
        <is>
          <t xml:space="preserve">A</t>
        </is>
      </c>
      <c r="F148" s="2" t="inlineStr">
        <is>
          <t xml:space="preserve">BE-A10</t>
        </is>
      </c>
      <c r="G148" s="2" t="inlineStr">
        <is>
          <t xml:space="preserve">P4</t>
        </is>
      </c>
      <c r="H148" s="2" t="inlineStr">
        <is>
          <t xml:space="preserve">bill</t>
        </is>
      </c>
      <c r="I148" s="2" t="str">
        <f>INDEX(BE_Tasks!$P$2:$P$53,MATCH("BE-A10",BE_Tasks!$A$2:$A$53,0))</f>
        <v>Chưa làm</v>
      </c>
      <c r="J148" s="3">
        <f>INDEX(BE_Tasks!$X$2:$X$53,MATCH("BE-A10",BE_Tasks!$A$2:$A$53,0))</f>
        <v>0</v>
      </c>
      <c r="K148" s="2" t="inlineStr">
        <is>
          <t xml:space="preserve"/>
        </is>
      </c>
      <c r="L148" s="5" t="inlineStr">
        <is>
          <t xml:space="preserve">Mở API</t>
        </is>
      </c>
      <c r="M148" s="5" t="inlineStr">
        <is>
          <t xml:space="preserve">Mở task</t>
        </is>
      </c>
    </row>
    <row r="149" ht="72" customHeight="1">
      <c r="A149" s="0" t="inlineStr">
        <is>
          <t xml:space="preserve">API-148</t>
        </is>
      </c>
      <c r="B149" s="0" t="inlineStr">
        <is>
          <t xml:space="preserve">PATCH</t>
        </is>
      </c>
      <c r="C149" s="0" t="inlineStr">
        <is>
          <t xml:space="preserve">/api/v1/invoices/{invoiceId}</t>
        </is>
      </c>
      <c r="D149" s="0" t="inlineStr">
        <is>
          <t xml:space="preserve">Sửa toàn bộ nội dung hóa đơn nháp</t>
        </is>
      </c>
      <c r="E149" s="6" t="inlineStr">
        <is>
          <t xml:space="preserve">A</t>
        </is>
      </c>
      <c r="F149" s="0" t="inlineStr">
        <is>
          <t xml:space="preserve">BE-A10</t>
        </is>
      </c>
      <c r="G149" s="0" t="inlineStr">
        <is>
          <t xml:space="preserve">P4</t>
        </is>
      </c>
      <c r="H149" s="0" t="inlineStr">
        <is>
          <t xml:space="preserve">bill</t>
        </is>
      </c>
      <c r="I149" s="0" t="str">
        <f>INDEX(BE_Tasks!$P$2:$P$53,MATCH("BE-A10",BE_Tasks!$A$2:$A$53,0))</f>
        <v>Chưa làm</v>
      </c>
      <c r="J149" s="3">
        <f>INDEX(BE_Tasks!$X$2:$X$53,MATCH("BE-A10",BE_Tasks!$A$2:$A$53,0))</f>
        <v>0</v>
      </c>
      <c r="K149" s="0" t="inlineStr">
        <is>
          <t xml:space="preserve"/>
        </is>
      </c>
      <c r="L149" s="5" t="inlineStr">
        <is>
          <t xml:space="preserve">Mở API</t>
        </is>
      </c>
      <c r="M149" s="5" t="inlineStr">
        <is>
          <t xml:space="preserve">Mở task</t>
        </is>
      </c>
    </row>
    <row r="150" ht="72" customHeight="1">
      <c r="A150" s="2" t="inlineStr">
        <is>
          <t xml:space="preserve">API-149</t>
        </is>
      </c>
      <c r="B150" s="2" t="inlineStr">
        <is>
          <t xml:space="preserve">POST</t>
        </is>
      </c>
      <c r="C150" s="2" t="inlineStr">
        <is>
          <t xml:space="preserve">/api/v1/invoices/{invoiceId}/issue</t>
        </is>
      </c>
      <c r="D150" s="2" t="inlineStr">
        <is>
          <t xml:space="preserve">Phát hành hóa đơn có dòng tiền</t>
        </is>
      </c>
      <c r="E150" s="6" t="inlineStr">
        <is>
          <t xml:space="preserve">A</t>
        </is>
      </c>
      <c r="F150" s="2" t="inlineStr">
        <is>
          <t xml:space="preserve">BE-A13</t>
        </is>
      </c>
      <c r="G150" s="2" t="inlineStr">
        <is>
          <t xml:space="preserve">P5</t>
        </is>
      </c>
      <c r="H150" s="2" t="inlineStr">
        <is>
          <t xml:space="preserve">pay-invoice</t>
        </is>
      </c>
      <c r="I150" s="2" t="str">
        <f>INDEX(BE_Tasks!$P$2:$P$53,MATCH("BE-A13",BE_Tasks!$A$2:$A$53,0))</f>
        <v>Chưa làm</v>
      </c>
      <c r="J150" s="3">
        <f>INDEX(BE_Tasks!$X$2:$X$53,MATCH("BE-A13",BE_Tasks!$A$2:$A$53,0))</f>
        <v>0</v>
      </c>
      <c r="K150" s="2" t="inlineStr">
        <is>
          <t xml:space="preserve"/>
        </is>
      </c>
      <c r="L150" s="5" t="inlineStr">
        <is>
          <t xml:space="preserve">Mở API</t>
        </is>
      </c>
      <c r="M150" s="5" t="inlineStr">
        <is>
          <t xml:space="preserve">Mở task</t>
        </is>
      </c>
    </row>
    <row r="151" ht="72" customHeight="1">
      <c r="A151" s="0" t="inlineStr">
        <is>
          <t xml:space="preserve">API-150</t>
        </is>
      </c>
      <c r="B151" s="0" t="inlineStr">
        <is>
          <t xml:space="preserve">POST</t>
        </is>
      </c>
      <c r="C151" s="0" t="inlineStr">
        <is>
          <t xml:space="preserve">/api/v1/invoices/{invoiceId}/payment-confirmation</t>
        </is>
      </c>
      <c r="D151" s="0" t="inlineStr">
        <is>
          <t xml:space="preserve">Ghi nhận chủ trọ đã thu đủ</t>
        </is>
      </c>
      <c r="E151" s="6" t="inlineStr">
        <is>
          <t xml:space="preserve">A</t>
        </is>
      </c>
      <c r="F151" s="0" t="inlineStr">
        <is>
          <t xml:space="preserve">BE-A13</t>
        </is>
      </c>
      <c r="G151" s="0" t="inlineStr">
        <is>
          <t xml:space="preserve">P5</t>
        </is>
      </c>
      <c r="H151" s="0" t="inlineStr">
        <is>
          <t xml:space="preserve">pay-invoice</t>
        </is>
      </c>
      <c r="I151" s="0" t="str">
        <f>INDEX(BE_Tasks!$P$2:$P$53,MATCH("BE-A13",BE_Tasks!$A$2:$A$53,0))</f>
        <v>Chưa làm</v>
      </c>
      <c r="J151" s="3">
        <f>INDEX(BE_Tasks!$X$2:$X$53,MATCH("BE-A13",BE_Tasks!$A$2:$A$53,0))</f>
        <v>0</v>
      </c>
      <c r="K151" s="0" t="inlineStr">
        <is>
          <t xml:space="preserve">D12</t>
        </is>
      </c>
      <c r="L151" s="5" t="inlineStr">
        <is>
          <t xml:space="preserve">Mở API</t>
        </is>
      </c>
      <c r="M151" s="5" t="inlineStr">
        <is>
          <t xml:space="preserve">Mở task</t>
        </is>
      </c>
    </row>
    <row r="152" ht="72" customHeight="1">
      <c r="A152" s="2" t="inlineStr">
        <is>
          <t xml:space="preserve">API-151</t>
        </is>
      </c>
      <c r="B152" s="2" t="inlineStr">
        <is>
          <t xml:space="preserve">POST</t>
        </is>
      </c>
      <c r="C152" s="2" t="inlineStr">
        <is>
          <t xml:space="preserve">/api/v1/invoices/{invoiceId}/cancel</t>
        </is>
      </c>
      <c r="D152" s="2" t="inlineStr">
        <is>
          <t xml:space="preserve">Hủy hóa đơn phát hành chưa thu</t>
        </is>
      </c>
      <c r="E152" s="6" t="inlineStr">
        <is>
          <t xml:space="preserve">A</t>
        </is>
      </c>
      <c r="F152" s="2" t="inlineStr">
        <is>
          <t xml:space="preserve">BE-A13</t>
        </is>
      </c>
      <c r="G152" s="2" t="inlineStr">
        <is>
          <t xml:space="preserve">P5</t>
        </is>
      </c>
      <c r="H152" s="2" t="inlineStr">
        <is>
          <t xml:space="preserve">pay-invoice</t>
        </is>
      </c>
      <c r="I152" s="2" t="str">
        <f>INDEX(BE_Tasks!$P$2:$P$53,MATCH("BE-A13",BE_Tasks!$A$2:$A$53,0))</f>
        <v>Chưa làm</v>
      </c>
      <c r="J152" s="3">
        <f>INDEX(BE_Tasks!$X$2:$X$53,MATCH("BE-A13",BE_Tasks!$A$2:$A$53,0))</f>
        <v>0</v>
      </c>
      <c r="K152" s="2" t="inlineStr">
        <is>
          <t xml:space="preserve"/>
        </is>
      </c>
      <c r="L152" s="5" t="inlineStr">
        <is>
          <t xml:space="preserve">Mở API</t>
        </is>
      </c>
      <c r="M152" s="5" t="inlineStr">
        <is>
          <t xml:space="preserve">Mở task</t>
        </is>
      </c>
    </row>
    <row r="153" ht="72" customHeight="1">
      <c r="A153" s="0" t="inlineStr">
        <is>
          <t xml:space="preserve">API-152</t>
        </is>
      </c>
      <c r="B153" s="0" t="inlineStr">
        <is>
          <t xml:space="preserve">POST</t>
        </is>
      </c>
      <c r="C153" s="0" t="inlineStr">
        <is>
          <t xml:space="preserve">/api/v1/invoices/{invoiceId}/replacements</t>
        </is>
      </c>
      <c r="D153" s="0" t="inlineStr">
        <is>
          <t xml:space="preserve">Lập bản nháp thay hóa đơn đã hủy</t>
        </is>
      </c>
      <c r="E153" s="6" t="inlineStr">
        <is>
          <t xml:space="preserve">A</t>
        </is>
      </c>
      <c r="F153" s="0" t="inlineStr">
        <is>
          <t xml:space="preserve">BE-A13</t>
        </is>
      </c>
      <c r="G153" s="0" t="inlineStr">
        <is>
          <t xml:space="preserve">P5</t>
        </is>
      </c>
      <c r="H153" s="0" t="inlineStr">
        <is>
          <t xml:space="preserve">pay-invoice</t>
        </is>
      </c>
      <c r="I153" s="0" t="str">
        <f>INDEX(BE_Tasks!$P$2:$P$53,MATCH("BE-A13",BE_Tasks!$A$2:$A$53,0))</f>
        <v>Chưa làm</v>
      </c>
      <c r="J153" s="3">
        <f>INDEX(BE_Tasks!$X$2:$X$53,MATCH("BE-A13",BE_Tasks!$A$2:$A$53,0))</f>
        <v>0</v>
      </c>
      <c r="K153" s="0" t="inlineStr">
        <is>
          <t xml:space="preserve"/>
        </is>
      </c>
      <c r="L153" s="5" t="inlineStr">
        <is>
          <t xml:space="preserve">Mở API</t>
        </is>
      </c>
      <c r="M153" s="5" t="inlineStr">
        <is>
          <t xml:space="preserve">Mở task</t>
        </is>
      </c>
    </row>
    <row r="154" ht="72" customHeight="1">
      <c r="A154" s="2" t="inlineStr">
        <is>
          <t xml:space="preserve">API-153</t>
        </is>
      </c>
      <c r="B154" s="2" t="inlineStr">
        <is>
          <t xml:space="preserve">GET</t>
        </is>
      </c>
      <c r="C154" s="2" t="inlineStr">
        <is>
          <t xml:space="preserve">/api/v1/rooms/{roomId}/reviews</t>
        </is>
      </c>
      <c r="D154" s="2" t="inlineStr">
        <is>
          <t xml:space="preserve">Đánh giá phòng được công khai</t>
        </is>
      </c>
      <c r="E154" s="7" t="inlineStr">
        <is>
          <t xml:space="preserve">B</t>
        </is>
      </c>
      <c r="F154" s="2" t="inlineStr">
        <is>
          <t xml:space="preserve">BE-B16</t>
        </is>
      </c>
      <c r="G154" s="2" t="inlineStr">
        <is>
          <t xml:space="preserve">P6</t>
        </is>
      </c>
      <c r="H154" s="2" t="inlineStr">
        <is>
          <t xml:space="preserve">review</t>
        </is>
      </c>
      <c r="I154" s="2" t="str">
        <f>INDEX(BE_Tasks!$P$2:$P$53,MATCH("BE-B16",BE_Tasks!$A$2:$A$53,0))</f>
        <v>Chưa làm</v>
      </c>
      <c r="J154" s="3">
        <f>INDEX(BE_Tasks!$X$2:$X$53,MATCH("BE-B16",BE_Tasks!$A$2:$A$53,0))</f>
        <v>0</v>
      </c>
      <c r="K154" s="2" t="inlineStr">
        <is>
          <t xml:space="preserve"/>
        </is>
      </c>
      <c r="L154" s="5" t="inlineStr">
        <is>
          <t xml:space="preserve">Mở API</t>
        </is>
      </c>
      <c r="M154" s="5" t="inlineStr">
        <is>
          <t xml:space="preserve">Mở task</t>
        </is>
      </c>
    </row>
    <row r="155" ht="72" customHeight="1">
      <c r="A155" s="0" t="inlineStr">
        <is>
          <t xml:space="preserve">API-154</t>
        </is>
      </c>
      <c r="B155" s="0" t="inlineStr">
        <is>
          <t xml:space="preserve">POST</t>
        </is>
      </c>
      <c r="C155" s="0" t="inlineStr">
        <is>
          <t xml:space="preserve">/api/v1/reviews</t>
        </is>
      </c>
      <c r="D155" s="0" t="inlineStr">
        <is>
          <t xml:space="preserve">Đánh giá bằng lượt cư trú thực tế</t>
        </is>
      </c>
      <c r="E155" s="7" t="inlineStr">
        <is>
          <t xml:space="preserve">B</t>
        </is>
      </c>
      <c r="F155" s="0" t="inlineStr">
        <is>
          <t xml:space="preserve">BE-B16</t>
        </is>
      </c>
      <c r="G155" s="0" t="inlineStr">
        <is>
          <t xml:space="preserve">P6</t>
        </is>
      </c>
      <c r="H155" s="0" t="inlineStr">
        <is>
          <t xml:space="preserve">review</t>
        </is>
      </c>
      <c r="I155" s="0" t="str">
        <f>INDEX(BE_Tasks!$P$2:$P$53,MATCH("BE-B16",BE_Tasks!$A$2:$A$53,0))</f>
        <v>Chưa làm</v>
      </c>
      <c r="J155" s="3">
        <f>INDEX(BE_Tasks!$X$2:$X$53,MATCH("BE-B16",BE_Tasks!$A$2:$A$53,0))</f>
        <v>0</v>
      </c>
      <c r="K155" s="0" t="inlineStr">
        <is>
          <t xml:space="preserve">D13</t>
        </is>
      </c>
      <c r="L155" s="5" t="inlineStr">
        <is>
          <t xml:space="preserve">Mở API</t>
        </is>
      </c>
      <c r="M155" s="5" t="inlineStr">
        <is>
          <t xml:space="preserve">Mở task</t>
        </is>
      </c>
    </row>
    <row r="156" ht="72" customHeight="1">
      <c r="A156" s="2" t="inlineStr">
        <is>
          <t xml:space="preserve">API-155</t>
        </is>
      </c>
      <c r="B156" s="2" t="inlineStr">
        <is>
          <t xml:space="preserve">POST</t>
        </is>
      </c>
      <c r="C156" s="2" t="inlineStr">
        <is>
          <t xml:space="preserve">/api/v1/admin/reviews/{reviewId}/moderation</t>
        </is>
      </c>
      <c r="D156" s="2" t="inlineStr">
        <is>
          <t xml:space="preserve">Ẩn/khôi phục/xóa mềm đánh giá</t>
        </is>
      </c>
      <c r="E156" s="7" t="inlineStr">
        <is>
          <t xml:space="preserve">B</t>
        </is>
      </c>
      <c r="F156" s="2" t="inlineStr">
        <is>
          <t xml:space="preserve">BE-B16</t>
        </is>
      </c>
      <c r="G156" s="2" t="inlineStr">
        <is>
          <t xml:space="preserve">P6</t>
        </is>
      </c>
      <c r="H156" s="2" t="inlineStr">
        <is>
          <t xml:space="preserve">review</t>
        </is>
      </c>
      <c r="I156" s="2" t="str">
        <f>INDEX(BE_Tasks!$P$2:$P$53,MATCH("BE-B16",BE_Tasks!$A$2:$A$53,0))</f>
        <v>Chưa làm</v>
      </c>
      <c r="J156" s="3">
        <f>INDEX(BE_Tasks!$X$2:$X$53,MATCH("BE-B16",BE_Tasks!$A$2:$A$53,0))</f>
        <v>0</v>
      </c>
      <c r="K156" s="2" t="inlineStr">
        <is>
          <t xml:space="preserve">D14</t>
        </is>
      </c>
      <c r="L156" s="5" t="inlineStr">
        <is>
          <t xml:space="preserve">Mở API</t>
        </is>
      </c>
      <c r="M156" s="5" t="inlineStr">
        <is>
          <t xml:space="preserve">Mở task</t>
        </is>
      </c>
    </row>
    <row r="157" ht="72" customHeight="1">
      <c r="A157" s="0" t="inlineStr">
        <is>
          <t xml:space="preserve">API-156</t>
        </is>
      </c>
      <c r="B157" s="0" t="inlineStr">
        <is>
          <t xml:space="preserve">POST</t>
        </is>
      </c>
      <c r="C157" s="0" t="inlineStr">
        <is>
          <t xml:space="preserve">/api/v1/reports</t>
        </is>
      </c>
      <c r="D157" s="0" t="inlineStr">
        <is>
          <t xml:space="preserve">Gửi báo cáo hoặc tranh chấp</t>
        </is>
      </c>
      <c r="E157" s="7" t="inlineStr">
        <is>
          <t xml:space="preserve">B</t>
        </is>
      </c>
      <c r="F157" s="0" t="inlineStr">
        <is>
          <t xml:space="preserve">BE-B14</t>
        </is>
      </c>
      <c r="G157" s="0" t="inlineStr">
        <is>
          <t xml:space="preserve">P5</t>
        </is>
      </c>
      <c r="H157" s="0" t="inlineStr">
        <is>
          <t xml:space="preserve">report</t>
        </is>
      </c>
      <c r="I157" s="0" t="str">
        <f>INDEX(BE_Tasks!$P$2:$P$53,MATCH("BE-B14",BE_Tasks!$A$2:$A$53,0))</f>
        <v>Chưa làm</v>
      </c>
      <c r="J157" s="3">
        <f>INDEX(BE_Tasks!$X$2:$X$53,MATCH("BE-B14",BE_Tasks!$A$2:$A$53,0))</f>
        <v>0</v>
      </c>
      <c r="K157" s="0" t="inlineStr">
        <is>
          <t xml:space="preserve"/>
        </is>
      </c>
      <c r="L157" s="5" t="inlineStr">
        <is>
          <t xml:space="preserve">Mở API</t>
        </is>
      </c>
      <c r="M157" s="5" t="inlineStr">
        <is>
          <t xml:space="preserve">Mở task</t>
        </is>
      </c>
    </row>
    <row r="158" ht="72" customHeight="1">
      <c r="A158" s="2" t="inlineStr">
        <is>
          <t xml:space="preserve">API-157</t>
        </is>
      </c>
      <c r="B158" s="2" t="inlineStr">
        <is>
          <t xml:space="preserve">GET</t>
        </is>
      </c>
      <c r="C158" s="2" t="inlineStr">
        <is>
          <t xml:space="preserve">/api/v1/me/reports</t>
        </is>
      </c>
      <c r="D158" s="2" t="inlineStr">
        <is>
          <t xml:space="preserve">Báo cáo mình đã gửi và kết luận</t>
        </is>
      </c>
      <c r="E158" s="7" t="inlineStr">
        <is>
          <t xml:space="preserve">B</t>
        </is>
      </c>
      <c r="F158" s="2" t="inlineStr">
        <is>
          <t xml:space="preserve">BE-B14</t>
        </is>
      </c>
      <c r="G158" s="2" t="inlineStr">
        <is>
          <t xml:space="preserve">P5</t>
        </is>
      </c>
      <c r="H158" s="2" t="inlineStr">
        <is>
          <t xml:space="preserve">report</t>
        </is>
      </c>
      <c r="I158" s="2" t="str">
        <f>INDEX(BE_Tasks!$P$2:$P$53,MATCH("BE-B14",BE_Tasks!$A$2:$A$53,0))</f>
        <v>Chưa làm</v>
      </c>
      <c r="J158" s="3">
        <f>INDEX(BE_Tasks!$X$2:$X$53,MATCH("BE-B14",BE_Tasks!$A$2:$A$53,0))</f>
        <v>0</v>
      </c>
      <c r="K158" s="2" t="inlineStr">
        <is>
          <t xml:space="preserve"/>
        </is>
      </c>
      <c r="L158" s="5" t="inlineStr">
        <is>
          <t xml:space="preserve">Mở API</t>
        </is>
      </c>
      <c r="M158" s="5" t="inlineStr">
        <is>
          <t xml:space="preserve">Mở task</t>
        </is>
      </c>
    </row>
    <row r="159" ht="72" customHeight="1">
      <c r="A159" s="0" t="inlineStr">
        <is>
          <t xml:space="preserve">API-158</t>
        </is>
      </c>
      <c r="B159" s="0" t="inlineStr">
        <is>
          <t xml:space="preserve">GET</t>
        </is>
      </c>
      <c r="C159" s="0" t="inlineStr">
        <is>
          <t xml:space="preserve">/api/v1/admin/reports</t>
        </is>
      </c>
      <c r="D159" s="0" t="inlineStr">
        <is>
          <t xml:space="preserve">Hàng đợi báo cáo</t>
        </is>
      </c>
      <c r="E159" s="7" t="inlineStr">
        <is>
          <t xml:space="preserve">B</t>
        </is>
      </c>
      <c r="F159" s="0" t="inlineStr">
        <is>
          <t xml:space="preserve">BE-B14</t>
        </is>
      </c>
      <c r="G159" s="0" t="inlineStr">
        <is>
          <t xml:space="preserve">P5</t>
        </is>
      </c>
      <c r="H159" s="0" t="inlineStr">
        <is>
          <t xml:space="preserve">report</t>
        </is>
      </c>
      <c r="I159" s="0" t="str">
        <f>INDEX(BE_Tasks!$P$2:$P$53,MATCH("BE-B14",BE_Tasks!$A$2:$A$53,0))</f>
        <v>Chưa làm</v>
      </c>
      <c r="J159" s="3">
        <f>INDEX(BE_Tasks!$X$2:$X$53,MATCH("BE-B14",BE_Tasks!$A$2:$A$53,0))</f>
        <v>0</v>
      </c>
      <c r="K159" s="0" t="inlineStr">
        <is>
          <t xml:space="preserve"/>
        </is>
      </c>
      <c r="L159" s="5" t="inlineStr">
        <is>
          <t xml:space="preserve">Mở API</t>
        </is>
      </c>
      <c r="M159" s="5" t="inlineStr">
        <is>
          <t xml:space="preserve">Mở task</t>
        </is>
      </c>
    </row>
    <row r="160" ht="72" customHeight="1">
      <c r="A160" s="2" t="inlineStr">
        <is>
          <t xml:space="preserve">API-159</t>
        </is>
      </c>
      <c r="B160" s="2" t="inlineStr">
        <is>
          <t xml:space="preserve">GET</t>
        </is>
      </c>
      <c r="C160" s="2" t="inlineStr">
        <is>
          <t xml:space="preserve">/api/v1/admin/reports/{reportId}</t>
        </is>
      </c>
      <c r="D160" s="2" t="inlineStr">
        <is>
          <t xml:space="preserve">Chi tiết báo cáo và bằng chứng</t>
        </is>
      </c>
      <c r="E160" s="7" t="inlineStr">
        <is>
          <t xml:space="preserve">B</t>
        </is>
      </c>
      <c r="F160" s="2" t="inlineStr">
        <is>
          <t xml:space="preserve">BE-B14</t>
        </is>
      </c>
      <c r="G160" s="2" t="inlineStr">
        <is>
          <t xml:space="preserve">P5</t>
        </is>
      </c>
      <c r="H160" s="2" t="inlineStr">
        <is>
          <t xml:space="preserve">report</t>
        </is>
      </c>
      <c r="I160" s="2" t="str">
        <f>INDEX(BE_Tasks!$P$2:$P$53,MATCH("BE-B14",BE_Tasks!$A$2:$A$53,0))</f>
        <v>Chưa làm</v>
      </c>
      <c r="J160" s="3">
        <f>INDEX(BE_Tasks!$X$2:$X$53,MATCH("BE-B14",BE_Tasks!$A$2:$A$53,0))</f>
        <v>0</v>
      </c>
      <c r="K160" s="2" t="inlineStr">
        <is>
          <t xml:space="preserve"/>
        </is>
      </c>
      <c r="L160" s="5" t="inlineStr">
        <is>
          <t xml:space="preserve">Mở API</t>
        </is>
      </c>
      <c r="M160" s="5" t="inlineStr">
        <is>
          <t xml:space="preserve">Mở task</t>
        </is>
      </c>
    </row>
    <row r="161" ht="72" customHeight="1">
      <c r="A161" s="0" t="inlineStr">
        <is>
          <t xml:space="preserve">API-160</t>
        </is>
      </c>
      <c r="B161" s="0" t="inlineStr">
        <is>
          <t xml:space="preserve">POST</t>
        </is>
      </c>
      <c r="C161" s="0" t="inlineStr">
        <is>
          <t xml:space="preserve">/api/v1/admin/reports/{reportId}/decision</t>
        </is>
      </c>
      <c r="D161" s="0" t="inlineStr">
        <is>
          <t xml:space="preserve">Điều tra hoặc kết luận báo cáo</t>
        </is>
      </c>
      <c r="E161" s="7" t="inlineStr">
        <is>
          <t xml:space="preserve">B</t>
        </is>
      </c>
      <c r="F161" s="0" t="inlineStr">
        <is>
          <t xml:space="preserve">BE-B14</t>
        </is>
      </c>
      <c r="G161" s="0" t="inlineStr">
        <is>
          <t xml:space="preserve">P5</t>
        </is>
      </c>
      <c r="H161" s="0" t="inlineStr">
        <is>
          <t xml:space="preserve">report</t>
        </is>
      </c>
      <c r="I161" s="0" t="str">
        <f>INDEX(BE_Tasks!$P$2:$P$53,MATCH("BE-B14",BE_Tasks!$A$2:$A$53,0))</f>
        <v>Chưa làm</v>
      </c>
      <c r="J161" s="3">
        <f>INDEX(BE_Tasks!$X$2:$X$53,MATCH("BE-B14",BE_Tasks!$A$2:$A$53,0))</f>
        <v>0</v>
      </c>
      <c r="K161" s="0" t="inlineStr">
        <is>
          <t xml:space="preserve"/>
        </is>
      </c>
      <c r="L161" s="5" t="inlineStr">
        <is>
          <t xml:space="preserve">Mở API</t>
        </is>
      </c>
      <c r="M161" s="5" t="inlineStr">
        <is>
          <t xml:space="preserve">Mở task</t>
        </is>
      </c>
    </row>
    <row r="162" ht="72" customHeight="1">
      <c r="A162" s="2" t="inlineStr">
        <is>
          <t xml:space="preserve">API-161</t>
        </is>
      </c>
      <c r="B162" s="2" t="inlineStr">
        <is>
          <t xml:space="preserve">GET</t>
        </is>
      </c>
      <c r="C162" s="2" t="inlineStr">
        <is>
          <t xml:space="preserve">/api/v1/admin/users</t>
        </is>
      </c>
      <c r="D162" s="2" t="inlineStr">
        <is>
          <t xml:space="preserve">Quản lý tài khoản và vai trò</t>
        </is>
      </c>
      <c r="E162" s="6" t="inlineStr">
        <is>
          <t xml:space="preserve">A</t>
        </is>
      </c>
      <c r="F162" s="2" t="inlineStr">
        <is>
          <t xml:space="preserve">BE-A12</t>
        </is>
      </c>
      <c r="G162" s="2" t="inlineStr">
        <is>
          <t xml:space="preserve">P4</t>
        </is>
      </c>
      <c r="H162" s="2" t="inlineStr">
        <is>
          <t xml:space="preserve">lock-account</t>
        </is>
      </c>
      <c r="I162" s="2" t="str">
        <f>INDEX(BE_Tasks!$P$2:$P$53,MATCH("BE-A12",BE_Tasks!$A$2:$A$53,0))</f>
        <v>Chưa làm</v>
      </c>
      <c r="J162" s="3">
        <f>INDEX(BE_Tasks!$X$2:$X$53,MATCH("BE-A12",BE_Tasks!$A$2:$A$53,0))</f>
        <v>0</v>
      </c>
      <c r="K162" s="2" t="inlineStr">
        <is>
          <t xml:space="preserve"/>
        </is>
      </c>
      <c r="L162" s="5" t="inlineStr">
        <is>
          <t xml:space="preserve">Mở API</t>
        </is>
      </c>
      <c r="M162" s="5" t="inlineStr">
        <is>
          <t xml:space="preserve">Mở task</t>
        </is>
      </c>
    </row>
    <row r="163" ht="72" customHeight="1">
      <c r="A163" s="0" t="inlineStr">
        <is>
          <t xml:space="preserve">API-162</t>
        </is>
      </c>
      <c r="B163" s="0" t="inlineStr">
        <is>
          <t xml:space="preserve">GET</t>
        </is>
      </c>
      <c r="C163" s="0" t="inlineStr">
        <is>
          <t xml:space="preserve">/api/v1/admin/users/{userId}</t>
        </is>
      </c>
      <c r="D163" s="0" t="inlineStr">
        <is>
          <t xml:space="preserve">Chi tiết trạng thái tài khoản</t>
        </is>
      </c>
      <c r="E163" s="6" t="inlineStr">
        <is>
          <t xml:space="preserve">A</t>
        </is>
      </c>
      <c r="F163" s="0" t="inlineStr">
        <is>
          <t xml:space="preserve">BE-A12</t>
        </is>
      </c>
      <c r="G163" s="0" t="inlineStr">
        <is>
          <t xml:space="preserve">P4</t>
        </is>
      </c>
      <c r="H163" s="0" t="inlineStr">
        <is>
          <t xml:space="preserve">lock-account</t>
        </is>
      </c>
      <c r="I163" s="0" t="str">
        <f>INDEX(BE_Tasks!$P$2:$P$53,MATCH("BE-A12",BE_Tasks!$A$2:$A$53,0))</f>
        <v>Chưa làm</v>
      </c>
      <c r="J163" s="3">
        <f>INDEX(BE_Tasks!$X$2:$X$53,MATCH("BE-A12",BE_Tasks!$A$2:$A$53,0))</f>
        <v>0</v>
      </c>
      <c r="K163" s="0" t="inlineStr">
        <is>
          <t xml:space="preserve"/>
        </is>
      </c>
      <c r="L163" s="5" t="inlineStr">
        <is>
          <t xml:space="preserve">Mở API</t>
        </is>
      </c>
      <c r="M163" s="5" t="inlineStr">
        <is>
          <t xml:space="preserve">Mở task</t>
        </is>
      </c>
    </row>
    <row r="164" ht="72" customHeight="1">
      <c r="A164" s="2" t="inlineStr">
        <is>
          <t xml:space="preserve">API-163</t>
        </is>
      </c>
      <c r="B164" s="2" t="inlineStr">
        <is>
          <t xml:space="preserve">POST</t>
        </is>
      </c>
      <c r="C164" s="2" t="inlineStr">
        <is>
          <t xml:space="preserve">/api/v1/admin/users/{userId}/lock</t>
        </is>
      </c>
      <c r="D164" s="2" t="inlineStr">
        <is>
          <t xml:space="preserve">Khóa tài khoản có lý do</t>
        </is>
      </c>
      <c r="E164" s="6" t="inlineStr">
        <is>
          <t xml:space="preserve">A</t>
        </is>
      </c>
      <c r="F164" s="2" t="inlineStr">
        <is>
          <t xml:space="preserve">BE-A12</t>
        </is>
      </c>
      <c r="G164" s="2" t="inlineStr">
        <is>
          <t xml:space="preserve">P4</t>
        </is>
      </c>
      <c r="H164" s="2" t="inlineStr">
        <is>
          <t xml:space="preserve">lock-account</t>
        </is>
      </c>
      <c r="I164" s="2" t="str">
        <f>INDEX(BE_Tasks!$P$2:$P$53,MATCH("BE-A12",BE_Tasks!$A$2:$A$53,0))</f>
        <v>Chưa làm</v>
      </c>
      <c r="J164" s="3">
        <f>INDEX(BE_Tasks!$X$2:$X$53,MATCH("BE-A12",BE_Tasks!$A$2:$A$53,0))</f>
        <v>0</v>
      </c>
      <c r="K164" s="2" t="inlineStr">
        <is>
          <t xml:space="preserve"/>
        </is>
      </c>
      <c r="L164" s="5" t="inlineStr">
        <is>
          <t xml:space="preserve">Mở API</t>
        </is>
      </c>
      <c r="M164" s="5" t="inlineStr">
        <is>
          <t xml:space="preserve">Mở task</t>
        </is>
      </c>
    </row>
    <row r="165" ht="72" customHeight="1">
      <c r="A165" s="0" t="inlineStr">
        <is>
          <t xml:space="preserve">API-164</t>
        </is>
      </c>
      <c r="B165" s="0" t="inlineStr">
        <is>
          <t xml:space="preserve">POST</t>
        </is>
      </c>
      <c r="C165" s="0" t="inlineStr">
        <is>
          <t xml:space="preserve">/api/v1/admin/users/{userId}/unlock</t>
        </is>
      </c>
      <c r="D165" s="0" t="inlineStr">
        <is>
          <t xml:space="preserve">Mở khóa tài khoản</t>
        </is>
      </c>
      <c r="E165" s="6" t="inlineStr">
        <is>
          <t xml:space="preserve">A</t>
        </is>
      </c>
      <c r="F165" s="0" t="inlineStr">
        <is>
          <t xml:space="preserve">BE-A12</t>
        </is>
      </c>
      <c r="G165" s="0" t="inlineStr">
        <is>
          <t xml:space="preserve">P4</t>
        </is>
      </c>
      <c r="H165" s="0" t="inlineStr">
        <is>
          <t xml:space="preserve">lock-account</t>
        </is>
      </c>
      <c r="I165" s="0" t="str">
        <f>INDEX(BE_Tasks!$P$2:$P$53,MATCH("BE-A12",BE_Tasks!$A$2:$A$53,0))</f>
        <v>Chưa làm</v>
      </c>
      <c r="J165" s="3">
        <f>INDEX(BE_Tasks!$X$2:$X$53,MATCH("BE-A12",BE_Tasks!$A$2:$A$53,0))</f>
        <v>0</v>
      </c>
      <c r="K165" s="0" t="inlineStr">
        <is>
          <t xml:space="preserve"/>
        </is>
      </c>
      <c r="L165" s="5" t="inlineStr">
        <is>
          <t xml:space="preserve">Mở API</t>
        </is>
      </c>
      <c r="M165" s="5" t="inlineStr">
        <is>
          <t xml:space="preserve">Mở task</t>
        </is>
      </c>
    </row>
    <row r="166" ht="72" customHeight="1">
      <c r="A166" s="2" t="inlineStr">
        <is>
          <t xml:space="preserve">API-165</t>
        </is>
      </c>
      <c r="B166" s="2" t="inlineStr">
        <is>
          <t xml:space="preserve">GET</t>
        </is>
      </c>
      <c r="C166" s="2" t="inlineStr">
        <is>
          <t xml:space="preserve">/api/v1/contract-templates</t>
        </is>
      </c>
      <c r="D166" s="2" t="inlineStr">
        <is>
          <t xml:space="preserve">Mẫu hợp đồng theo phiên bản</t>
        </is>
      </c>
      <c r="E166" s="8" t="inlineStr">
        <is>
          <t xml:space="preserve">C</t>
        </is>
      </c>
      <c r="F166" s="2" t="inlineStr">
        <is>
          <t xml:space="preserve">BE-C03</t>
        </is>
      </c>
      <c r="G166" s="2" t="inlineStr">
        <is>
          <t xml:space="preserve">P1</t>
        </is>
      </c>
      <c r="H166" s="2" t="inlineStr">
        <is>
          <t xml:space="preserve">templates</t>
        </is>
      </c>
      <c r="I166" s="2" t="str">
        <f>INDEX(BE_Tasks!$P$2:$P$53,MATCH("BE-C03",BE_Tasks!$A$2:$A$53,0))</f>
        <v>Chưa làm</v>
      </c>
      <c r="J166" s="3">
        <f>INDEX(BE_Tasks!$X$2:$X$53,MATCH("BE-C03",BE_Tasks!$A$2:$A$53,0))</f>
        <v>0</v>
      </c>
      <c r="K166" s="2" t="inlineStr">
        <is>
          <t xml:space="preserve"/>
        </is>
      </c>
      <c r="L166" s="5" t="inlineStr">
        <is>
          <t xml:space="preserve">Mở API</t>
        </is>
      </c>
      <c r="M166" s="5" t="inlineStr">
        <is>
          <t xml:space="preserve">Mở task</t>
        </is>
      </c>
    </row>
    <row r="167" ht="72" customHeight="1">
      <c r="A167" s="0" t="inlineStr">
        <is>
          <t xml:space="preserve">API-166</t>
        </is>
      </c>
      <c r="B167" s="0" t="inlineStr">
        <is>
          <t xml:space="preserve">POST</t>
        </is>
      </c>
      <c r="C167" s="0" t="inlineStr">
        <is>
          <t xml:space="preserve">/api/v1/admin/contract-templates</t>
        </is>
      </c>
      <c r="D167" s="0" t="inlineStr">
        <is>
          <t xml:space="preserve">Tạo mẫu hoặc phiên bản tiếp theo</t>
        </is>
      </c>
      <c r="E167" s="8" t="inlineStr">
        <is>
          <t xml:space="preserve">C</t>
        </is>
      </c>
      <c r="F167" s="0" t="inlineStr">
        <is>
          <t xml:space="preserve">BE-C03</t>
        </is>
      </c>
      <c r="G167" s="0" t="inlineStr">
        <is>
          <t xml:space="preserve">P1</t>
        </is>
      </c>
      <c r="H167" s="0" t="inlineStr">
        <is>
          <t xml:space="preserve">templates</t>
        </is>
      </c>
      <c r="I167" s="0" t="str">
        <f>INDEX(BE_Tasks!$P$2:$P$53,MATCH("BE-C03",BE_Tasks!$A$2:$A$53,0))</f>
        <v>Chưa làm</v>
      </c>
      <c r="J167" s="3">
        <f>INDEX(BE_Tasks!$X$2:$X$53,MATCH("BE-C03",BE_Tasks!$A$2:$A$53,0))</f>
        <v>0</v>
      </c>
      <c r="K167" s="0" t="inlineStr">
        <is>
          <t xml:space="preserve"/>
        </is>
      </c>
      <c r="L167" s="5" t="inlineStr">
        <is>
          <t xml:space="preserve">Mở API</t>
        </is>
      </c>
      <c r="M167" s="5" t="inlineStr">
        <is>
          <t xml:space="preserve">Mở task</t>
        </is>
      </c>
    </row>
    <row r="168" ht="72" customHeight="1">
      <c r="A168" s="2" t="inlineStr">
        <is>
          <t xml:space="preserve">API-167</t>
        </is>
      </c>
      <c r="B168" s="2" t="inlineStr">
        <is>
          <t xml:space="preserve">PATCH</t>
        </is>
      </c>
      <c r="C168" s="2" t="inlineStr">
        <is>
          <t xml:space="preserve">/api/v1/admin/contract-templates/{templateId}</t>
        </is>
      </c>
      <c r="D168" s="2" t="inlineStr">
        <is>
          <t xml:space="preserve">Bật/ngừng phiên bản mẫu</t>
        </is>
      </c>
      <c r="E168" s="8" t="inlineStr">
        <is>
          <t xml:space="preserve">C</t>
        </is>
      </c>
      <c r="F168" s="2" t="inlineStr">
        <is>
          <t xml:space="preserve">BE-C03</t>
        </is>
      </c>
      <c r="G168" s="2" t="inlineStr">
        <is>
          <t xml:space="preserve">P1</t>
        </is>
      </c>
      <c r="H168" s="2" t="inlineStr">
        <is>
          <t xml:space="preserve">templates</t>
        </is>
      </c>
      <c r="I168" s="2" t="str">
        <f>INDEX(BE_Tasks!$P$2:$P$53,MATCH("BE-C03",BE_Tasks!$A$2:$A$53,0))</f>
        <v>Chưa làm</v>
      </c>
      <c r="J168" s="3">
        <f>INDEX(BE_Tasks!$X$2:$X$53,MATCH("BE-C03",BE_Tasks!$A$2:$A$53,0))</f>
        <v>0</v>
      </c>
      <c r="K168" s="2" t="inlineStr">
        <is>
          <t xml:space="preserve">D14</t>
        </is>
      </c>
      <c r="L168" s="5" t="inlineStr">
        <is>
          <t xml:space="preserve">Mở API</t>
        </is>
      </c>
      <c r="M168" s="5" t="inlineStr">
        <is>
          <t xml:space="preserve">Mở task</t>
        </is>
      </c>
    </row>
    <row r="169" ht="72" customHeight="1">
      <c r="A169" s="0" t="inlineStr">
        <is>
          <t xml:space="preserve">API-168</t>
        </is>
      </c>
      <c r="B169" s="0" t="inlineStr">
        <is>
          <t xml:space="preserve">GET</t>
        </is>
      </c>
      <c r="C169" s="0" t="inlineStr">
        <is>
          <t xml:space="preserve">/api/v1/admin/moderation-actions</t>
        </is>
      </c>
      <c r="D169" s="0" t="inlineStr">
        <is>
          <t xml:space="preserve">Tra nhật ký quyết định</t>
        </is>
      </c>
      <c r="E169" s="6" t="inlineStr">
        <is>
          <t xml:space="preserve">A</t>
        </is>
      </c>
      <c r="F169" s="0" t="inlineStr">
        <is>
          <t xml:space="preserve">BE-A12</t>
        </is>
      </c>
      <c r="G169" s="0" t="inlineStr">
        <is>
          <t xml:space="preserve">P4</t>
        </is>
      </c>
      <c r="H169" s="0" t="inlineStr">
        <is>
          <t xml:space="preserve">audit</t>
        </is>
      </c>
      <c r="I169" s="0" t="str">
        <f>INDEX(BE_Tasks!$P$2:$P$53,MATCH("BE-A12",BE_Tasks!$A$2:$A$53,0))</f>
        <v>Chưa làm</v>
      </c>
      <c r="J169" s="3">
        <f>INDEX(BE_Tasks!$X$2:$X$53,MATCH("BE-A12",BE_Tasks!$A$2:$A$53,0))</f>
        <v>0</v>
      </c>
      <c r="K169" s="0" t="inlineStr">
        <is>
          <t xml:space="preserve"/>
        </is>
      </c>
      <c r="L169" s="5" t="inlineStr">
        <is>
          <t xml:space="preserve">Mở API</t>
        </is>
      </c>
      <c r="M169" s="5" t="inlineStr">
        <is>
          <t xml:space="preserve">Mở task</t>
        </is>
      </c>
    </row>
    <row r="170" ht="72" customHeight="1">
      <c r="A170" s="2" t="inlineStr">
        <is>
          <t xml:space="preserve">API-169</t>
        </is>
      </c>
      <c r="B170" s="2" t="inlineStr">
        <is>
          <t xml:space="preserve">GET</t>
        </is>
      </c>
      <c r="C170" s="2" t="inlineStr">
        <is>
          <t xml:space="preserve">/api/v1/admin/moderation-actions/{actionId}</t>
        </is>
      </c>
      <c r="D170" s="2" t="inlineStr">
        <is>
          <t xml:space="preserve">Chi tiết quyết định trước/sau</t>
        </is>
      </c>
      <c r="E170" s="6" t="inlineStr">
        <is>
          <t xml:space="preserve">A</t>
        </is>
      </c>
      <c r="F170" s="2" t="inlineStr">
        <is>
          <t xml:space="preserve">BE-A12</t>
        </is>
      </c>
      <c r="G170" s="2" t="inlineStr">
        <is>
          <t xml:space="preserve">P4</t>
        </is>
      </c>
      <c r="H170" s="2" t="inlineStr">
        <is>
          <t xml:space="preserve">audit</t>
        </is>
      </c>
      <c r="I170" s="2" t="str">
        <f>INDEX(BE_Tasks!$P$2:$P$53,MATCH("BE-A12",BE_Tasks!$A$2:$A$53,0))</f>
        <v>Chưa làm</v>
      </c>
      <c r="J170" s="3">
        <f>INDEX(BE_Tasks!$X$2:$X$53,MATCH("BE-A12",BE_Tasks!$A$2:$A$53,0))</f>
        <v>0</v>
      </c>
      <c r="K170" s="2" t="inlineStr">
        <is>
          <t xml:space="preserve"/>
        </is>
      </c>
      <c r="L170" s="5" t="inlineStr">
        <is>
          <t xml:space="preserve">Mở API</t>
        </is>
      </c>
      <c r="M170" s="5" t="inlineStr">
        <is>
          <t xml:space="preserve">Mở task</t>
        </is>
      </c>
    </row>
    <row r="171" ht="72" customHeight="1">
      <c r="A171" s="0" t="inlineStr">
        <is>
          <t xml:space="preserve">API-170</t>
        </is>
      </c>
      <c r="B171" s="0" t="inlineStr">
        <is>
          <t xml:space="preserve">POST</t>
        </is>
      </c>
      <c r="C171" s="0" t="inlineStr">
        <is>
          <t xml:space="preserve">/api/v1/files/upload-sessions</t>
        </is>
      </c>
      <c r="D171" s="0" t="inlineStr">
        <is>
          <t xml:space="preserve">Xin phiên upload theo mục đích</t>
        </is>
      </c>
      <c r="E171" s="6" t="inlineStr">
        <is>
          <t xml:space="preserve">A</t>
        </is>
      </c>
      <c r="F171" s="0" t="inlineStr">
        <is>
          <t xml:space="preserve">BE-A05</t>
        </is>
      </c>
      <c r="G171" s="0" t="inlineStr">
        <is>
          <t xml:space="preserve">P1</t>
        </is>
      </c>
      <c r="H171" s="0" t="inlineStr">
        <is>
          <t xml:space="preserve">file-storage</t>
        </is>
      </c>
      <c r="I171" s="0" t="str">
        <f>INDEX(BE_Tasks!$P$2:$P$53,MATCH("BE-A05",BE_Tasks!$A$2:$A$53,0))</f>
        <v>Chưa làm</v>
      </c>
      <c r="J171" s="3">
        <f>INDEX(BE_Tasks!$X$2:$X$53,MATCH("BE-A05",BE_Tasks!$A$2:$A$53,0))</f>
        <v>0</v>
      </c>
      <c r="K171" s="0" t="inlineStr">
        <is>
          <t xml:space="preserve">D05</t>
        </is>
      </c>
      <c r="L171" s="5" t="inlineStr">
        <is>
          <t xml:space="preserve">Mở API</t>
        </is>
      </c>
      <c r="M171" s="5" t="inlineStr">
        <is>
          <t xml:space="preserve">Mở task</t>
        </is>
      </c>
    </row>
    <row r="172" ht="72" customHeight="1">
      <c r="A172" s="2" t="inlineStr">
        <is>
          <t xml:space="preserve">API-171</t>
        </is>
      </c>
      <c r="B172" s="2" t="inlineStr">
        <is>
          <t xml:space="preserve">POST</t>
        </is>
      </c>
      <c r="C172" s="2" t="inlineStr">
        <is>
          <t xml:space="preserve">/api/v1/files/{fileId}/complete</t>
        </is>
      </c>
      <c r="D172" s="2" t="inlineStr">
        <is>
          <t xml:space="preserve">Xác minh tệp upload hoàn tất</t>
        </is>
      </c>
      <c r="E172" s="6" t="inlineStr">
        <is>
          <t xml:space="preserve">A</t>
        </is>
      </c>
      <c r="F172" s="2" t="inlineStr">
        <is>
          <t xml:space="preserve">BE-A05</t>
        </is>
      </c>
      <c r="G172" s="2" t="inlineStr">
        <is>
          <t xml:space="preserve">P1</t>
        </is>
      </c>
      <c r="H172" s="2" t="inlineStr">
        <is>
          <t xml:space="preserve">file-storage</t>
        </is>
      </c>
      <c r="I172" s="2" t="str">
        <f>INDEX(BE_Tasks!$P$2:$P$53,MATCH("BE-A05",BE_Tasks!$A$2:$A$53,0))</f>
        <v>Chưa làm</v>
      </c>
      <c r="J172" s="3">
        <f>INDEX(BE_Tasks!$X$2:$X$53,MATCH("BE-A05",BE_Tasks!$A$2:$A$53,0))</f>
        <v>0</v>
      </c>
      <c r="K172" s="2" t="inlineStr">
        <is>
          <t xml:space="preserve"/>
        </is>
      </c>
      <c r="L172" s="5" t="inlineStr">
        <is>
          <t xml:space="preserve">Mở API</t>
        </is>
      </c>
      <c r="M172" s="5" t="inlineStr">
        <is>
          <t xml:space="preserve">Mở task</t>
        </is>
      </c>
    </row>
    <row r="173" ht="72" customHeight="1">
      <c r="A173" s="0" t="inlineStr">
        <is>
          <t xml:space="preserve">API-172</t>
        </is>
      </c>
      <c r="B173" s="0" t="inlineStr">
        <is>
          <t xml:space="preserve">GET</t>
        </is>
      </c>
      <c r="C173" s="0" t="inlineStr">
        <is>
          <t xml:space="preserve">/api/v1/files/{fileId}</t>
        </is>
      </c>
      <c r="D173" s="0" t="inlineStr">
        <is>
          <t xml:space="preserve">Metadata tệp được phép xem</t>
        </is>
      </c>
      <c r="E173" s="6" t="inlineStr">
        <is>
          <t xml:space="preserve">A</t>
        </is>
      </c>
      <c r="F173" s="0" t="inlineStr">
        <is>
          <t xml:space="preserve">BE-A05</t>
        </is>
      </c>
      <c r="G173" s="0" t="inlineStr">
        <is>
          <t xml:space="preserve">P1</t>
        </is>
      </c>
      <c r="H173" s="0" t="inlineStr">
        <is>
          <t xml:space="preserve">file-storage</t>
        </is>
      </c>
      <c r="I173" s="0" t="str">
        <f>INDEX(BE_Tasks!$P$2:$P$53,MATCH("BE-A05",BE_Tasks!$A$2:$A$53,0))</f>
        <v>Chưa làm</v>
      </c>
      <c r="J173" s="3">
        <f>INDEX(BE_Tasks!$X$2:$X$53,MATCH("BE-A05",BE_Tasks!$A$2:$A$53,0))</f>
        <v>0</v>
      </c>
      <c r="K173" s="0" t="inlineStr">
        <is>
          <t xml:space="preserve"/>
        </is>
      </c>
      <c r="L173" s="5" t="inlineStr">
        <is>
          <t xml:space="preserve">Mở API</t>
        </is>
      </c>
      <c r="M173" s="5" t="inlineStr">
        <is>
          <t xml:space="preserve">Mở task</t>
        </is>
      </c>
    </row>
    <row r="174" ht="72" customHeight="1">
      <c r="A174" s="2" t="inlineStr">
        <is>
          <t xml:space="preserve">API-173</t>
        </is>
      </c>
      <c r="B174" s="2" t="inlineStr">
        <is>
          <t xml:space="preserve">POST</t>
        </is>
      </c>
      <c r="C174" s="2" t="inlineStr">
        <is>
          <t xml:space="preserve">/api/v1/files/{fileId}/download-links</t>
        </is>
      </c>
      <c r="D174" s="2" t="inlineStr">
        <is>
          <t xml:space="preserve">Cấp URL đọc riêng tư có hạn</t>
        </is>
      </c>
      <c r="E174" s="6" t="inlineStr">
        <is>
          <t xml:space="preserve">A</t>
        </is>
      </c>
      <c r="F174" s="2" t="inlineStr">
        <is>
          <t xml:space="preserve">BE-A05</t>
        </is>
      </c>
      <c r="G174" s="2" t="inlineStr">
        <is>
          <t xml:space="preserve">P1</t>
        </is>
      </c>
      <c r="H174" s="2" t="inlineStr">
        <is>
          <t xml:space="preserve">file-storage</t>
        </is>
      </c>
      <c r="I174" s="2" t="str">
        <f>INDEX(BE_Tasks!$P$2:$P$53,MATCH("BE-A05",BE_Tasks!$A$2:$A$53,0))</f>
        <v>Chưa làm</v>
      </c>
      <c r="J174" s="3">
        <f>INDEX(BE_Tasks!$X$2:$X$53,MATCH("BE-A05",BE_Tasks!$A$2:$A$53,0))</f>
        <v>0</v>
      </c>
      <c r="K174" s="2" t="inlineStr">
        <is>
          <t xml:space="preserve"/>
        </is>
      </c>
      <c r="L174" s="5" t="inlineStr">
        <is>
          <t xml:space="preserve">Mở API</t>
        </is>
      </c>
      <c r="M174" s="5" t="inlineStr">
        <is>
          <t xml:space="preserve">Mở task</t>
        </is>
      </c>
    </row>
    <row r="175" ht="72" customHeight="1">
      <c r="A175" s="0" t="inlineStr">
        <is>
          <t xml:space="preserve">API-174</t>
        </is>
      </c>
      <c r="B175" s="0" t="inlineStr">
        <is>
          <t xml:space="preserve">DELETE</t>
        </is>
      </c>
      <c r="C175" s="0" t="inlineStr">
        <is>
          <t xml:space="preserve">/api/v1/files/{fileId}</t>
        </is>
      </c>
      <c r="D175" s="0" t="inlineStr">
        <is>
          <t xml:space="preserve">Xóa mềm tệp chưa bị giữ làm chứng cứ</t>
        </is>
      </c>
      <c r="E175" s="6" t="inlineStr">
        <is>
          <t xml:space="preserve">A</t>
        </is>
      </c>
      <c r="F175" s="0" t="inlineStr">
        <is>
          <t xml:space="preserve">BE-A05</t>
        </is>
      </c>
      <c r="G175" s="0" t="inlineStr">
        <is>
          <t xml:space="preserve">P1</t>
        </is>
      </c>
      <c r="H175" s="0" t="inlineStr">
        <is>
          <t xml:space="preserve">file-storage</t>
        </is>
      </c>
      <c r="I175" s="0" t="str">
        <f>INDEX(BE_Tasks!$P$2:$P$53,MATCH("BE-A05",BE_Tasks!$A$2:$A$53,0))</f>
        <v>Chưa làm</v>
      </c>
      <c r="J175" s="3">
        <f>INDEX(BE_Tasks!$X$2:$X$53,MATCH("BE-A05",BE_Tasks!$A$2:$A$53,0))</f>
        <v>0</v>
      </c>
      <c r="K175" s="0" t="inlineStr">
        <is>
          <t xml:space="preserve">D05</t>
        </is>
      </c>
      <c r="L175" s="5" t="inlineStr">
        <is>
          <t xml:space="preserve">Mở API</t>
        </is>
      </c>
      <c r="M175" s="5" t="inlineStr">
        <is>
          <t xml:space="preserve">Mở task</t>
        </is>
      </c>
    </row>
    <row r="176" ht="72" customHeight="1">
      <c r="A176" s="2" t="inlineStr">
        <is>
          <t xml:space="preserve">API-175</t>
        </is>
      </c>
      <c r="B176" s="2" t="inlineStr">
        <is>
          <t xml:space="preserve">GET</t>
        </is>
      </c>
      <c r="C176" s="2" t="inlineStr">
        <is>
          <t xml:space="preserve">/api/v1/landlord/dashboard</t>
        </is>
      </c>
      <c r="D176" s="2" t="inlineStr">
        <is>
          <t xml:space="preserve">Tổng quan quản lý nhà trọ</t>
        </is>
      </c>
      <c r="E176" s="7" t="inlineStr">
        <is>
          <t xml:space="preserve">B</t>
        </is>
      </c>
      <c r="F176" s="2" t="inlineStr">
        <is>
          <t xml:space="preserve">BE-B17</t>
        </is>
      </c>
      <c r="G176" s="2" t="inlineStr">
        <is>
          <t xml:space="preserve">P6</t>
        </is>
      </c>
      <c r="H176" s="2" t="inlineStr">
        <is>
          <t xml:space="preserve">rooms</t>
        </is>
      </c>
      <c r="I176" s="2" t="str">
        <f>INDEX(BE_Tasks!$P$2:$P$53,MATCH("BE-B17",BE_Tasks!$A$2:$A$53,0))</f>
        <v>Chưa làm</v>
      </c>
      <c r="J176" s="3">
        <f>INDEX(BE_Tasks!$X$2:$X$53,MATCH("BE-B17",BE_Tasks!$A$2:$A$53,0))</f>
        <v>0</v>
      </c>
      <c r="K176" s="2" t="inlineStr">
        <is>
          <t xml:space="preserve"/>
        </is>
      </c>
      <c r="L176" s="5" t="inlineStr">
        <is>
          <t xml:space="preserve">Mở API</t>
        </is>
      </c>
      <c r="M176" s="5" t="inlineStr">
        <is>
          <t xml:space="preserve">Mở task</t>
        </is>
      </c>
    </row>
    <row r="177" ht="72" customHeight="1">
      <c r="A177" s="0" t="inlineStr">
        <is>
          <t xml:space="preserve">API-176</t>
        </is>
      </c>
      <c r="B177" s="0" t="inlineStr">
        <is>
          <t xml:space="preserve">GET</t>
        </is>
      </c>
      <c r="C177" s="0" t="inlineStr">
        <is>
          <t xml:space="preserve">/api/v1/admin/dashboard</t>
        </is>
      </c>
      <c r="D177" s="0" t="inlineStr">
        <is>
          <t xml:space="preserve">Tổng quan hàng đợi quản trị</t>
        </is>
      </c>
      <c r="E177" s="6" t="inlineStr">
        <is>
          <t xml:space="preserve">A</t>
        </is>
      </c>
      <c r="F177" s="0" t="inlineStr">
        <is>
          <t xml:space="preserve">BE-A15</t>
        </is>
      </c>
      <c r="G177" s="0" t="inlineStr">
        <is>
          <t xml:space="preserve">P6</t>
        </is>
      </c>
      <c r="H177" s="0" t="inlineStr">
        <is>
          <t xml:space="preserve">audit</t>
        </is>
      </c>
      <c r="I177" s="0" t="str">
        <f>INDEX(BE_Tasks!$P$2:$P$53,MATCH("BE-A15",BE_Tasks!$A$2:$A$53,0))</f>
        <v>Chưa làm</v>
      </c>
      <c r="J177" s="3">
        <f>INDEX(BE_Tasks!$X$2:$X$53,MATCH("BE-A15",BE_Tasks!$A$2:$A$53,0))</f>
        <v>0</v>
      </c>
      <c r="K177" s="0" t="inlineStr">
        <is>
          <t xml:space="preserve"/>
        </is>
      </c>
      <c r="L177" s="5" t="inlineStr">
        <is>
          <t xml:space="preserve">Mở API</t>
        </is>
      </c>
      <c r="M177" s="5" t="inlineStr">
        <is>
          <t xml:space="preserve">Mở task</t>
        </is>
      </c>
    </row>
  </sheetData>
  <autoFilter ref="A1:M177"/>
  <hyperlinks>
    <hyperlink ref="L2" r:id="rId1"/>
    <hyperlink ref="M2" r:id="rId2"/>
    <hyperlink ref="L3" r:id="rId3"/>
    <hyperlink ref="M3" r:id="rId4"/>
    <hyperlink ref="L4" r:id="rId5"/>
    <hyperlink ref="M4" r:id="rId6"/>
    <hyperlink ref="L5" r:id="rId7"/>
    <hyperlink ref="M5" r:id="rId8"/>
    <hyperlink ref="L6" r:id="rId9"/>
    <hyperlink ref="M6" r:id="rId10"/>
    <hyperlink ref="L7" r:id="rId11"/>
    <hyperlink ref="M7" r:id="rId12"/>
    <hyperlink ref="L8" r:id="rId13"/>
    <hyperlink ref="M8" r:id="rId14"/>
    <hyperlink ref="L9" r:id="rId15"/>
    <hyperlink ref="M9" r:id="rId16"/>
    <hyperlink ref="L10" r:id="rId17"/>
    <hyperlink ref="M10" r:id="rId18"/>
    <hyperlink ref="L11" r:id="rId19"/>
    <hyperlink ref="M11" r:id="rId20"/>
    <hyperlink ref="L12" r:id="rId21"/>
    <hyperlink ref="M12" r:id="rId22"/>
    <hyperlink ref="L13" r:id="rId23"/>
    <hyperlink ref="M13" r:id="rId24"/>
    <hyperlink ref="L14" r:id="rId25"/>
    <hyperlink ref="M14" r:id="rId26"/>
    <hyperlink ref="L15" r:id="rId27"/>
    <hyperlink ref="M15" r:id="rId28"/>
    <hyperlink ref="L16" r:id="rId29"/>
    <hyperlink ref="M16" r:id="rId30"/>
    <hyperlink ref="L17" r:id="rId31"/>
    <hyperlink ref="M17" r:id="rId32"/>
    <hyperlink ref="L18" r:id="rId33"/>
    <hyperlink ref="M18" r:id="rId34"/>
    <hyperlink ref="L19" r:id="rId35"/>
    <hyperlink ref="M19" r:id="rId36"/>
    <hyperlink ref="L20" r:id="rId37"/>
    <hyperlink ref="M20" r:id="rId38"/>
    <hyperlink ref="L21" r:id="rId39"/>
    <hyperlink ref="M21" r:id="rId40"/>
    <hyperlink ref="L22" r:id="rId41"/>
    <hyperlink ref="M22" r:id="rId42"/>
    <hyperlink ref="L23" r:id="rId43"/>
    <hyperlink ref="M23" r:id="rId44"/>
    <hyperlink ref="L24" r:id="rId45"/>
    <hyperlink ref="M24" r:id="rId46"/>
    <hyperlink ref="L25" r:id="rId47"/>
    <hyperlink ref="M25" r:id="rId48"/>
    <hyperlink ref="L26" r:id="rId49"/>
    <hyperlink ref="M26" r:id="rId50"/>
    <hyperlink ref="L27" r:id="rId51"/>
    <hyperlink ref="M27" r:id="rId52"/>
    <hyperlink ref="L28" r:id="rId53"/>
    <hyperlink ref="M28" r:id="rId54"/>
    <hyperlink ref="L29" r:id="rId55"/>
    <hyperlink ref="M29" r:id="rId56"/>
    <hyperlink ref="L30" r:id="rId57"/>
    <hyperlink ref="M30" r:id="rId58"/>
    <hyperlink ref="L31" r:id="rId59"/>
    <hyperlink ref="M31" r:id="rId60"/>
    <hyperlink ref="L32" r:id="rId61"/>
    <hyperlink ref="M32" r:id="rId62"/>
    <hyperlink ref="L33" r:id="rId63"/>
    <hyperlink ref="M33" r:id="rId64"/>
    <hyperlink ref="L34" r:id="rId65"/>
    <hyperlink ref="M34" r:id="rId66"/>
    <hyperlink ref="L35" r:id="rId67"/>
    <hyperlink ref="M35" r:id="rId68"/>
    <hyperlink ref="L36" r:id="rId69"/>
    <hyperlink ref="M36" r:id="rId70"/>
    <hyperlink ref="L37" r:id="rId71"/>
    <hyperlink ref="M37" r:id="rId72"/>
    <hyperlink ref="L38" r:id="rId73"/>
    <hyperlink ref="M38" r:id="rId74"/>
    <hyperlink ref="L39" r:id="rId75"/>
    <hyperlink ref="M39" r:id="rId76"/>
    <hyperlink ref="L40" r:id="rId77"/>
    <hyperlink ref="M40" r:id="rId78"/>
    <hyperlink ref="L41" r:id="rId79"/>
    <hyperlink ref="M41" r:id="rId80"/>
    <hyperlink ref="L42" r:id="rId81"/>
    <hyperlink ref="M42" r:id="rId82"/>
    <hyperlink ref="L43" r:id="rId83"/>
    <hyperlink ref="M43" r:id="rId84"/>
    <hyperlink ref="L44" r:id="rId85"/>
    <hyperlink ref="M44" r:id="rId86"/>
    <hyperlink ref="L45" r:id="rId87"/>
    <hyperlink ref="M45" r:id="rId88"/>
    <hyperlink ref="L46" r:id="rId89"/>
    <hyperlink ref="M46" r:id="rId90"/>
    <hyperlink ref="L47" r:id="rId91"/>
    <hyperlink ref="M47" r:id="rId92"/>
    <hyperlink ref="L48" r:id="rId93"/>
    <hyperlink ref="M48" r:id="rId94"/>
    <hyperlink ref="L49" r:id="rId95"/>
    <hyperlink ref="M49" r:id="rId96"/>
    <hyperlink ref="L50" r:id="rId97"/>
    <hyperlink ref="M50" r:id="rId98"/>
    <hyperlink ref="L51" r:id="rId99"/>
    <hyperlink ref="M51" r:id="rId100"/>
    <hyperlink ref="L52" r:id="rId101"/>
    <hyperlink ref="M52" r:id="rId102"/>
    <hyperlink ref="L53" r:id="rId103"/>
    <hyperlink ref="M53" r:id="rId104"/>
    <hyperlink ref="L54" r:id="rId105"/>
    <hyperlink ref="M54" r:id="rId106"/>
    <hyperlink ref="L55" r:id="rId107"/>
    <hyperlink ref="M55" r:id="rId108"/>
    <hyperlink ref="L56" r:id="rId109"/>
    <hyperlink ref="M56" r:id="rId110"/>
    <hyperlink ref="L57" r:id="rId111"/>
    <hyperlink ref="M57" r:id="rId112"/>
    <hyperlink ref="L58" r:id="rId113"/>
    <hyperlink ref="M58" r:id="rId114"/>
    <hyperlink ref="L59" r:id="rId115"/>
    <hyperlink ref="M59" r:id="rId116"/>
    <hyperlink ref="L60" r:id="rId117"/>
    <hyperlink ref="M60" r:id="rId118"/>
    <hyperlink ref="L61" r:id="rId119"/>
    <hyperlink ref="M61" r:id="rId120"/>
    <hyperlink ref="L62" r:id="rId121"/>
    <hyperlink ref="M62" r:id="rId122"/>
    <hyperlink ref="L63" r:id="rId123"/>
    <hyperlink ref="M63" r:id="rId124"/>
    <hyperlink ref="L64" r:id="rId125"/>
    <hyperlink ref="M64" r:id="rId126"/>
    <hyperlink ref="L65" r:id="rId127"/>
    <hyperlink ref="M65" r:id="rId128"/>
    <hyperlink ref="L66" r:id="rId129"/>
    <hyperlink ref="M66" r:id="rId130"/>
    <hyperlink ref="L67" r:id="rId131"/>
    <hyperlink ref="M67" r:id="rId132"/>
    <hyperlink ref="L68" r:id="rId133"/>
    <hyperlink ref="M68" r:id="rId134"/>
    <hyperlink ref="L69" r:id="rId135"/>
    <hyperlink ref="M69" r:id="rId136"/>
    <hyperlink ref="L70" r:id="rId137"/>
    <hyperlink ref="M70" r:id="rId138"/>
    <hyperlink ref="L71" r:id="rId139"/>
    <hyperlink ref="M71" r:id="rId140"/>
    <hyperlink ref="L72" r:id="rId141"/>
    <hyperlink ref="M72" r:id="rId142"/>
    <hyperlink ref="L73" r:id="rId143"/>
    <hyperlink ref="M73" r:id="rId144"/>
    <hyperlink ref="L74" r:id="rId145"/>
    <hyperlink ref="M74" r:id="rId146"/>
    <hyperlink ref="L75" r:id="rId147"/>
    <hyperlink ref="M75" r:id="rId148"/>
    <hyperlink ref="L76" r:id="rId149"/>
    <hyperlink ref="M76" r:id="rId150"/>
    <hyperlink ref="L77" r:id="rId151"/>
    <hyperlink ref="M77" r:id="rId152"/>
    <hyperlink ref="L78" r:id="rId153"/>
    <hyperlink ref="M78" r:id="rId154"/>
    <hyperlink ref="L79" r:id="rId155"/>
    <hyperlink ref="M79" r:id="rId156"/>
    <hyperlink ref="L80" r:id="rId157"/>
    <hyperlink ref="M80" r:id="rId158"/>
    <hyperlink ref="L81" r:id="rId159"/>
    <hyperlink ref="M81" r:id="rId160"/>
    <hyperlink ref="L82" r:id="rId161"/>
    <hyperlink ref="M82" r:id="rId162"/>
    <hyperlink ref="L83" r:id="rId163"/>
    <hyperlink ref="M83" r:id="rId164"/>
    <hyperlink ref="L84" r:id="rId165"/>
    <hyperlink ref="M84" r:id="rId166"/>
    <hyperlink ref="L85" r:id="rId167"/>
    <hyperlink ref="M85" r:id="rId168"/>
    <hyperlink ref="L86" r:id="rId169"/>
    <hyperlink ref="M86" r:id="rId170"/>
    <hyperlink ref="L87" r:id="rId171"/>
    <hyperlink ref="M87" r:id="rId172"/>
    <hyperlink ref="L88" r:id="rId173"/>
    <hyperlink ref="M88" r:id="rId174"/>
    <hyperlink ref="L89" r:id="rId175"/>
    <hyperlink ref="M89" r:id="rId176"/>
    <hyperlink ref="L90" r:id="rId177"/>
    <hyperlink ref="M90" r:id="rId178"/>
    <hyperlink ref="L91" r:id="rId179"/>
    <hyperlink ref="M91" r:id="rId180"/>
    <hyperlink ref="L92" r:id="rId181"/>
    <hyperlink ref="M92" r:id="rId182"/>
    <hyperlink ref="L93" r:id="rId183"/>
    <hyperlink ref="M93" r:id="rId184"/>
    <hyperlink ref="L94" r:id="rId185"/>
    <hyperlink ref="M94" r:id="rId186"/>
    <hyperlink ref="L95" r:id="rId187"/>
    <hyperlink ref="M95" r:id="rId188"/>
    <hyperlink ref="L96" r:id="rId189"/>
    <hyperlink ref="M96" r:id="rId190"/>
    <hyperlink ref="L97" r:id="rId191"/>
    <hyperlink ref="M97" r:id="rId192"/>
    <hyperlink ref="L98" r:id="rId193"/>
    <hyperlink ref="M98" r:id="rId194"/>
    <hyperlink ref="L99" r:id="rId195"/>
    <hyperlink ref="M99" r:id="rId196"/>
    <hyperlink ref="L100" r:id="rId197"/>
    <hyperlink ref="M100" r:id="rId198"/>
    <hyperlink ref="L101" r:id="rId199"/>
    <hyperlink ref="M101" r:id="rId200"/>
    <hyperlink ref="L102" r:id="rId201"/>
    <hyperlink ref="M102" r:id="rId202"/>
    <hyperlink ref="L103" r:id="rId203"/>
    <hyperlink ref="M103" r:id="rId204"/>
    <hyperlink ref="L104" r:id="rId205"/>
    <hyperlink ref="M104" r:id="rId206"/>
    <hyperlink ref="L105" r:id="rId207"/>
    <hyperlink ref="M105" r:id="rId208"/>
    <hyperlink ref="L106" r:id="rId209"/>
    <hyperlink ref="M106" r:id="rId210"/>
    <hyperlink ref="L107" r:id="rId211"/>
    <hyperlink ref="M107" r:id="rId212"/>
    <hyperlink ref="L108" r:id="rId213"/>
    <hyperlink ref="M108" r:id="rId214"/>
    <hyperlink ref="L109" r:id="rId215"/>
    <hyperlink ref="M109" r:id="rId216"/>
    <hyperlink ref="L110" r:id="rId217"/>
    <hyperlink ref="M110" r:id="rId218"/>
    <hyperlink ref="L111" r:id="rId219"/>
    <hyperlink ref="M111" r:id="rId220"/>
    <hyperlink ref="L112" r:id="rId221"/>
    <hyperlink ref="M112" r:id="rId222"/>
    <hyperlink ref="L113" r:id="rId223"/>
    <hyperlink ref="M113" r:id="rId224"/>
    <hyperlink ref="L114" r:id="rId225"/>
    <hyperlink ref="M114" r:id="rId226"/>
    <hyperlink ref="L115" r:id="rId227"/>
    <hyperlink ref="M115" r:id="rId228"/>
    <hyperlink ref="L116" r:id="rId229"/>
    <hyperlink ref="M116" r:id="rId230"/>
    <hyperlink ref="L117" r:id="rId231"/>
    <hyperlink ref="M117" r:id="rId232"/>
    <hyperlink ref="L118" r:id="rId233"/>
    <hyperlink ref="M118" r:id="rId234"/>
    <hyperlink ref="L119" r:id="rId235"/>
    <hyperlink ref="M119" r:id="rId236"/>
    <hyperlink ref="L120" r:id="rId237"/>
    <hyperlink ref="M120" r:id="rId238"/>
    <hyperlink ref="L121" r:id="rId239"/>
    <hyperlink ref="M121" r:id="rId240"/>
    <hyperlink ref="L122" r:id="rId241"/>
    <hyperlink ref="M122" r:id="rId242"/>
    <hyperlink ref="L123" r:id="rId243"/>
    <hyperlink ref="M123" r:id="rId244"/>
    <hyperlink ref="L124" r:id="rId245"/>
    <hyperlink ref="M124" r:id="rId246"/>
    <hyperlink ref="L125" r:id="rId247"/>
    <hyperlink ref="M125" r:id="rId248"/>
    <hyperlink ref="L126" r:id="rId249"/>
    <hyperlink ref="M126" r:id="rId250"/>
    <hyperlink ref="L127" r:id="rId251"/>
    <hyperlink ref="M127" r:id="rId252"/>
    <hyperlink ref="L128" r:id="rId253"/>
    <hyperlink ref="M128" r:id="rId254"/>
    <hyperlink ref="L129" r:id="rId255"/>
    <hyperlink ref="M129" r:id="rId256"/>
    <hyperlink ref="L130" r:id="rId257"/>
    <hyperlink ref="M130" r:id="rId258"/>
    <hyperlink ref="L131" r:id="rId259"/>
    <hyperlink ref="M131" r:id="rId260"/>
    <hyperlink ref="L132" r:id="rId261"/>
    <hyperlink ref="M132" r:id="rId262"/>
    <hyperlink ref="L133" r:id="rId263"/>
    <hyperlink ref="M133" r:id="rId264"/>
    <hyperlink ref="L134" r:id="rId265"/>
    <hyperlink ref="M134" r:id="rId266"/>
    <hyperlink ref="L135" r:id="rId267"/>
    <hyperlink ref="M135" r:id="rId268"/>
    <hyperlink ref="L136" r:id="rId269"/>
    <hyperlink ref="M136" r:id="rId270"/>
    <hyperlink ref="L137" r:id="rId271"/>
    <hyperlink ref="M137" r:id="rId272"/>
    <hyperlink ref="L138" r:id="rId273"/>
    <hyperlink ref="M138" r:id="rId274"/>
    <hyperlink ref="L139" r:id="rId275"/>
    <hyperlink ref="M139" r:id="rId276"/>
    <hyperlink ref="L140" r:id="rId277"/>
    <hyperlink ref="M140" r:id="rId278"/>
    <hyperlink ref="L141" r:id="rId279"/>
    <hyperlink ref="M141" r:id="rId280"/>
    <hyperlink ref="L142" r:id="rId281"/>
    <hyperlink ref="M142" r:id="rId282"/>
    <hyperlink ref="L143" r:id="rId283"/>
    <hyperlink ref="M143" r:id="rId284"/>
    <hyperlink ref="L144" r:id="rId285"/>
    <hyperlink ref="M144" r:id="rId286"/>
    <hyperlink ref="L145" r:id="rId287"/>
    <hyperlink ref="M145" r:id="rId288"/>
    <hyperlink ref="L146" r:id="rId289"/>
    <hyperlink ref="M146" r:id="rId290"/>
    <hyperlink ref="L147" r:id="rId291"/>
    <hyperlink ref="M147" r:id="rId292"/>
    <hyperlink ref="L148" r:id="rId293"/>
    <hyperlink ref="M148" r:id="rId294"/>
    <hyperlink ref="L149" r:id="rId295"/>
    <hyperlink ref="M149" r:id="rId296"/>
    <hyperlink ref="L150" r:id="rId297"/>
    <hyperlink ref="M150" r:id="rId298"/>
    <hyperlink ref="L151" r:id="rId299"/>
    <hyperlink ref="M151" r:id="rId300"/>
    <hyperlink ref="L152" r:id="rId301"/>
    <hyperlink ref="M152" r:id="rId302"/>
    <hyperlink ref="L153" r:id="rId303"/>
    <hyperlink ref="M153" r:id="rId304"/>
    <hyperlink ref="L154" r:id="rId305"/>
    <hyperlink ref="M154" r:id="rId306"/>
    <hyperlink ref="L155" r:id="rId307"/>
    <hyperlink ref="M155" r:id="rId308"/>
    <hyperlink ref="L156" r:id="rId309"/>
    <hyperlink ref="M156" r:id="rId310"/>
    <hyperlink ref="L157" r:id="rId311"/>
    <hyperlink ref="M157" r:id="rId312"/>
    <hyperlink ref="L158" r:id="rId313"/>
    <hyperlink ref="M158" r:id="rId314"/>
    <hyperlink ref="L159" r:id="rId315"/>
    <hyperlink ref="M159" r:id="rId316"/>
    <hyperlink ref="L160" r:id="rId317"/>
    <hyperlink ref="M160" r:id="rId318"/>
    <hyperlink ref="L161" r:id="rId319"/>
    <hyperlink ref="M161" r:id="rId320"/>
    <hyperlink ref="L162" r:id="rId321"/>
    <hyperlink ref="M162" r:id="rId322"/>
    <hyperlink ref="L163" r:id="rId323"/>
    <hyperlink ref="M163" r:id="rId324"/>
    <hyperlink ref="L164" r:id="rId325"/>
    <hyperlink ref="M164" r:id="rId326"/>
    <hyperlink ref="L165" r:id="rId327"/>
    <hyperlink ref="M165" r:id="rId328"/>
    <hyperlink ref="L166" r:id="rId329"/>
    <hyperlink ref="M166" r:id="rId330"/>
    <hyperlink ref="L167" r:id="rId331"/>
    <hyperlink ref="M167" r:id="rId332"/>
    <hyperlink ref="L168" r:id="rId333"/>
    <hyperlink ref="M168" r:id="rId334"/>
    <hyperlink ref="L169" r:id="rId335"/>
    <hyperlink ref="M169" r:id="rId336"/>
    <hyperlink ref="L170" r:id="rId337"/>
    <hyperlink ref="M170" r:id="rId338"/>
    <hyperlink ref="L171" r:id="rId339"/>
    <hyperlink ref="M171" r:id="rId340"/>
    <hyperlink ref="L172" r:id="rId341"/>
    <hyperlink ref="M172" r:id="rId342"/>
    <hyperlink ref="L173" r:id="rId343"/>
    <hyperlink ref="M173" r:id="rId344"/>
    <hyperlink ref="L174" r:id="rId345"/>
    <hyperlink ref="M174" r:id="rId346"/>
    <hyperlink ref="L175" r:id="rId347"/>
    <hyperlink ref="M175" r:id="rId348"/>
    <hyperlink ref="L176" r:id="rId349"/>
    <hyperlink ref="M176" r:id="rId350"/>
    <hyperlink ref="L177" r:id="rId351"/>
    <hyperlink ref="M177" r:id="rId352"/>
  </hyperlinks>
  <pageMargins left="0.25" right="0.25" top="0.5" bottom="0.5" header="0.2" footer="0.2"/>
  <pageSetup orientation="landscape" paperSize="9"/>
</worksheet>
</file>

<file path=xl/worksheets/sheet5.xml><?xml version="1.0" encoding="utf-8"?>
<worksheet xmlns="http://schemas.openxmlformats.org/spreadsheetml/2006/main" xmlns:r="http://schemas.openxmlformats.org/officeDocument/2006/relationships">
  <dimension ref="A1:E17"/>
  <sheetViews>
    <sheetView workbookViewId="0">
      <pane xSplit="0" ySplit="1" topLeftCell="A2" activePane="bottomRight" state="frozen"/>
    </sheetView>
  </sheetViews>
  <sheetFormatPr defaultRowHeight="20"/>
  <cols>
    <col min="1" max="1" width="40" customWidth="1"/>
    <col min="2" max="2" width="12" customWidth="1"/>
    <col min="3" max="3" width="110" customWidth="1"/>
    <col min="4" max="4" width="95" customWidth="1"/>
    <col min="5" max="5" width="95" customWidth="1"/>
  </cols>
  <sheetData>
    <row r="1" ht="38" customHeight="1">
      <c r="A1" s="1" t="inlineStr">
        <is>
          <t xml:space="preserve">Module</t>
        </is>
      </c>
      <c r="B1" s="1" t="inlineStr">
        <is>
          <t xml:space="preserve">Owner</t>
        </is>
      </c>
      <c r="C1" s="1" t="inlineStr">
        <is>
          <t xml:space="preserve">Phạm vi file</t>
        </is>
      </c>
      <c r="D1" s="1" t="inlineStr">
        <is>
          <t xml:space="preserve">Nghiệp vụ</t>
        </is>
      </c>
      <c r="E1" s="1" t="inlineStr">
        <is>
          <t xml:space="preserve">Quy tắc bàn giao</t>
        </is>
      </c>
    </row>
    <row r="2" ht="72" customHeight="1">
      <c r="A2" s="2" t="inlineStr">
        <is>
          <t xml:space="preserve">Khung backend &amp; adapter chung</t>
        </is>
      </c>
      <c r="B2" s="2" t="inlineStr">
        <is>
          <t xml:space="preserve">A</t>
        </is>
      </c>
      <c r="C2" s="2" t="inlineStr">
        <is>
          <t xml:space="preserve">backend/src/core/**
backend/contracts/core.*
backend/tests/fixtures/A/**
backend/tests/contracts/A/**
backend/tests/e2e/platform-*/**
backend/bootstrap.*
backend/package*
backend/lockfile
.github/workflows/backend-*</t>
        </is>
      </c>
      <c r="D2" s="2" t="inlineStr">
        <is>
          <t xml:space="preserve">ActorContext, envelope, DB/UoW, procedure runner, idempotency, event/audit ports; không chứa nghiệp vụ nhà/thuê.</t>
        </is>
      </c>
      <c r="E2" s="2" t="inlineStr">
        <is>
          <t xml:space="preserve">Dựng router tự đăng ký manifest module; B/C không cùng sửa một routes.* hoặc DI container.</t>
        </is>
      </c>
    </row>
    <row r="3" ht="72" customHeight="1">
      <c r="A3" s="0" t="inlineStr">
        <is>
          <t xml:space="preserve">Tài khoản &amp; danh tính</t>
        </is>
      </c>
      <c r="B3" s="0" t="inlineStr">
        <is>
          <t xml:space="preserve">A</t>
        </is>
      </c>
      <c r="C3" s="0" t="inlineStr">
        <is>
          <t xml:space="preserve">backend/src/modules/identity/**
backend/tests/identity/**
backend/contracts/identity.*</t>
        </is>
      </c>
      <c r="D3" s="0" t="inlineStr">
        <is>
          <t xml:space="preserve">users, roles, profiles, auth_sessions, verification_tokens, identity verification.</t>
        </is>
      </c>
      <c r="E3" s="0" t="inlineStr">
        <is>
          <t xml:space="preserve">C dùng TokenPort cho OCCUPANT_LINK, không tự sửa token repository của A.</t>
        </is>
      </c>
    </row>
    <row r="4" ht="72" customHeight="1">
      <c r="A4" s="2" t="inlineStr">
        <is>
          <t xml:space="preserve">Kho tệp &amp; quyền đọc</t>
        </is>
      </c>
      <c r="B4" s="2" t="inlineStr">
        <is>
          <t xml:space="preserve">A</t>
        </is>
      </c>
      <c r="C4" s="2" t="inlineStr">
        <is>
          <t xml:space="preserve">backend/src/modules/files/**
backend/tests/files/**
backend/contracts/files.*</t>
        </is>
      </c>
      <c r="D4" s="2" t="inlineStr">
        <is>
          <t xml:space="preserve">Metadata, upload/complete/download, MIME/hash/retention, private authorization.</t>
        </is>
      </c>
      <c r="E4" s="2" t="inlineStr">
        <is>
          <t xml:space="preserve">B/C truyền fileId và business context; không viết thêm một file service riêng.</t>
        </is>
      </c>
    </row>
    <row r="5" ht="72" customHeight="1">
      <c r="A5" s="0" t="inlineStr">
        <is>
          <t xml:space="preserve">Hội thoại &amp; thông báo</t>
        </is>
      </c>
      <c r="B5" s="0" t="inlineStr">
        <is>
          <t xml:space="preserve">A</t>
        </is>
      </c>
      <c r="C5" s="0" t="inlineStr">
        <is>
          <t xml:space="preserve">backend/src/modules/messaging/**
backend/src/modules/notifications/**
backend/tests/messaging/**
backend/contracts/messaging.*</t>
        </is>
      </c>
      <c r="D5" s="0" t="inlineStr">
        <is>
          <t xml:space="preserve">Hội thoại, participant, message, notifications, SSE.</t>
        </is>
      </c>
      <c r="E5" s="0" t="inlineStr">
        <is>
          <t xml:space="preserve">Chat gộp theo cặp ở read model; context ghi vẫn đúng conversation/post/room của v5.</t>
        </is>
      </c>
    </row>
    <row r="6" ht="72" customHeight="1">
      <c r="A6" s="2" t="inlineStr">
        <is>
          <t xml:space="preserve">Hóa đơn &amp; thu tiền</t>
        </is>
      </c>
      <c r="B6" s="2" t="inlineStr">
        <is>
          <t xml:space="preserve">A</t>
        </is>
      </c>
      <c r="C6" s="2" t="inlineStr">
        <is>
          <t xml:space="preserve">backend/src/modules/billing/**
backend/tests/billing/**
backend/contracts/billing.*</t>
        </is>
      </c>
      <c r="D6" s="2" t="inlineStr">
        <is>
          <t xml:space="preserve">invoices/invoice_items, snapshot người trả/giá; thu toàn bộ theo phạm vi hiện tại.</t>
        </is>
      </c>
      <c r="E6" s="2" t="inlineStr">
        <is>
          <t xml:space="preserve">Nhận dữ liệu hợp đồng/cư trú qua cổng C, giá dịch vụ qua cổng B; không sửa bảng giá/hợp đồng.</t>
        </is>
      </c>
    </row>
    <row r="7" ht="72" customHeight="1">
      <c r="A7" s="0" t="inlineStr">
        <is>
          <t xml:space="preserve">Quản trị tài khoản &amp; audit</t>
        </is>
      </c>
      <c r="B7" s="0" t="inlineStr">
        <is>
          <t xml:space="preserve">A</t>
        </is>
      </c>
      <c r="C7" s="0" t="inlineStr">
        <is>
          <t xml:space="preserve">backend/src/modules/account-admin/**
backend/src/modules/audit/**
backend/src/modules/admin-dashboard/**
backend/tests/account-admin/**</t>
        </is>
      </c>
      <c r="D7" s="0" t="inlineStr">
        <is>
          <t xml:space="preserve">Khóa phiên/tài khoản, truy vết và tổng quan quản trị; các /admin khác nằm tại module nghiệp vụ của B/C.</t>
        </is>
      </c>
      <c r="E7" s="0" t="inlineStr">
        <is>
          <t xml:space="preserve">Không gom mọi endpoint /admin vào một controller chung.</t>
        </is>
      </c>
    </row>
    <row r="8" ht="72" customHeight="1">
      <c r="A8" s="2" t="inlineStr">
        <is>
          <t xml:space="preserve">Nhà, quyền nhà &amp; phòng</t>
        </is>
      </c>
      <c r="B8" s="2" t="inlineStr">
        <is>
          <t xml:space="preserve">B</t>
        </is>
      </c>
      <c r="C8" s="2" t="inlineStr">
        <is>
          <t xml:space="preserve">backend/src/modules/properties/**
backend/src/modules/house-rights/**
backend/tests/properties/**
backend/tests/fixtures/B/**
backend/tests/contracts/B/**
backend/tests/e2e/property-*/**
backend/contracts/properties.*</t>
        </is>
      </c>
      <c r="D8" s="2" t="inlineStr">
        <is>
          <t xml:space="preserve">Nhà/phòng, quyền cho thuê, tải phòng, dashboard chủ trọ và các nguồn đọc công khai.</t>
        </is>
      </c>
      <c r="E8" s="2" t="inlineStr">
        <is>
          <t xml:space="preserve">C chỉ gọi cổng đọc/SQL procedure dưới khóa; không đổi trạng thái phòng bằng setter từ controller.</t>
        </is>
      </c>
    </row>
    <row r="9" ht="72" customHeight="1">
      <c r="A9" s="0" t="inlineStr">
        <is>
          <t xml:space="preserve">Tin đăng &amp; tìm kiếm</t>
        </is>
      </c>
      <c r="B9" s="0" t="inlineStr">
        <is>
          <t xml:space="preserve">B</t>
        </is>
      </c>
      <c r="C9" s="0" t="inlineStr">
        <is>
          <t xml:space="preserve">backend/src/modules/posts/**
backend/tests/posts/**
backend/contracts/posts.*</t>
        </is>
      </c>
      <c r="D9" s="0" t="inlineStr">
        <is>
          <t xml:space="preserve">posts/post_images/post_amenities/favorites, quota 3 bài chờ và public view.</t>
        </is>
      </c>
      <c r="E9" s="0" t="inlineStr">
        <is>
          <t xml:space="preserve">Mọi tham chiếu giữ postId; ảnh và bài phải lưu nguyên tử sau mở rộng D07.</t>
        </is>
      </c>
    </row>
    <row r="10" ht="72" customHeight="1">
      <c r="A10" s="2" t="inlineStr">
        <is>
          <t xml:space="preserve">Dịch vụ &amp; giá hiệu lực</t>
        </is>
      </c>
      <c r="B10" s="2" t="inlineStr">
        <is>
          <t xml:space="preserve">B</t>
        </is>
      </c>
      <c r="C10" s="2" t="inlineStr">
        <is>
          <t xml:space="preserve">backend/src/modules/services/**
backend/tests/services/**
backend/contracts/services.*</t>
        </is>
      </c>
      <c r="D10" s="2" t="inlineStr">
        <is>
          <t xml:space="preserve">rental_services/house_services/room_services và báo giá hiện tại.</t>
        </is>
      </c>
      <c r="E10" s="2" t="inlineStr">
        <is>
          <t xml:space="preserve">A sở hữu hóa đơn; đổi dịch vụ không sửa invoice_items cũ.</t>
        </is>
      </c>
    </row>
    <row r="11" ht="72" customHeight="1">
      <c r="A11" s="0" t="inlineStr">
        <is>
          <t xml:space="preserve">Lịch xem &amp; quyết định thuê</t>
        </is>
      </c>
      <c r="B11" s="0" t="inlineStr">
        <is>
          <t xml:space="preserve">B</t>
        </is>
      </c>
      <c r="C11" s="0" t="inlineStr">
        <is>
          <t xml:space="preserve">backend/src/modules/viewings/**
backend/tests/viewings/**
backend/tests/e2e/viewing-contract/**
backend/contracts/viewings.*</t>
        </is>
      </c>
      <c r="D11" s="0" t="inlineStr">
        <is>
          <t xml:space="preserve">Proposal, schedule, attendance, rental decision.</t>
        </is>
      </c>
      <c r="E11" s="0" t="inlineStr">
        <is>
          <t xml:space="preserve">C tạo hợp đồng bằng viewingId; cùng bản ghi lịch được dùng cho chat và màn hình lịch.</t>
        </is>
      </c>
    </row>
    <row r="12" ht="72" customHeight="1">
      <c r="A12" s="2" t="inlineStr">
        <is>
          <t xml:space="preserve">Hồ sơ, tiêu chí &amp; kết nối</t>
        </is>
      </c>
      <c r="B12" s="2" t="inlineStr">
        <is>
          <t xml:space="preserve">B</t>
        </is>
      </c>
      <c r="C12" s="2" t="inlineStr">
        <is>
          <t xml:space="preserve">backend/src/modules/roommates/**
backend/tests/roommates/**
backend/contracts/roommates.*</t>
        </is>
      </c>
      <c r="D12" s="2" t="inlineStr">
        <is>
          <t xml:space="preserve">roommate_profiles/lifestyles/requests và matching theo chính sách đã chốt.</t>
        </is>
      </c>
      <c r="E12" s="2" t="inlineStr">
        <is>
          <t xml:space="preserve">ACCEPTED chỉ tạo kết nối/chat, không tạo occupant_join_request hoặc consent thuê.</t>
        </is>
      </c>
    </row>
    <row r="13" ht="72" customHeight="1">
      <c r="A13" s="0" t="inlineStr">
        <is>
          <t xml:space="preserve">Đánh giá &amp; báo cáo</t>
        </is>
      </c>
      <c r="B13" s="0" t="inlineStr">
        <is>
          <t xml:space="preserve">B</t>
        </is>
      </c>
      <c r="C13" s="0" t="inlineStr">
        <is>
          <t xml:space="preserve">backend/src/modules/reviews/**
backend/src/modules/reports/**
backend/tests/content-moderation/**</t>
        </is>
      </c>
      <c r="D13" s="0" t="inlineStr">
        <is>
          <t xml:space="preserve">reviews/reports, private evidence và quyết định nội dung.</t>
        </is>
      </c>
      <c r="E13" s="0" t="inlineStr">
        <is>
          <t xml:space="preserve">Khóa user qua dịch vụ A; thay đổi quyền thuê qua C; không gọi trực tiếp controller khác.</t>
        </is>
      </c>
    </row>
    <row r="14" ht="72" customHeight="1">
      <c r="A14" s="2" t="inlineStr">
        <is>
          <t xml:space="preserve">Hợp đồng &amp; cư trú</t>
        </is>
      </c>
      <c r="B14" s="2" t="inlineStr">
        <is>
          <t xml:space="preserve">C</t>
        </is>
      </c>
      <c r="C14" s="2" t="inlineStr">
        <is>
          <t xml:space="preserve">backend/src/modules/rentals/**
backend/tests/rentals/**
backend/tests/fixtures/C/**
backend/tests/contracts/C/**
backend/tests/e2e/rental-*/**
backend/contracts/rentals.*</t>
        </is>
      </c>
      <c r="D14" s="2" t="inlineStr">
        <is>
          <t xml:space="preserve">Contracts, revisions, room_tenants, representative history, join/change requests, templates và liên kết cư dân.</t>
        </is>
      </c>
      <c r="E14" s="2" t="inlineStr">
        <is>
          <t xml:space="preserve">Một transaction owner cho toàn bộ vào/rời/đổi phòng; không chia controller và service của cùng luồng cho hai người.</t>
        </is>
      </c>
    </row>
    <row r="15" ht="72" customHeight="1">
      <c r="A15" s="0" t="inlineStr">
        <is>
          <t xml:space="preserve">Nguồn SQL nhà/tin/lịch</t>
        </is>
      </c>
      <c r="B15" s="0" t="inlineStr">
        <is>
          <t xml:space="preserve">B</t>
        </is>
      </c>
      <c r="C15" s="0" t="inlineStr">
        <is>
          <t xml:space="preserve">database/source/house-rights.sql
database/source/post-review-quota.sql
database/source/viewing-proposals.sql
backend/tests/sql-property/**</t>
        </is>
      </c>
      <c r="D15" s="0" t="inlineStr">
        <is>
          <t xml:space="preserve">B sửa nguồn thuộc nhà, quota và lịch xem; gửi A tích hợp SQL sinh ra.</t>
        </is>
      </c>
      <c r="E15" s="0" t="inlineStr">
        <is>
          <t xml:space="preserve">Không tự sửa workflows.sql hoặc bản schema/migration được build.</t>
        </is>
      </c>
    </row>
    <row r="16" ht="72" customHeight="1">
      <c r="A16" s="2" t="inlineStr">
        <is>
          <t xml:space="preserve">Nguồn SQL giao dịch thuê</t>
        </is>
      </c>
      <c r="B16" s="2" t="inlineStr">
        <is>
          <t xml:space="preserve">C</t>
        </is>
      </c>
      <c r="C16" s="2" t="inlineStr">
        <is>
          <t xml:space="preserve">database/source/workflows.sql
database/source/contract-viewing-cleanup.sql
backend/tests/sql-rental/**</t>
        </is>
      </c>
      <c r="D16" s="2" t="inlineStr">
        <is>
          <t xml:space="preserve">C giữ nguồn thuê và file workflows.sql hiện đang chứa nhiều trigger/procedure dùng chung.</t>
        </is>
      </c>
      <c r="E16" s="2" t="inlineStr">
        <is>
          <t xml:space="preserve">A/B cần thay phần của file này thì gửi change request cho C kèm test, không đồng sửa file.</t>
        </is>
      </c>
    </row>
    <row r="17" ht="72" customHeight="1">
      <c r="A17" s="0" t="inlineStr">
        <is>
          <t xml:space="preserve">Tệp chung &amp; SQL sinh ra</t>
        </is>
      </c>
      <c r="B17" s="0" t="inlineStr">
        <is>
          <t xml:space="preserve">A</t>
        </is>
      </c>
      <c r="C17" s="0" t="inlineStr">
        <is>
          <t xml:space="preserve">database/schema.sql
database/migrations/*
scripts/build-database.cjs
backend/tests/e2e/release/**</t>
        </is>
      </c>
      <c r="D17" s="0" t="inlineStr">
        <is>
          <t xml:space="preserve">A cấp thứ tự migration, build/commit output SQL, khóa phiên bản dependency và CI.</t>
        </is>
      </c>
      <c r="E17" s="0" t="inlineStr">
        <is>
          <t xml:space="preserve">B/C có thể chạy build trong thư mục tạm để test; A tái sinh output trên nhánh tích hợp từ toàn bộ nguồn mới nhất.</t>
        </is>
      </c>
    </row>
  </sheetData>
  <autoFilter ref="A1:E17"/>
  <pageMargins left="0.25" right="0.25" top="0.5" bottom="0.5" header="0.2" footer="0.2"/>
  <pageSetup orientation="landscape" paperSize="9"/>
</worksheet>
</file>

<file path=xl/worksheets/sheet6.xml><?xml version="1.0" encoding="utf-8"?>
<worksheet xmlns="http://schemas.openxmlformats.org/spreadsheetml/2006/main" xmlns:r="http://schemas.openxmlformats.org/officeDocument/2006/relationships">
  <dimension ref="A1:H9"/>
  <sheetViews>
    <sheetView workbookViewId="0">
      <pane xSplit="0" ySplit="1" topLeftCell="A2" activePane="bottomRight" state="frozen"/>
    </sheetView>
  </sheetViews>
  <sheetFormatPr defaultRowHeight="20"/>
  <cols>
    <col min="1" max="1" width="24" customWidth="1"/>
    <col min="2" max="2" width="50" customWidth="1"/>
    <col min="3" max="3" width="100" customWidth="1"/>
    <col min="4" max="4" width="65" customWidth="1"/>
    <col min="5" max="5" width="24" customWidth="1"/>
    <col min="6" max="6" width="24" customWidth="1"/>
    <col min="7" max="7" width="110" customWidth="1"/>
    <col min="8" max="8" width="24" customWidth="1"/>
  </cols>
  <sheetData>
    <row r="1" ht="38" customHeight="1">
      <c r="A1" s="1" t="inlineStr">
        <is>
          <t xml:space="preserve">Mốc</t>
        </is>
      </c>
      <c r="B1" s="1" t="inlineStr">
        <is>
          <t xml:space="preserve">Tên</t>
        </is>
      </c>
      <c r="C1" s="1" t="inlineStr">
        <is>
          <t xml:space="preserve">Mục tiêu</t>
        </is>
      </c>
      <c r="D1" s="1" t="inlineStr">
        <is>
          <t xml:space="preserve">Task</t>
        </is>
      </c>
      <c r="E1" s="1" t="inlineStr">
        <is>
          <t xml:space="preserve">SP</t>
        </is>
      </c>
      <c r="F1" s="1" t="inlineStr">
        <is>
          <t xml:space="preserve">Gate</t>
        </is>
      </c>
      <c r="G1" s="1" t="inlineStr">
        <is>
          <t xml:space="preserve">Điều kiện qua gate</t>
        </is>
      </c>
      <c r="H1" s="1" t="inlineStr">
        <is>
          <t xml:space="preserve">Trạng thái gate</t>
        </is>
      </c>
    </row>
    <row r="2" ht="72" customHeight="1">
      <c r="A2" s="2" t="inlineStr">
        <is>
          <t xml:space="preserve">P0</t>
        </is>
      </c>
      <c r="B2" s="2" t="inlineStr">
        <is>
          <t xml:space="preserve">Chốt giao diện &amp; cách làm chung</t>
        </is>
      </c>
      <c r="C2" s="2" t="inlineStr">
        <is>
          <t xml:space="preserve">Đóng băng contract v1, quyền sở hữu file và cách build/test; B/C chuẩn bị adapter, fixture song song với A dựng khung.</t>
        </is>
      </c>
      <c r="D2" s="2" t="inlineStr">
        <is>
          <t xml:space="preserve">BE-A01, BE-A02, BE-B01, BE-C01</t>
        </is>
      </c>
      <c r="E2" s="2">
        <v>16</v>
      </c>
      <c r="F2" s="2" t="inlineStr">
        <is>
          <t xml:space="preserve">G0</t>
        </is>
      </c>
      <c r="G2" s="2" t="inlineStr">
        <is>
          <t xml:space="preserve">Cả ba duyệt core/domain contracts và fixture; manifest, nhánh và quy tắc thay đổi chung đã rõ.</t>
        </is>
      </c>
      <c r="H2" s="2" t="str">
        <f>IF(AND(AND(INDEX(BE_Tasks!$P$2:$P$53,MATCH("BE-A01",BE_Tasks!$A$2:$A$53,0))="Hoàn thành",INDEX(BE_Tasks!$Z$2:$Z$53,MATCH("BE-A01",BE_Tasks!$A$2:$A$53,0))=""),AND(INDEX(BE_Tasks!$P$2:$P$53,MATCH("BE-A02",BE_Tasks!$A$2:$A$53,0))="Hoàn thành",INDEX(BE_Tasks!$Z$2:$Z$53,MATCH("BE-A02",BE_Tasks!$A$2:$A$53,0))=""),AND(INDEX(BE_Tasks!$P$2:$P$53,MATCH("BE-B01",BE_Tasks!$A$2:$A$53,0))="Hoàn thành",INDEX(BE_Tasks!$Z$2:$Z$53,MATCH("BE-B01",BE_Tasks!$A$2:$A$53,0))=""),AND(INDEX(BE_Tasks!$P$2:$P$53,MATCH("BE-C01",BE_Tasks!$A$2:$A$53,0))="Hoàn thành",INDEX(BE_Tasks!$Z$2:$Z$53,MATCH("BE-C01",BE_Tasks!$A$2:$A$53,0))="")),"Đạt","Chưa đạt")</f>
        <v>Chưa đạt</v>
      </c>
    </row>
    <row r="3" ht="72" customHeight="1">
      <c r="A3" s="0" t="inlineStr">
        <is>
          <t xml:space="preserve">P1</t>
        </is>
      </c>
      <c r="B3" s="0" t="inlineStr">
        <is>
          <t xml:space="preserve">Nền tảng &amp; dữ liệu gốc</t>
        </is>
      </c>
      <c r="C3" s="0" t="inlineStr">
        <is>
          <t xml:space="preserve">Có auth, tệp, idempotency, CRUD nhà/phòng, dịch vụ và các cổng đọc nghiệp vụ. Chưa phụ thuộc việc có người thuê thực tế.</t>
        </is>
      </c>
      <c r="D3" s="0" t="inlineStr">
        <is>
          <t xml:space="preserve">BE-A03, BE-A04, BE-A05, BE-B02, BE-B03, BE-B04, BE-C02, BE-C03</t>
        </is>
      </c>
      <c r="E3" s="0">
        <v>45</v>
      </c>
      <c r="F3" s="0" t="inlineStr">
        <is>
          <t xml:space="preserve">G1</t>
        </is>
      </c>
      <c r="G3" s="0" t="inlineStr">
        <is>
          <t xml:space="preserve">Auth thật, kho tệp test, idempotency và các cổng đọc đạt contract test; test DB độc lập.</t>
        </is>
      </c>
      <c r="H3" s="0" t="str">
        <f>IF(AND(AND(INDEX(BE_Tasks!$P$2:$P$53,MATCH("BE-A03",BE_Tasks!$A$2:$A$53,0))="Hoàn thành",INDEX(BE_Tasks!$Z$2:$Z$53,MATCH("BE-A03",BE_Tasks!$A$2:$A$53,0))=""),AND(INDEX(BE_Tasks!$P$2:$P$53,MATCH("BE-A04",BE_Tasks!$A$2:$A$53,0))="Hoàn thành",INDEX(BE_Tasks!$Z$2:$Z$53,MATCH("BE-A04",BE_Tasks!$A$2:$A$53,0))=""),AND(INDEX(BE_Tasks!$P$2:$P$53,MATCH("BE-A05",BE_Tasks!$A$2:$A$53,0))="Hoàn thành",INDEX(BE_Tasks!$Z$2:$Z$53,MATCH("BE-A05",BE_Tasks!$A$2:$A$53,0))=""),AND(INDEX(BE_Tasks!$P$2:$P$53,MATCH("BE-B04",BE_Tasks!$A$2:$A$53,0))="Hoàn thành",INDEX(BE_Tasks!$Z$2:$Z$53,MATCH("BE-B04",BE_Tasks!$A$2:$A$53,0))=""),AND(INDEX(BE_Tasks!$P$2:$P$53,MATCH("BE-C02",BE_Tasks!$A$2:$A$53,0))="Hoàn thành",INDEX(BE_Tasks!$Z$2:$Z$53,MATCH("BE-C02",BE_Tasks!$A$2:$A$53,0))=""),AND(INDEX(BE_Tasks!$P$2:$P$53,MATCH("BE-C03",BE_Tasks!$A$2:$A$53,0))="Hoàn thành",INDEX(BE_Tasks!$Z$2:$Z$53,MATCH("BE-C03",BE_Tasks!$A$2:$A$53,0))="")),"Đạt","Chưa đạt")</f>
        <v>Chưa đạt</v>
      </c>
    </row>
    <row r="4" ht="72" customHeight="1">
      <c r="A4" s="2" t="inlineStr">
        <is>
          <t xml:space="preserve">P2</t>
        </is>
      </c>
      <c r="B4" s="2" t="inlineStr">
        <is>
          <t xml:space="preserve">Công khai phòng &amp; chat hỏi phòng</t>
        </is>
      </c>
      <c r="C4" s="2" t="inlineStr">
        <is>
          <t xml:space="preserve">Hoàn thành minh chứng nhà, quota tin, tìm phòng, xác minh tài khoản và chat để làm đầu vào cho lịch xem.</t>
        </is>
      </c>
      <c r="D4" s="2" t="inlineStr">
        <is>
          <t xml:space="preserve">BE-A06, BE-A07, BE-A08, BE-B05, BE-B06, BE-B07, BE-C04</t>
        </is>
      </c>
      <c r="E4" s="2">
        <v>44</v>
      </c>
      <c r="F4" s="2" t="inlineStr">
        <is>
          <t xml:space="preserve">G2</t>
        </is>
      </c>
      <c r="G4" s="2" t="inlineStr">
        <is>
          <t xml:space="preserve">Có quyền nhà, post đã duyệt và tin tenant gửi đúng room; expected revision được bảo vệ trong SQL.</t>
        </is>
      </c>
      <c r="H4" s="2" t="str">
        <f>IF(AND(AND(INDEX(BE_Tasks!$P$2:$P$53,MATCH("BE-A06",BE_Tasks!$A$2:$A$53,0))="Hoàn thành",INDEX(BE_Tasks!$Z$2:$Z$53,MATCH("BE-A06",BE_Tasks!$A$2:$A$53,0))=""),AND(INDEX(BE_Tasks!$P$2:$P$53,MATCH("BE-A07",BE_Tasks!$A$2:$A$53,0))="Hoàn thành",INDEX(BE_Tasks!$Z$2:$Z$53,MATCH("BE-A07",BE_Tasks!$A$2:$A$53,0))=""),AND(INDEX(BE_Tasks!$P$2:$P$53,MATCH("BE-A08",BE_Tasks!$A$2:$A$53,0))="Hoàn thành",INDEX(BE_Tasks!$Z$2:$Z$53,MATCH("BE-A08",BE_Tasks!$A$2:$A$53,0))=""),AND(INDEX(BE_Tasks!$P$2:$P$53,MATCH("BE-B05",BE_Tasks!$A$2:$A$53,0))="Hoàn thành",INDEX(BE_Tasks!$Z$2:$Z$53,MATCH("BE-B05",BE_Tasks!$A$2:$A$53,0))=""),AND(INDEX(BE_Tasks!$P$2:$P$53,MATCH("BE-B06",BE_Tasks!$A$2:$A$53,0))="Hoàn thành",INDEX(BE_Tasks!$Z$2:$Z$53,MATCH("BE-B06",BE_Tasks!$A$2:$A$53,0))=""),AND(INDEX(BE_Tasks!$P$2:$P$53,MATCH("BE-B07",BE_Tasks!$A$2:$A$53,0))="Hoàn thành",INDEX(BE_Tasks!$Z$2:$Z$53,MATCH("BE-B07",BE_Tasks!$A$2:$A$53,0))=""),AND(INDEX(BE_Tasks!$P$2:$P$53,MATCH("BE-C04",BE_Tasks!$A$2:$A$53,0))="Hoàn thành",INDEX(BE_Tasks!$Z$2:$Z$53,MATCH("BE-C04",BE_Tasks!$A$2:$A$53,0))="")),"Đạt","Chưa đạt")</f>
        <v>Chưa đạt</v>
      </c>
    </row>
    <row r="5" ht="72" customHeight="1">
      <c r="A5" s="0" t="inlineStr">
        <is>
          <t xml:space="preserve">P3</t>
        </is>
      </c>
      <c r="B5" s="0" t="inlineStr">
        <is>
          <t xml:space="preserve">Hẹn xem → gửi hợp đồng</t>
        </is>
      </c>
      <c r="C5" s="0" t="inlineStr">
        <is>
          <t xml:space="preserve">B chốt lịch/ý định thuê; C dùng lịch đủ điều kiện để giữ phòng và đóng lịch tương lai; A hoàn thiện thông báo.</t>
        </is>
      </c>
      <c r="D5" s="0" t="inlineStr">
        <is>
          <t xml:space="preserve">BE-A09, BE-B08, BE-B09, BE-B10, BE-C05</t>
        </is>
      </c>
      <c r="E5" s="0">
        <v>24</v>
      </c>
      <c r="F5" s="0" t="inlineStr">
        <is>
          <t xml:space="preserve">G3</t>
        </is>
      </c>
      <c r="G5" s="0" t="inlineStr">
        <is>
          <t xml:space="preserve">Tenant COMPLETED+AGREED → contract pending giữ room; lịch/proposal đóng đúng, hai người tranh phòng chỉ một thắng.</t>
        </is>
      </c>
      <c r="H5" s="0" t="str">
        <f>IF(AND(AND(INDEX(BE_Tasks!$P$2:$P$53,MATCH("BE-A09",BE_Tasks!$A$2:$A$53,0))="Hoàn thành",INDEX(BE_Tasks!$Z$2:$Z$53,MATCH("BE-A09",BE_Tasks!$A$2:$A$53,0))=""),AND(INDEX(BE_Tasks!$P$2:$P$53,MATCH("BE-B08",BE_Tasks!$A$2:$A$53,0))="Hoàn thành",INDEX(BE_Tasks!$Z$2:$Z$53,MATCH("BE-B08",BE_Tasks!$A$2:$A$53,0))=""),AND(INDEX(BE_Tasks!$P$2:$P$53,MATCH("BE-B09",BE_Tasks!$A$2:$A$53,0))="Hoàn thành",INDEX(BE_Tasks!$Z$2:$Z$53,MATCH("BE-B09",BE_Tasks!$A$2:$A$53,0))=""),AND(INDEX(BE_Tasks!$P$2:$P$53,MATCH("BE-B10",BE_Tasks!$A$2:$A$53,0))="Hoàn thành",INDEX(BE_Tasks!$Z$2:$Z$53,MATCH("BE-B10",BE_Tasks!$A$2:$A$53,0))=""),AND(INDEX(BE_Tasks!$P$2:$P$53,MATCH("BE-C05",BE_Tasks!$A$2:$A$53,0))="Hoàn thành",INDEX(BE_Tasks!$Z$2:$Z$53,MATCH("BE-C05",BE_Tasks!$A$2:$A$53,0))="")),"Đạt","Chưa đạt")</f>
        <v>Chưa đạt</v>
      </c>
    </row>
    <row r="6" ht="72" customHeight="1">
      <c r="A6" s="2" t="inlineStr">
        <is>
          <t xml:space="preserve">P4</t>
        </is>
      </c>
      <c r="B6" s="2" t="inlineStr">
        <is>
          <t xml:space="preserve">Xác nhận → vào ở → hóa đơn nháp</t>
        </is>
      </c>
      <c r="C6" s="2" t="inlineStr">
        <is>
          <t xml:space="preserve">C xác nhận phiên bản và người ở thực tế; A lập hóa đơn bằng snapshot; B triển khai hồ sơ/kết nối và thẻ chat dùng cổng đã công bố.</t>
        </is>
      </c>
      <c r="D6" s="2" t="inlineStr">
        <is>
          <t xml:space="preserve">BE-A10, BE-A11, BE-A12, BE-B11, BE-B12, BE-B13, BE-C06, BE-C07, BE-C08, BE-C09</t>
        </is>
      </c>
      <c r="E6" s="2">
        <v>48</v>
      </c>
      <c r="F6" s="2" t="inlineStr">
        <is>
          <t xml:space="preserve">G4</t>
        </is>
      </c>
      <c r="G6" s="2" t="inlineStr">
        <is>
          <t xml:space="preserve">Move-in mới ACTIVE, invoice đếm đúng người, kết nối/chat không tự thành thuê chung, token link nguyên tử.</t>
        </is>
      </c>
      <c r="H6" s="2" t="str">
        <f>IF(AND(AND(INDEX(BE_Tasks!$P$2:$P$53,MATCH("BE-A10",BE_Tasks!$A$2:$A$53,0))="Hoàn thành",INDEX(BE_Tasks!$Z$2:$Z$53,MATCH("BE-A10",BE_Tasks!$A$2:$A$53,0))=""),AND(INDEX(BE_Tasks!$P$2:$P$53,MATCH("BE-A11",BE_Tasks!$A$2:$A$53,0))="Hoàn thành",INDEX(BE_Tasks!$Z$2:$Z$53,MATCH("BE-A11",BE_Tasks!$A$2:$A$53,0))=""),AND(INDEX(BE_Tasks!$P$2:$P$53,MATCH("BE-A12",BE_Tasks!$A$2:$A$53,0))="Hoàn thành",INDEX(BE_Tasks!$Z$2:$Z$53,MATCH("BE-A12",BE_Tasks!$A$2:$A$53,0))=""),AND(INDEX(BE_Tasks!$P$2:$P$53,MATCH("BE-B11",BE_Tasks!$A$2:$A$53,0))="Hoàn thành",INDEX(BE_Tasks!$Z$2:$Z$53,MATCH("BE-B11",BE_Tasks!$A$2:$A$53,0))=""),AND(INDEX(BE_Tasks!$P$2:$P$53,MATCH("BE-B12",BE_Tasks!$A$2:$A$53,0))="Hoàn thành",INDEX(BE_Tasks!$Z$2:$Z$53,MATCH("BE-B12",BE_Tasks!$A$2:$A$53,0))=""),AND(INDEX(BE_Tasks!$P$2:$P$53,MATCH("BE-B13",BE_Tasks!$A$2:$A$53,0))="Hoàn thành",INDEX(BE_Tasks!$Z$2:$Z$53,MATCH("BE-B13",BE_Tasks!$A$2:$A$53,0))=""),AND(INDEX(BE_Tasks!$P$2:$P$53,MATCH("BE-C06",BE_Tasks!$A$2:$A$53,0))="Hoàn thành",INDEX(BE_Tasks!$Z$2:$Z$53,MATCH("BE-C06",BE_Tasks!$A$2:$A$53,0))=""),AND(INDEX(BE_Tasks!$P$2:$P$53,MATCH("BE-C07",BE_Tasks!$A$2:$A$53,0))="Hoàn thành",INDEX(BE_Tasks!$Z$2:$Z$53,MATCH("BE-C07",BE_Tasks!$A$2:$A$53,0))=""),AND(INDEX(BE_Tasks!$P$2:$P$53,MATCH("BE-C08",BE_Tasks!$A$2:$A$53,0))="Hoàn thành",INDEX(BE_Tasks!$Z$2:$Z$53,MATCH("BE-C08",BE_Tasks!$A$2:$A$53,0))=""),AND(INDEX(BE_Tasks!$P$2:$P$53,MATCH("BE-C09",BE_Tasks!$A$2:$A$53,0))="Hoàn thành",INDEX(BE_Tasks!$Z$2:$Z$53,MATCH("BE-C09",BE_Tasks!$A$2:$A$53,0))="")),"Đạt","Chưa đạt")</f>
        <v>Chưa đạt</v>
      </c>
    </row>
    <row r="7" ht="72" customHeight="1">
      <c r="A7" s="0" t="inlineStr">
        <is>
          <t xml:space="preserve">P5</t>
        </is>
      </c>
      <c r="B7" s="0" t="inlineStr">
        <is>
          <t xml:space="preserve">Thuê chung, thay đổi &amp; thu tiền</t>
        </is>
      </c>
      <c r="C7" s="0" t="inlineStr">
        <is>
          <t xml:space="preserve">Hoàn tất giữ chỗ, bàn giao, gia hạn/đổi phòng/chấm dứt, thu tiền và vận chuyển sự kiện SSE.</t>
        </is>
      </c>
      <c r="D7" s="0" t="inlineStr">
        <is>
          <t xml:space="preserve">BE-A13, BE-A14, BE-B14, BE-C10, BE-C11, BE-C12</t>
        </is>
      </c>
      <c r="E7" s="0">
        <v>36</v>
      </c>
      <c r="F7" s="0" t="inlineStr">
        <is>
          <t xml:space="preserve">G5</t>
        </is>
      </c>
      <c r="G7" s="0" t="inlineStr">
        <is>
          <t xml:space="preserve">Giữ invoice/payer cũ, chuyển đủ nhóm và rollback, hold 48h đúng, SSE phát sau commit.</t>
        </is>
      </c>
      <c r="H7" s="0" t="str">
        <f>IF(AND(AND(INDEX(BE_Tasks!$P$2:$P$53,MATCH("BE-A13",BE_Tasks!$A$2:$A$53,0))="Hoàn thành",INDEX(BE_Tasks!$Z$2:$Z$53,MATCH("BE-A13",BE_Tasks!$A$2:$A$53,0))=""),AND(INDEX(BE_Tasks!$P$2:$P$53,MATCH("BE-A14",BE_Tasks!$A$2:$A$53,0))="Hoàn thành",INDEX(BE_Tasks!$Z$2:$Z$53,MATCH("BE-A14",BE_Tasks!$A$2:$A$53,0))=""),AND(INDEX(BE_Tasks!$P$2:$P$53,MATCH("BE-B14",BE_Tasks!$A$2:$A$53,0))="Hoàn thành",INDEX(BE_Tasks!$Z$2:$Z$53,MATCH("BE-B14",BE_Tasks!$A$2:$A$53,0))=""),AND(INDEX(BE_Tasks!$P$2:$P$53,MATCH("BE-C10",BE_Tasks!$A$2:$A$53,0))="Hoàn thành",INDEX(BE_Tasks!$Z$2:$Z$53,MATCH("BE-C10",BE_Tasks!$A$2:$A$53,0))=""),AND(INDEX(BE_Tasks!$P$2:$P$53,MATCH("BE-C11",BE_Tasks!$A$2:$A$53,0))="Hoàn thành",INDEX(BE_Tasks!$Z$2:$Z$53,MATCH("BE-C11",BE_Tasks!$A$2:$A$53,0))=""),AND(INDEX(BE_Tasks!$P$2:$P$53,MATCH("BE-C12",BE_Tasks!$A$2:$A$53,0))="Hoàn thành",INDEX(BE_Tasks!$Z$2:$Z$53,MATCH("BE-C12",BE_Tasks!$A$2:$A$53,0))="")),"Đạt","Chưa đạt")</f>
        <v>Chưa đạt</v>
      </c>
    </row>
    <row r="8" ht="72" customHeight="1">
      <c r="A8" s="2" t="inlineStr">
        <is>
          <t xml:space="preserve">P6</t>
        </is>
      </c>
      <c r="B8" s="2" t="inlineStr">
        <is>
          <t xml:space="preserve">Chính sách mở rộng &amp; tác vụ nền</t>
        </is>
      </c>
      <c r="C8" s="2" t="inlineStr">
        <is>
          <t xml:space="preserve">Chốt thuật toán ghép, nhập giấy, audit mở rộng, đánh giá, dashboard và worker. Các mục chưa chốt tiếp tục được đánh dấu phụ thuộc.</t>
        </is>
      </c>
      <c r="D8" s="2" t="inlineStr">
        <is>
          <t xml:space="preserve">BE-A15, BE-B15, BE-B16, BE-B17, BE-B18, BE-C13, BE-C14</t>
        </is>
      </c>
      <c r="E8" s="2">
        <v>29</v>
      </c>
      <c r="F8" s="2" t="inlineStr">
        <is>
          <t xml:space="preserve">G6</t>
        </is>
      </c>
      <c r="G8" s="2" t="inlineStr">
        <is>
          <t xml:space="preserve">D02/D11/D13/D14 được chốt trước tính năng tương ứng; worker không tự kết thúc cư trú bằng suy đoán.</t>
        </is>
      </c>
      <c r="H8" s="2" t="str">
        <f>IF(AND(AND(INDEX(BE_Tasks!$P$2:$P$53,MATCH("BE-A15",BE_Tasks!$A$2:$A$53,0))="Hoàn thành",INDEX(BE_Tasks!$Z$2:$Z$53,MATCH("BE-A15",BE_Tasks!$A$2:$A$53,0))=""),AND(INDEX(BE_Tasks!$P$2:$P$53,MATCH("BE-B15",BE_Tasks!$A$2:$A$53,0))="Hoàn thành",INDEX(BE_Tasks!$Z$2:$Z$53,MATCH("BE-B15",BE_Tasks!$A$2:$A$53,0))=""),AND(INDEX(BE_Tasks!$P$2:$P$53,MATCH("BE-B16",BE_Tasks!$A$2:$A$53,0))="Hoàn thành",INDEX(BE_Tasks!$Z$2:$Z$53,MATCH("BE-B16",BE_Tasks!$A$2:$A$53,0))=""),AND(INDEX(BE_Tasks!$P$2:$P$53,MATCH("BE-B17",BE_Tasks!$A$2:$A$53,0))="Hoàn thành",INDEX(BE_Tasks!$Z$2:$Z$53,MATCH("BE-B17",BE_Tasks!$A$2:$A$53,0))=""),AND(INDEX(BE_Tasks!$P$2:$P$53,MATCH("BE-B18",BE_Tasks!$A$2:$A$53,0))="Hoàn thành",INDEX(BE_Tasks!$Z$2:$Z$53,MATCH("BE-B18",BE_Tasks!$A$2:$A$53,0))=""),AND(INDEX(BE_Tasks!$P$2:$P$53,MATCH("BE-C13",BE_Tasks!$A$2:$A$53,0))="Hoàn thành",INDEX(BE_Tasks!$Z$2:$Z$53,MATCH("BE-C13",BE_Tasks!$A$2:$A$53,0))=""),AND(INDEX(BE_Tasks!$P$2:$P$53,MATCH("BE-C14",BE_Tasks!$A$2:$A$53,0))="Hoàn thành",INDEX(BE_Tasks!$Z$2:$Z$53,MATCH("BE-C14",BE_Tasks!$A$2:$A$53,0))="")),"Đạt","Chưa đạt")</f>
        <v>Chưa đạt</v>
      </c>
    </row>
    <row r="9" ht="72" customHeight="1">
      <c r="A9" s="0" t="inlineStr">
        <is>
          <t xml:space="preserve">P7</t>
        </is>
      </c>
      <c r="B9" s="0" t="inlineStr">
        <is>
          <t xml:space="preserve">Kiểm thử tích hợp &amp; bàn giao</t>
        </is>
      </c>
      <c r="C9" s="0" t="inlineStr">
        <is>
          <t xml:space="preserve">Ba người kiểm thử các phạm vi riêng; A tích hợp bản release sau khi các gate, SQL và tài liệu đạt.</t>
        </is>
      </c>
      <c r="D9" s="0" t="inlineStr">
        <is>
          <t xml:space="preserve">BE-A16, BE-A17, BE-B19, BE-C15, BE-C16</t>
        </is>
      </c>
      <c r="E9" s="0">
        <v>21</v>
      </c>
      <c r="F9" s="0" t="inlineStr">
        <is>
          <t xml:space="preserve">G7</t>
        </is>
      </c>
      <c r="G9" s="0" t="inlineStr">
        <is>
          <t xml:space="preserve">Module tests, concurrency, E2E, SQL tạo mới/nâng cấp và 176 API coverage đạt; không có stub trong cấu hình production.</t>
        </is>
      </c>
      <c r="H9" s="0" t="str">
        <f>IF(AND(AND(INDEX(BE_Tasks!$P$2:$P$53,MATCH("BE-A16",BE_Tasks!$A$2:$A$53,0))="Hoàn thành",INDEX(BE_Tasks!$Z$2:$Z$53,MATCH("BE-A16",BE_Tasks!$A$2:$A$53,0))=""),AND(INDEX(BE_Tasks!$P$2:$P$53,MATCH("BE-A17",BE_Tasks!$A$2:$A$53,0))="Hoàn thành",INDEX(BE_Tasks!$Z$2:$Z$53,MATCH("BE-A17",BE_Tasks!$A$2:$A$53,0))=""),AND(INDEX(BE_Tasks!$P$2:$P$53,MATCH("BE-B19",BE_Tasks!$A$2:$A$53,0))="Hoàn thành",INDEX(BE_Tasks!$Z$2:$Z$53,MATCH("BE-B19",BE_Tasks!$A$2:$A$53,0))=""),AND(INDEX(BE_Tasks!$P$2:$P$53,MATCH("BE-C15",BE_Tasks!$A$2:$A$53,0))="Hoàn thành",INDEX(BE_Tasks!$Z$2:$Z$53,MATCH("BE-C15",BE_Tasks!$A$2:$A$53,0))=""),AND(INDEX(BE_Tasks!$P$2:$P$53,MATCH("BE-C16",BE_Tasks!$A$2:$A$53,0))="Hoàn thành",INDEX(BE_Tasks!$Z$2:$Z$53,MATCH("BE-C16",BE_Tasks!$A$2:$A$53,0))="")),"Đạt","Chưa đạt")</f>
        <v>Chưa đạt</v>
      </c>
    </row>
  </sheetData>
  <autoFilter ref="A1:H9"/>
  <pageMargins left="0.25" right="0.25" top="0.5" bottom="0.5" header="0.2" footer="0.2"/>
  <pageSetup orientation="landscape" paperSize="9"/>
</worksheet>
</file>

<file path=xl/worksheets/sheet7.xml><?xml version="1.0" encoding="utf-8"?>
<worksheet xmlns="http://schemas.openxmlformats.org/spreadsheetml/2006/main" xmlns:r="http://schemas.openxmlformats.org/officeDocument/2006/relationships">
  <dimension ref="A1:H12"/>
  <sheetViews>
    <sheetView workbookViewId="0">
      <pane xSplit="0" ySplit="1" topLeftCell="A2" activePane="bottomRight" state="frozen"/>
    </sheetView>
  </sheetViews>
  <sheetFormatPr defaultRowHeight="20"/>
  <cols>
    <col min="1" max="1" width="20" customWidth="1"/>
    <col min="2" max="2" width="24" customWidth="1"/>
    <col min="3" max="3" width="18" customWidth="1"/>
    <col min="4" max="4" width="24" customWidth="1"/>
    <col min="5" max="5" width="100" customWidth="1"/>
    <col min="6" max="6" width="100" customWidth="1"/>
    <col min="7" max="7" width="110" customWidth="1"/>
    <col min="8" max="8" width="22" customWidth="1"/>
  </cols>
  <sheetData>
    <row r="1" ht="38" customHeight="1">
      <c r="A1" s="1" t="inlineStr">
        <is>
          <t xml:space="preserve">Interface</t>
        </is>
      </c>
      <c r="B1" s="1" t="inlineStr">
        <is>
          <t xml:space="preserve">Provider</t>
        </is>
      </c>
      <c r="C1" s="1" t="inlineStr">
        <is>
          <t xml:space="preserve">Task cung cấp</t>
        </is>
      </c>
      <c r="D1" s="1" t="inlineStr">
        <is>
          <t xml:space="preserve">Consumer</t>
        </is>
      </c>
      <c r="E1" s="1" t="inlineStr">
        <is>
          <t xml:space="preserve">Chữ ký đề xuất</t>
        </is>
      </c>
      <c r="F1" s="1" t="inlineStr">
        <is>
          <t xml:space="preserve">Payload / dữ liệu</t>
        </is>
      </c>
      <c r="G1" s="1" t="inlineStr">
        <is>
          <t xml:space="preserve">Ràng buộc</t>
        </is>
      </c>
      <c r="H1" s="1" t="inlineStr">
        <is>
          <t xml:space="preserve">Trạng thái provider</t>
        </is>
      </c>
    </row>
    <row r="2" ht="72" customHeight="1">
      <c r="A2" s="2" t="inlineStr">
        <is>
          <t xml:space="preserve">IF-CORE</t>
        </is>
      </c>
      <c r="B2" s="2" t="inlineStr">
        <is>
          <t xml:space="preserve">A</t>
        </is>
      </c>
      <c r="C2" s="2" t="inlineStr">
        <is>
          <t xml:space="preserve">BE-A02</t>
        </is>
      </c>
      <c r="D2" s="2" t="inlineStr">
        <is>
          <t xml:space="preserve">B, C</t>
        </is>
      </c>
      <c r="E2" s="2" t="inlineStr">
        <is>
          <t xml:space="preserve">ActorContext; ResultEnvelope; DomainError; UnitOfWork; ProcedureRunner</t>
        </is>
      </c>
      <c r="F2" s="2" t="inlineStr">
        <is>
          <t xml:space="preserve">actor.userId/roles/sessionId/requestId; ID string; decimal/date; UoW(connection) hoặc CALL tự transaction</t>
        </is>
      </c>
      <c r="G2" s="2" t="inlineStr">
        <is>
          <t xml:space="preserve">Không tin actor trong body; CALL không chạy bên trong transaction app.</t>
        </is>
      </c>
      <c r="H2" s="2" t="str">
        <f>INDEX(BE_Tasks!$P$2:$P$53,MATCH("BE-A02",BE_Tasks!$A$2:$A$53,0))</f>
        <v>Chưa làm</v>
      </c>
    </row>
    <row r="3" ht="72" customHeight="1">
      <c r="A3" s="0" t="inlineStr">
        <is>
          <t xml:space="preserve">IF-TOKEN</t>
        </is>
      </c>
      <c r="B3" s="0" t="inlineStr">
        <is>
          <t xml:space="preserve">A</t>
        </is>
      </c>
      <c r="C3" s="0" t="inlineStr">
        <is>
          <t xml:space="preserve">BE-A07</t>
        </is>
      </c>
      <c r="D3" s="0" t="inlineStr">
        <is>
          <t xml:space="preserve">C</t>
        </is>
      </c>
      <c r="E3" s="0" t="inlineStr">
        <is>
          <t xml:space="preserve">TokenPort.issue/consume(purpose,target,actor,tx)</t>
        </is>
      </c>
      <c r="F3" s="0" t="inlineStr">
        <is>
          <t xml:space="preserve">Purpose OCCUPANT_LINK; targetRoomTenantId; expiresAt; attempt/consumed/revoked</t>
        </is>
      </c>
      <c r="G3" s="0" t="inlineStr">
        <is>
          <t xml:space="preserve">C mở UoW khi liên kết; adapter A dùng cùng tx, không gọi HTTP hoặc commit riêng.</t>
        </is>
      </c>
      <c r="H3" s="0" t="str">
        <f>INDEX(BE_Tasks!$P$2:$P$53,MATCH("BE-A07",BE_Tasks!$A$2:$A$53,0))</f>
        <v>Chưa làm</v>
      </c>
    </row>
    <row r="4" ht="72" customHeight="1">
      <c r="A4" s="2" t="inlineStr">
        <is>
          <t xml:space="preserve">IF-FILES</t>
        </is>
      </c>
      <c r="B4" s="2" t="inlineStr">
        <is>
          <t xml:space="preserve">A</t>
        </is>
      </c>
      <c r="C4" s="2" t="inlineStr">
        <is>
          <t xml:space="preserve">BE-A05</t>
        </is>
      </c>
      <c r="D4" s="2" t="inlineStr">
        <is>
          <t xml:space="preserve">B, C</t>
        </is>
      </c>
      <c r="E4" s="2" t="inlineStr">
        <is>
          <t xml:space="preserve">FilePort.assertUsable/authorizeDownload(actor,fileId,purpose,context,tx?)</t>
        </is>
      </c>
      <c r="F4" s="2" t="inlineStr">
        <is>
          <t xml:space="preserve">Metadata PRIVATE/ACTIVE, owner, MIME/size/hash/expiry; fileId, không có bucket URL cố định</t>
        </is>
      </c>
      <c r="G4" s="2" t="inlineStr">
        <is>
          <t xml:space="preserve">Context resolver đăng ký theo module; proof đã nộp bất biến, không tạo import vòng.</t>
        </is>
      </c>
      <c r="H4" s="2" t="str">
        <f>INDEX(BE_Tasks!$P$2:$P$53,MATCH("BE-A05",BE_Tasks!$A$2:$A$53,0))</f>
        <v>Chưa làm</v>
      </c>
    </row>
    <row r="5" ht="72" customHeight="1">
      <c r="A5" s="0" t="inlineStr">
        <is>
          <t xml:space="preserve">IF-ROOM</t>
        </is>
      </c>
      <c r="B5" s="0" t="inlineStr">
        <is>
          <t xml:space="preserve">B</t>
        </is>
      </c>
      <c r="C5" s="0" t="inlineStr">
        <is>
          <t xml:space="preserve">BE-B04</t>
        </is>
      </c>
      <c r="D5" s="0" t="inlineStr">
        <is>
          <t xml:space="preserve">A, C</t>
        </is>
      </c>
      <c r="E5" s="0" t="inlineStr">
        <is>
          <t xml:space="preserve">PropertyReadPort.getRentalSnapshot(roomId,actor,tx?)</t>
        </is>
      </c>
      <c r="F5" s="0" t="inlineStr">
        <is>
          <t xml:space="preserve">houseId/landlordId/status/capacity/load/effectiveRight/verificationVersion/asOf</t>
        </is>
      </c>
      <c r="G5" s="0" t="inlineStr">
        <is>
          <t xml:space="preserve">Chỉ snapshot; khi giữ phòng/gia hạn/chuyển phải kiểm tra lại dưới khóa SQL.</t>
        </is>
      </c>
      <c r="H5" s="0" t="str">
        <f>INDEX(BE_Tasks!$P$2:$P$53,MATCH("BE-B04",BE_Tasks!$A$2:$A$53,0))</f>
        <v>Chưa làm</v>
      </c>
    </row>
    <row r="6" ht="72" customHeight="1">
      <c r="A6" s="2" t="inlineStr">
        <is>
          <t xml:space="preserve">IF-SERVICE</t>
        </is>
      </c>
      <c r="B6" s="2" t="inlineStr">
        <is>
          <t xml:space="preserve">B</t>
        </is>
      </c>
      <c r="C6" s="2" t="inlineStr">
        <is>
          <t xml:space="preserve">BE-B03</t>
        </is>
      </c>
      <c r="D6" s="2" t="inlineStr">
        <is>
          <t xml:space="preserve">A</t>
        </is>
      </c>
      <c r="E6" s="2" t="inlineStr">
        <is>
          <t xml:space="preserve">ServiceQuotePort.getEffective(roomId,tx)</t>
        </is>
      </c>
      <c r="F6" s="2" t="inlineStr">
        <is>
          <t xml:space="preserve">name/unit/method/unitPrice từ active_room_services, null kế thừa/0 giữ 0</t>
        </is>
      </c>
      <c r="G6" s="2" t="inlineStr">
        <is>
          <t xml:space="preserve">A chốt bản sao invoice dưới UoW; B đổi bảng giá không sửa invoice_items.</t>
        </is>
      </c>
      <c r="H6" s="2" t="str">
        <f>INDEX(BE_Tasks!$P$2:$P$53,MATCH("BE-B03",BE_Tasks!$A$2:$A$53,0))</f>
        <v>Chưa làm</v>
      </c>
    </row>
    <row r="7" ht="72" customHeight="1">
      <c r="A7" s="0" t="inlineStr">
        <is>
          <t xml:space="preserve">IF-RESIDENT</t>
        </is>
      </c>
      <c r="B7" s="0" t="inlineStr">
        <is>
          <t xml:space="preserve">C</t>
        </is>
      </c>
      <c r="C7" s="0" t="inlineStr">
        <is>
          <t xml:space="preserve">BE-C02</t>
        </is>
      </c>
      <c r="D7" s="0" t="inlineStr">
        <is>
          <t xml:space="preserve">A, B</t>
        </is>
      </c>
      <c r="E7" s="0" t="inlineStr">
        <is>
          <t xml:space="preserve">ResidencyReadPort.getContractSnapshot/getActiveStay(actor,contractId?,tx?)</t>
        </is>
      </c>
      <c r="F7" s="0" t="inlineStr">
        <is>
          <t xml:space="preserve">currentRevision/payer/member ACTIVE+PLANNED/roomId; field privacy theo actor</t>
        </is>
      </c>
      <c r="G7" s="0" t="inlineStr">
        <is>
          <t xml:space="preserve">Không tính cư trú chỉ bằng status contract/representative. Consumer không ghi room_tenants.</t>
        </is>
      </c>
      <c r="H7" s="0" t="str">
        <f>INDEX(BE_Tasks!$P$2:$P$53,MATCH("BE-C02",BE_Tasks!$A$2:$A$53,0))</f>
        <v>Chưa làm</v>
      </c>
    </row>
    <row r="8" ht="72" customHeight="1">
      <c r="A8" s="2" t="inlineStr">
        <is>
          <t xml:space="preserve">IF-CHAT</t>
        </is>
      </c>
      <c r="B8" s="2" t="inlineStr">
        <is>
          <t xml:space="preserve">A</t>
        </is>
      </c>
      <c r="C8" s="2" t="inlineStr">
        <is>
          <t xml:space="preserve">BE-A08</t>
        </is>
      </c>
      <c r="D8" s="2" t="inlineStr">
        <is>
          <t xml:space="preserve">B, C</t>
        </is>
      </c>
      <c r="E8" s="2" t="inlineStr">
        <is>
          <t xml:space="preserve">ConversationPort.assertInquiry/ensureRoommateConversation(tx,request)</t>
        </is>
      </c>
      <c r="F8" s="2" t="inlineStr">
        <is>
          <t xml:space="preserve">conversationId/postId/roomId/tenantId/landlordId; đúng hai participant</t>
        </is>
      </c>
      <c r="G8" s="2" t="inlineStr">
        <is>
          <t xml:space="preserve">B13 accept và tạo chat dùng cùng tx; không gọi API A qua mạng trong transaction.</t>
        </is>
      </c>
      <c r="H8" s="2" t="str">
        <f>INDEX(BE_Tasks!$P$2:$P$53,MATCH("BE-A08",BE_Tasks!$A$2:$A$53,0))</f>
        <v>Chưa làm</v>
      </c>
    </row>
    <row r="9" ht="72" customHeight="1">
      <c r="A9" s="0" t="inlineStr">
        <is>
          <t xml:space="preserve">IF-VIEWING</t>
        </is>
      </c>
      <c r="B9" s="0" t="inlineStr">
        <is>
          <t xml:space="preserve">B</t>
        </is>
      </c>
      <c r="C9" s="0" t="inlineStr">
        <is>
          <t xml:space="preserve">BE-B08</t>
        </is>
      </c>
      <c r="D9" s="0" t="inlineStr">
        <is>
          <t xml:space="preserve">A, C</t>
        </is>
      </c>
      <c r="E9" s="0" t="inlineStr">
        <is>
          <t xml:space="preserve">ViewingReadPort.getTimeline/getRentalEvidence(actor,context,tx?)</t>
        </is>
      </c>
      <c r="F9" s="0" t="inlineStr">
        <is>
          <t xml:space="preserve">Proposal/schedule hiện tại theo conversation, viewingId/status/tenantDecision cho hợp đồng</t>
        </is>
      </c>
      <c r="G9" s="0" t="inlineStr">
        <is>
          <t xml:space="preserve">Chỉ đọc bảng lịch gốc; người gọi kiểm tra quyền, không tạo bản sao trạng thái trong chat.</t>
        </is>
      </c>
      <c r="H9" s="0" t="str">
        <f>INDEX(BE_Tasks!$P$2:$P$53,MATCH("BE-B08",BE_Tasks!$A$2:$A$53,0))</f>
        <v>Chưa làm</v>
      </c>
    </row>
    <row r="10" ht="72" customHeight="1">
      <c r="A10" s="2" t="inlineStr">
        <is>
          <t xml:space="preserve">IF-CONNECTION</t>
        </is>
      </c>
      <c r="B10" s="2" t="inlineStr">
        <is>
          <t xml:space="preserve">B</t>
        </is>
      </c>
      <c r="C10" s="2" t="inlineStr">
        <is>
          <t xml:space="preserve">BE-B04</t>
        </is>
      </c>
      <c r="D10" s="2" t="inlineStr">
        <is>
          <t xml:space="preserve">A, C</t>
        </is>
      </c>
      <c r="E10" s="2" t="inlineStr">
        <is>
          <t xml:space="preserve">ConnectionReadPort.assertAccepted(actor,connectionId,tx?)</t>
        </is>
      </c>
      <c r="F10" s="2" t="inlineStr">
        <is>
          <t xml:space="preserve">sender/receiver/status/endedAt, không dùng làm consent thuê</t>
        </is>
      </c>
      <c r="G10" s="2" t="inlineStr">
        <is>
          <t xml:space="preserve">A kiểm tra khi mở/gửi, C lấy consent riêng từ đại diện và applicant.</t>
        </is>
      </c>
      <c r="H10" s="2" t="str">
        <f>INDEX(BE_Tasks!$P$2:$P$53,MATCH("BE-B04",BE_Tasks!$A$2:$A$53,0))</f>
        <v>Chưa làm</v>
      </c>
    </row>
    <row r="11" ht="72" customHeight="1">
      <c r="A11" s="0" t="inlineStr">
        <is>
          <t xml:space="preserve">IF-EVENT</t>
        </is>
      </c>
      <c r="B11" s="0" t="inlineStr">
        <is>
          <t xml:space="preserve">A</t>
        </is>
      </c>
      <c r="C11" s="0" t="inlineStr">
        <is>
          <t xml:space="preserve">BE-A04</t>
        </is>
      </c>
      <c r="D11" s="0" t="inlineStr">
        <is>
          <t xml:space="preserve">B, C</t>
        </is>
      </c>
      <c r="E11" s="0" t="inlineStr">
        <is>
          <t xml:space="preserve">EventPort.append(tx,event) + procedure notification dispatcher</t>
        </is>
      </c>
      <c r="F11" s="0" t="inlineStr">
        <is>
          <t xml:space="preserve">eventId/eventKey/recipient/resource/occurredAt; business event version</t>
        </is>
      </c>
      <c r="G11" s="0" t="inlineStr">
        <is>
          <t xml:space="preserve">Service append cùng tx; procedure theo cơ chế sau COMMIT đã chốt, không insert thông báo trùng.</t>
        </is>
      </c>
      <c r="H11" s="0" t="str">
        <f>INDEX(BE_Tasks!$P$2:$P$53,MATCH("BE-A04",BE_Tasks!$A$2:$A$53,0))</f>
        <v>Chưa làm</v>
      </c>
    </row>
    <row r="12" ht="72" customHeight="1">
      <c r="A12" s="2" t="inlineStr">
        <is>
          <t xml:space="preserve">IF-AUDIT</t>
        </is>
      </c>
      <c r="B12" s="2" t="inlineStr">
        <is>
          <t xml:space="preserve">A</t>
        </is>
      </c>
      <c r="C12" s="2" t="inlineStr">
        <is>
          <t xml:space="preserve">BE-A04</t>
        </is>
      </c>
      <c r="D12" s="2" t="inlineStr">
        <is>
          <t xml:space="preserve">B, C</t>
        </is>
      </c>
      <c r="E12" s="2" t="inlineStr">
        <is>
          <t xml:space="preserve">AuditPort.append(tx,actor,action,target,before,after,reason)</t>
        </is>
      </c>
      <c r="F12" s="2" t="inlineStr">
        <is>
          <t xml:space="preserve">Đúng target FK hiện có; extension D14 có migration trước khi dùng</t>
        </is>
      </c>
      <c r="G12" s="2" t="inlineStr">
        <is>
          <t xml:space="preserve">Procedure đã audit thì không ghi lần hai. Không nhét review/template vào target_post_id.</t>
        </is>
      </c>
      <c r="H12" s="2" t="str">
        <f>INDEX(BE_Tasks!$P$2:$P$53,MATCH("BE-A04",BE_Tasks!$A$2:$A$53,0))</f>
        <v>Chưa làm</v>
      </c>
    </row>
  </sheetData>
  <autoFilter ref="A1:H12"/>
  <pageMargins left="0.25" right="0.25" top="0.5" bottom="0.5" header="0.2" footer="0.2"/>
  <pageSetup orientation="landscape" paperSize="9"/>
</worksheet>
</file>

<file path=xl/worksheets/sheet8.xml><?xml version="1.0" encoding="utf-8"?>
<worksheet xmlns="http://schemas.openxmlformats.org/spreadsheetml/2006/main" xmlns:r="http://schemas.openxmlformats.org/officeDocument/2006/relationships">
  <dimension ref="A1:I16"/>
  <sheetViews>
    <sheetView workbookViewId="0">
      <pane xSplit="0" ySplit="1" topLeftCell="A2" activePane="bottomRight" state="frozen"/>
    </sheetView>
  </sheetViews>
  <sheetFormatPr defaultRowHeight="20"/>
  <cols>
    <col min="1" max="1" width="24" customWidth="1"/>
    <col min="2" max="2" width="50" customWidth="1"/>
    <col min="3" max="3" width="24" customWidth="1"/>
    <col min="4" max="4" width="20" customWidth="1"/>
    <col min="5" max="5" width="65" customWidth="1"/>
    <col min="6" max="6" width="110" customWidth="1"/>
    <col min="7" max="7" width="24" customWidth="1"/>
    <col min="8" max="8" width="65" customWidth="1"/>
    <col min="9" max="9" width="50" customWidth="1"/>
  </cols>
  <sheetData>
    <row r="1" ht="38" customHeight="1">
      <c r="A1" s="1" t="inlineStr">
        <is>
          <t xml:space="preserve">ID</t>
        </is>
      </c>
      <c r="B1" s="1" t="inlineStr">
        <is>
          <t xml:space="preserve">Vấn đề</t>
        </is>
      </c>
      <c r="C1" s="1" t="inlineStr">
        <is>
          <t xml:space="preserve">Người đề xuất</t>
        </is>
      </c>
      <c r="D1" s="1" t="inlineStr">
        <is>
          <t xml:space="preserve">Task</t>
        </is>
      </c>
      <c r="E1" s="1" t="inlineStr">
        <is>
          <t xml:space="preserve">Người cần chốt</t>
        </is>
      </c>
      <c r="F1" s="1" t="inlineStr">
        <is>
          <t xml:space="preserve">Nội dung</t>
        </is>
      </c>
      <c r="G1" s="1" t="inlineStr">
        <is>
          <t xml:space="preserve">Trạng thái quyết định</t>
        </is>
      </c>
      <c r="H1" s="1" t="inlineStr">
        <is>
          <t xml:space="preserve">Kết luận / ngày</t>
        </is>
      </c>
      <c r="I1" s="1" t="inlineStr">
        <is>
          <t xml:space="preserve">Bằng chứng</t>
        </is>
      </c>
    </row>
    <row r="2" ht="72" customHeight="1">
      <c r="A2" s="2" t="inlineStr">
        <is>
          <t xml:space="preserve">D01</t>
        </is>
      </c>
      <c r="B2" s="2" t="inlineStr">
        <is>
          <t xml:space="preserve">Chính sách xác thực</t>
        </is>
      </c>
      <c r="C2" s="2" t="inlineStr">
        <is>
          <t xml:space="preserve">A</t>
        </is>
      </c>
      <c r="D2" s="2" t="inlineStr">
        <is>
          <t xml:space="preserve">BE-A02</t>
        </is>
      </c>
      <c r="E2" s="2" t="inlineStr">
        <is>
          <t xml:space="preserve">Người phụ trách sản phẩm + cả team</t>
        </is>
      </c>
      <c r="F2" s="2" t="inlineStr">
        <is>
          <t xml:space="preserve">TTL access/refresh/OTP, giới hạn gửi/thử, mật khẩu, provider email/SMS. SQL có expires_at/max_attempts; chưa có cấu hình vận hành.</t>
        </is>
      </c>
      <c r="G2" s="2" t="inlineStr">
        <is>
          <t xml:space="preserve">Chưa chốt</t>
        </is>
      </c>
      <c r="H2" s="2" t="inlineStr">
        <is>
          <t xml:space="preserve"/>
        </is>
      </c>
      <c r="I2" s="2" t="inlineStr">
        <is>
          <t xml:space="preserve"/>
        </is>
      </c>
    </row>
    <row r="3" ht="72" customHeight="1">
      <c r="A3" s="0" t="inlineStr">
        <is>
          <t xml:space="preserve">D02</t>
        </is>
      </c>
      <c r="B3" s="0" t="inlineStr">
        <is>
          <t xml:space="preserve">Thuật toán ghép cặp</t>
        </is>
      </c>
      <c r="C3" s="0" t="inlineStr">
        <is>
          <t xml:space="preserve">B</t>
        </is>
      </c>
      <c r="D3" s="0" t="inlineStr">
        <is>
          <t xml:space="preserve">BE-B15</t>
        </is>
      </c>
      <c r="E3" s="0" t="inlineStr">
        <is>
          <t xml:space="preserve">Người phụ trách sản phẩm</t>
        </is>
      </c>
      <c r="F3" s="0" t="inlineStr">
        <is>
          <t xml:space="preserve">Điểm số, trọng số, tiêu chí bắt buộc, xử lý thiếu dữ liệu và phiên bản thuật toán; chưa có thuật toán thật.</t>
        </is>
      </c>
      <c r="G3" s="0" t="inlineStr">
        <is>
          <t xml:space="preserve">Chưa chốt</t>
        </is>
      </c>
      <c r="H3" s="0" t="inlineStr">
        <is>
          <t xml:space="preserve"/>
        </is>
      </c>
      <c r="I3" s="0" t="inlineStr">
        <is>
          <t xml:space="preserve"/>
        </is>
      </c>
    </row>
    <row r="4" ht="72" customHeight="1">
      <c r="A4" s="2" t="inlineStr">
        <is>
          <t xml:space="preserve">D03</t>
        </is>
      </c>
      <c r="B4" s="2" t="inlineStr">
        <is>
          <t xml:space="preserve">Đọc chat sau kết thúc kết nối</t>
        </is>
      </c>
      <c r="C4" s="2" t="inlineStr">
        <is>
          <t xml:space="preserve">A</t>
        </is>
      </c>
      <c r="D4" s="2" t="inlineStr">
        <is>
          <t xml:space="preserve">BE-A11</t>
        </is>
      </c>
      <c r="E4" s="2" t="inlineStr">
        <is>
          <t xml:space="preserve">Người phụ trách sản phẩm + B</t>
        </is>
      </c>
      <c r="F4" s="2" t="inlineStr">
        <is>
          <t xml:space="preserve">Wireframe chỉ mở/gửi khi kết nối còn hiệu lực; đề xuất giữ lịch sử đọc cho hai bên sau ended, chặn gửi. Chưa coi đề xuất là rule đã duyệt.</t>
        </is>
      </c>
      <c r="G4" s="2" t="inlineStr">
        <is>
          <t xml:space="preserve">Chưa chốt</t>
        </is>
      </c>
      <c r="H4" s="2" t="inlineStr">
        <is>
          <t xml:space="preserve"/>
        </is>
      </c>
      <c r="I4" s="2" t="inlineStr">
        <is>
          <t xml:space="preserve"/>
        </is>
      </c>
    </row>
    <row r="5" ht="72" customHeight="1">
      <c r="A5" s="0" t="inlineStr">
        <is>
          <t xml:space="preserve">D04</t>
        </is>
      </c>
      <c r="B5" s="0" t="inlineStr">
        <is>
          <t xml:space="preserve">Kênh email/push</t>
        </is>
      </c>
      <c r="C5" s="0" t="inlineStr">
        <is>
          <t xml:space="preserve">A</t>
        </is>
      </c>
      <c r="D5" s="0" t="inlineStr">
        <is>
          <t xml:space="preserve">BE-A15</t>
        </is>
      </c>
      <c r="E5" s="0" t="inlineStr">
        <is>
          <t xml:space="preserve">Người phụ trách sản phẩm</t>
        </is>
      </c>
      <c r="F5" s="0" t="inlineStr">
        <is>
          <t xml:space="preserve">users có flags nhưng chưa có provider, device token registry hoặc delivery ledger; chỉ bảo đảm in-app trước.</t>
        </is>
      </c>
      <c r="G5" s="0" t="inlineStr">
        <is>
          <t xml:space="preserve">Chưa chốt</t>
        </is>
      </c>
      <c r="H5" s="0" t="inlineStr">
        <is>
          <t xml:space="preserve"/>
        </is>
      </c>
      <c r="I5" s="0" t="inlineStr">
        <is>
          <t xml:space="preserve"/>
        </is>
      </c>
    </row>
    <row r="6" ht="72" customHeight="1">
      <c r="A6" s="2" t="inlineStr">
        <is>
          <t xml:space="preserve">D05</t>
        </is>
      </c>
      <c r="B6" s="2" t="inlineStr">
        <is>
          <t xml:space="preserve">Kho tệp và hạn lưu</t>
        </is>
      </c>
      <c r="C6" s="2" t="inlineStr">
        <is>
          <t xml:space="preserve">A</t>
        </is>
      </c>
      <c r="D6" s="2" t="inlineStr">
        <is>
          <t xml:space="preserve">BE-A05</t>
        </is>
      </c>
      <c r="E6" s="2" t="inlineStr">
        <is>
          <t xml:space="preserve">Người phụ trách sản phẩm + B/C</t>
        </is>
      </c>
      <c r="F6" s="2" t="inlineStr">
        <is>
          <t xml:space="preserve">Proof nhà có giới hạn rõ 8×5 MB; giới hạn mục đích khác, quét nội dung, TTL link, hạn lưu CCCD/hợp đồng và xóa object cần chính sách.</t>
        </is>
      </c>
      <c r="G6" s="2" t="inlineStr">
        <is>
          <t xml:space="preserve">Chưa chốt</t>
        </is>
      </c>
      <c r="H6" s="2" t="inlineStr">
        <is>
          <t xml:space="preserve"/>
        </is>
      </c>
      <c r="I6" s="2" t="inlineStr">
        <is>
          <t xml:space="preserve"/>
        </is>
      </c>
    </row>
    <row r="7" ht="72" customHeight="1">
      <c r="A7" s="0" t="inlineStr">
        <is>
          <t xml:space="preserve">D06</t>
        </is>
      </c>
      <c r="B7" s="0" t="inlineStr">
        <is>
          <t xml:space="preserve">Liên kết cư dân với tài khoản</t>
        </is>
      </c>
      <c r="C7" s="0" t="inlineStr">
        <is>
          <t xml:space="preserve">C</t>
        </is>
      </c>
      <c r="D7" s="0" t="inlineStr">
        <is>
          <t xml:space="preserve">BE-C08</t>
        </is>
      </c>
      <c r="E7" s="0" t="inlineStr">
        <is>
          <t xml:space="preserve">Người phụ trách sản phẩm + A</t>
        </is>
      </c>
      <c r="F7" s="0" t="inlineStr">
        <is>
          <t xml:space="preserve">Xác minh đúng người nhận token OCCUPANT_LINK, kênh gửi và xử lý danh tính không khớp; không ghép theo tên tự khai.</t>
        </is>
      </c>
      <c r="G7" s="0" t="inlineStr">
        <is>
          <t xml:space="preserve">Chưa chốt</t>
        </is>
      </c>
      <c r="H7" s="0" t="inlineStr">
        <is>
          <t xml:space="preserve"/>
        </is>
      </c>
      <c r="I7" s="0" t="inlineStr">
        <is>
          <t xml:space="preserve"/>
        </is>
      </c>
    </row>
    <row r="8" ht="72" customHeight="1">
      <c r="A8" s="2" t="inlineStr">
        <is>
          <t xml:space="preserve">D07</t>
        </is>
      </c>
      <c r="B8" s="2" t="inlineStr">
        <is>
          <t xml:space="preserve">Gửi tin kèm nhiều ảnh atomically</t>
        </is>
      </c>
      <c r="C8" s="2" t="inlineStr">
        <is>
          <t xml:space="preserve">B</t>
        </is>
      </c>
      <c r="D8" s="2" t="inlineStr">
        <is>
          <t xml:space="preserve">BE-B06</t>
        </is>
      </c>
      <c r="E8" s="2" t="inlineStr">
        <is>
          <t xml:space="preserve">B đề xuất, A tích hợp SQL, C review giao dịch</t>
        </is>
      </c>
      <c r="F8" s="2" t="inlineStr">
        <is>
          <t xml:space="preserve">sp_submit_post chỉ ghi posts và tự COMMIT. Muốn gửi imageFileIds/amenities cùng transaction phải mở rộng procedure/DTO; không bọc CALL trong transaction ngoài.</t>
        </is>
      </c>
      <c r="G8" s="2" t="inlineStr">
        <is>
          <t xml:space="preserve">Chưa chốt</t>
        </is>
      </c>
      <c r="H8" s="2" t="inlineStr">
        <is>
          <t xml:space="preserve"/>
        </is>
      </c>
      <c r="I8" s="2" t="inlineStr">
        <is>
          <t xml:space="preserve"/>
        </is>
      </c>
    </row>
    <row r="9" ht="72" customHeight="1">
      <c r="A9" s="0" t="inlineStr">
        <is>
          <t xml:space="preserve">D08</t>
        </is>
      </c>
      <c r="B9" s="0" t="inlineStr">
        <is>
          <t xml:space="preserve">Get-or-create chat hỏi phòng</t>
        </is>
      </c>
      <c r="C9" s="0" t="inlineStr">
        <is>
          <t xml:space="preserve">A</t>
        </is>
      </c>
      <c r="D9" s="0" t="inlineStr">
        <is>
          <t xml:space="preserve">BE-A08</t>
        </is>
      </c>
      <c r="E9" s="0" t="inlineStr">
        <is>
          <t xml:space="preserve">A đề xuất, B review ngữ cảnh</t>
        </is>
      </c>
      <c r="F9" s="0" t="inlineStr">
        <is>
          <t xml:space="preserve">Giữ một conversation/room/post ở lớp ghi; gộp nhiều context theo peer ở lớp đọc. Cần unique/khóa cho cặp inquiry để chống trùng đồng thời.</t>
        </is>
      </c>
      <c r="G9" s="0" t="inlineStr">
        <is>
          <t xml:space="preserve">Chưa chốt</t>
        </is>
      </c>
      <c r="H9" s="0" t="inlineStr">
        <is>
          <t xml:space="preserve"/>
        </is>
      </c>
      <c r="I9" s="0" t="inlineStr">
        <is>
          <t xml:space="preserve"/>
        </is>
      </c>
    </row>
    <row r="10" ht="72" customHeight="1">
      <c r="A10" s="2" t="inlineStr">
        <is>
          <t xml:space="preserve">D09</t>
        </is>
      </c>
      <c r="B10" s="2" t="inlineStr">
        <is>
          <t xml:space="preserve">Idempotency và realtime bền vững</t>
        </is>
      </c>
      <c r="C10" s="2" t="inlineStr">
        <is>
          <t xml:space="preserve">A</t>
        </is>
      </c>
      <c r="D10" s="2" t="inlineStr">
        <is>
          <t xml:space="preserve">BE-A04</t>
        </is>
      </c>
      <c r="E10" s="2" t="inlineStr">
        <is>
          <t xml:space="preserve">Cả team chốt semantics transaction/delivery</t>
        </is>
      </c>
      <c r="F10" s="2" t="inlineStr">
        <is>
          <t xml:space="preserve">Chỉ nhà/proposal/chat có khóa riêng hiện hữu; các POST khác cần idempotency store, request hash và response cache. Replay SSE bền vững cần outbox/event store, không có bảng sẵn.</t>
        </is>
      </c>
      <c r="G10" s="2" t="inlineStr">
        <is>
          <t xml:space="preserve">Chưa chốt</t>
        </is>
      </c>
      <c r="H10" s="2" t="inlineStr">
        <is>
          <t xml:space="preserve"/>
        </is>
      </c>
      <c r="I10" s="2" t="inlineStr">
        <is>
          <t xml:space="preserve"/>
        </is>
      </c>
    </row>
    <row r="11" ht="72" customHeight="1">
      <c r="A11" s="0" t="inlineStr">
        <is>
          <t xml:space="preserve">D10</t>
        </is>
      </c>
      <c r="B11" s="0" t="inlineStr">
        <is>
          <t xml:space="preserve">Xác nhận đúng phiên bản</t>
        </is>
      </c>
      <c r="C11" s="0" t="inlineStr">
        <is>
          <t xml:space="preserve">C</t>
        </is>
      </c>
      <c r="D11" s="0" t="inlineStr">
        <is>
          <t xml:space="preserve">BE-C04</t>
        </is>
      </c>
      <c r="E11" s="0" t="inlineStr">
        <is>
          <t xml:space="preserve">C đề xuất, A tích hợp SQL</t>
        </is>
      </c>
      <c r="F11" s="0" t="inlineStr">
        <is>
          <t xml:space="preserve">sp_confirm_contract nhận contract+tenant, không nhận expected revision; cần so revisionId dưới cùng khóa transaction trước xác nhận để tránh TOCTOU.</t>
        </is>
      </c>
      <c r="G11" s="0" t="inlineStr">
        <is>
          <t xml:space="preserve">Chưa chốt</t>
        </is>
      </c>
      <c r="H11" s="0" t="inlineStr">
        <is>
          <t xml:space="preserve"/>
        </is>
      </c>
      <c r="I11" s="0" t="inlineStr">
        <is>
          <t xml:space="preserve"/>
        </is>
      </c>
    </row>
    <row r="12" ht="72" customHeight="1">
      <c r="A12" s="2" t="inlineStr">
        <is>
          <t xml:space="preserve">D11</t>
        </is>
      </c>
      <c r="B12" s="2" t="inlineStr">
        <is>
          <t xml:space="preserve">Nhập hợp đồng giấy</t>
        </is>
      </c>
      <c r="C12" s="2" t="inlineStr">
        <is>
          <t xml:space="preserve">C</t>
        </is>
      </c>
      <c r="D12" s="2" t="inlineStr">
        <is>
          <t xml:space="preserve">BE-C13</t>
        </is>
      </c>
      <c r="E12" s="2" t="inlineStr">
        <is>
          <t xml:space="preserve">Người phụ trách sản phẩm + A/B</t>
        </is>
      </c>
      <c r="F12" s="2" t="inlineStr">
        <is>
          <t xml:space="preserve">Source PAPER_IMPORT có trong SQL nhưng chưa có import transaction đầy đủ; yêu cầu quyền riêng, chứng cứ đã ký và JSON member/state/date. Chưa tính route này sẵn sàng coding ngay.</t>
        </is>
      </c>
      <c r="G12" s="2" t="inlineStr">
        <is>
          <t xml:space="preserve">Chưa chốt</t>
        </is>
      </c>
      <c r="H12" s="2" t="inlineStr">
        <is>
          <t xml:space="preserve"/>
        </is>
      </c>
      <c r="I12" s="2" t="inlineStr">
        <is>
          <t xml:space="preserve"/>
        </is>
      </c>
    </row>
    <row r="13" ht="72" customHeight="1">
      <c r="A13" s="0" t="inlineStr">
        <is>
          <t xml:space="preserve">D12</t>
        </is>
      </c>
      <c r="B13" s="0" t="inlineStr">
        <is>
          <t xml:space="preserve">Thanh toán và trường người ghi nhận</t>
        </is>
      </c>
      <c r="C13" s="0" t="inlineStr">
        <is>
          <t xml:space="preserve">A</t>
        </is>
      </c>
      <c r="D13" s="0" t="inlineStr">
        <is>
          <t xml:space="preserve">BE-A13</t>
        </is>
      </c>
      <c r="E13" s="0" t="inlineStr">
        <is>
          <t xml:space="preserve">Người phụ trách sản phẩm + C</t>
        </is>
      </c>
      <c r="F13" s="0" t="inlineStr">
        <is>
          <t xml:space="preserve">Chỉ thu toàn bộ do chủ ghi nhận; kiểm tra paid_by_id/payer theo schema. Thanh toán online, trả một phần, hoàn cọc và đối soát cần bảng giao dịch mới, không thuộc API cơ sở.</t>
        </is>
      </c>
      <c r="G13" s="0" t="inlineStr">
        <is>
          <t xml:space="preserve">Chưa chốt</t>
        </is>
      </c>
      <c r="H13" s="0" t="inlineStr">
        <is>
          <t xml:space="preserve"/>
        </is>
      </c>
      <c r="I13" s="0" t="inlineStr">
        <is>
          <t xml:space="preserve"/>
        </is>
      </c>
    </row>
    <row r="14" ht="72" customHeight="1">
      <c r="A14" s="2" t="inlineStr">
        <is>
          <t xml:space="preserve">D13</t>
        </is>
      </c>
      <c r="B14" s="2" t="inlineStr">
        <is>
          <t xml:space="preserve">Chính sách đánh giá</t>
        </is>
      </c>
      <c r="C14" s="2" t="inlineStr">
        <is>
          <t xml:space="preserve">B</t>
        </is>
      </c>
      <c r="D14" s="2" t="inlineStr">
        <is>
          <t xml:space="preserve">BE-B16</t>
        </is>
      </c>
      <c r="E14" s="2" t="inlineStr">
        <is>
          <t xml:space="preserve">Người phụ trách sản phẩm + C</t>
        </is>
      </c>
      <c r="F14" s="2" t="inlineStr">
        <is>
          <t xml:space="preserve">SQL unique reviewer+room+contract và FK chứng cứ. Đề xuất đánh giá khi TERMINATED; hạn sửa/xóa, phản hồi chủ và thời hạn đánh giá chưa chốt.</t>
        </is>
      </c>
      <c r="G14" s="2" t="inlineStr">
        <is>
          <t xml:space="preserve">Chưa chốt</t>
        </is>
      </c>
      <c r="H14" s="2" t="inlineStr">
        <is>
          <t xml:space="preserve"/>
        </is>
      </c>
      <c r="I14" s="2" t="inlineStr">
        <is>
          <t xml:space="preserve"/>
        </is>
      </c>
    </row>
    <row r="15" ht="72" customHeight="1">
      <c r="A15" s="0" t="inlineStr">
        <is>
          <t xml:space="preserve">D14</t>
        </is>
      </c>
      <c r="B15" s="0" t="inlineStr">
        <is>
          <t xml:space="preserve">Audit cho đối tượng chưa có FK</t>
        </is>
      </c>
      <c r="C15" s="0" t="inlineStr">
        <is>
          <t xml:space="preserve">A</t>
        </is>
      </c>
      <c r="D15" s="0" t="inlineStr">
        <is>
          <t xml:space="preserve">BE-A15</t>
        </is>
      </c>
      <c r="E15" s="0" t="inlineStr">
        <is>
          <t xml:space="preserve">A đề xuất, B/C chốt target</t>
        </is>
      </c>
      <c r="F15" s="0" t="inlineStr">
        <is>
          <t xml:space="preserve">moderation_actions chưa có target review/template/criterion/service. Nếu audit các đối tượng này cần mở rộng mô hình hoặc event audit riêng; không gán nhầm target_post_id.</t>
        </is>
      </c>
      <c r="G15" s="0" t="inlineStr">
        <is>
          <t xml:space="preserve">Chưa chốt</t>
        </is>
      </c>
      <c r="H15" s="0" t="inlineStr">
        <is>
          <t xml:space="preserve"/>
        </is>
      </c>
      <c r="I15" s="0" t="inlineStr">
        <is>
          <t xml:space="preserve"/>
        </is>
      </c>
    </row>
    <row r="16" ht="72" customHeight="1">
      <c r="A16" s="2" t="inlineStr">
        <is>
          <t xml:space="preserve">D15</t>
        </is>
      </c>
      <c r="B16" s="2" t="inlineStr">
        <is>
          <t xml:space="preserve">Phiên bản CRUD tổng quát</t>
        </is>
      </c>
      <c r="C16" s="2" t="inlineStr">
        <is>
          <t xml:space="preserve">A</t>
        </is>
      </c>
      <c r="D16" s="2" t="inlineStr">
        <is>
          <t xml:space="preserve">BE-A02</t>
        </is>
      </c>
      <c r="E16" s="2" t="inlineStr">
        <is>
          <t xml:space="preserve">Cả team chốt cơ chế version</t>
        </is>
      </c>
      <c r="F16" s="2" t="inlineStr">
        <is>
          <t xml:space="preserve">Chỉ house.row_version, post.content_version, roommate.profile_version có sẵn. Các tài nguyên khác dùng revision ID/state/updated_at compare-and-swap trong service; không giả có row_version toàn hệ thống.</t>
        </is>
      </c>
      <c r="G16" s="2" t="inlineStr">
        <is>
          <t xml:space="preserve">Chưa chốt</t>
        </is>
      </c>
      <c r="H16" s="2" t="inlineStr">
        <is>
          <t xml:space="preserve"/>
        </is>
      </c>
      <c r="I16" s="2" t="inlineStr">
        <is>
          <t xml:space="preserve"/>
        </is>
      </c>
    </row>
  </sheetData>
  <autoFilter ref="A1:I16"/>
  <dataValidations count="1">
    <dataValidation type="list" allowBlank="1" showErrorMessage="1" errorTitle="Giá trị không hợp lệ" error="Chọn từ danh sách." sqref="G2:G16">
      <formula1>"Chưa chốt,Đang trao đổi,Đã chốt,Hoãn"</formula1>
    </dataValidation>
  </dataValidations>
  <pageMargins left="0.25" right="0.25" top="0.5" bottom="0.5" header="0.2" footer="0.2"/>
  <pageSetup orientation="landscape" paperSize="9"/>
</worksheet>
</file>

<file path=xl/worksheets/sheet9.xml><?xml version="1.0" encoding="utf-8"?>
<worksheet xmlns="http://schemas.openxmlformats.org/spreadsheetml/2006/main" xmlns:r="http://schemas.openxmlformats.org/officeDocument/2006/relationships">
  <dimension ref="A1:H10"/>
  <sheetViews>
    <sheetView workbookViewId="0">
      <pane xSplit="0" ySplit="1" topLeftCell="A2" activePane="bottomRight" state="frozen"/>
    </sheetView>
  </sheetViews>
  <sheetFormatPr defaultRowHeight="20"/>
  <cols>
    <col min="1" max="1" width="24" customWidth="1"/>
    <col min="2" max="2" width="50" customWidth="1"/>
    <col min="3" max="3" width="24" customWidth="1"/>
    <col min="4" max="4" width="20" customWidth="1"/>
    <col min="5" max="5" width="45" customWidth="1"/>
    <col min="6" max="6" width="110" customWidth="1"/>
    <col min="7" max="7" width="100" customWidth="1"/>
    <col min="8" max="8" width="22" customWidth="1"/>
  </cols>
  <sheetData>
    <row r="1" ht="38" customHeight="1">
      <c r="A1" s="1" t="inlineStr">
        <is>
          <t xml:space="preserve">ID</t>
        </is>
      </c>
      <c r="B1" s="1" t="inlineStr">
        <is>
          <t xml:space="preserve">Công việc</t>
        </is>
      </c>
      <c r="C1" s="1" t="inlineStr">
        <is>
          <t xml:space="preserve">Owner</t>
        </is>
      </c>
      <c r="D1" s="1" t="inlineStr">
        <is>
          <t xml:space="preserve">Task</t>
        </is>
      </c>
      <c r="E1" s="1" t="inlineStr">
        <is>
          <t xml:space="preserve">Lịch đề xuất</t>
        </is>
      </c>
      <c r="F1" s="1" t="inlineStr">
        <is>
          <t xml:space="preserve">Nghiệp vụ</t>
        </is>
      </c>
      <c r="G1" s="1" t="inlineStr">
        <is>
          <t xml:space="preserve">Nghiệm thu</t>
        </is>
      </c>
      <c r="H1" s="1" t="inlineStr">
        <is>
          <t xml:space="preserve">Trạng thái task</t>
        </is>
      </c>
    </row>
    <row r="2" ht="72" customHeight="1">
      <c r="A2" s="2" t="inlineStr">
        <is>
          <t xml:space="preserve">JOB01</t>
        </is>
      </c>
      <c r="B2" s="2" t="inlineStr">
        <is>
          <t xml:space="preserve">Hết hạn đề nghị xem</t>
        </is>
      </c>
      <c r="C2" s="2" t="inlineStr">
        <is>
          <t xml:space="preserve">C</t>
        </is>
      </c>
      <c r="D2" s="2" t="inlineStr">
        <is>
          <t xml:space="preserve">BE-C14</t>
        </is>
      </c>
      <c r="E2" s="2" t="inlineStr">
        <is>
          <t xml:space="preserve">Theo phút (đề xuất)</t>
        </is>
      </c>
      <c r="F2" s="2" t="inlineStr">
        <is>
          <t xml:space="preserve">PENDING có starts_at≤UTC now → EXPIRED. Read/write vẫn kiểm tra thời gian ngay cả khi job trễ.</t>
        </is>
      </c>
      <c r="G2" s="2" t="inlineStr">
        <is>
          <t xml:space="preserve">Retry không tạo thêm lịch; không công khai API job.</t>
        </is>
      </c>
      <c r="H2" s="2" t="str">
        <f>INDEX(BE_Tasks!$P$2:$P$53,MATCH("BE-C14",BE_Tasks!$A$2:$A$53,0))</f>
        <v>Chưa làm</v>
      </c>
    </row>
    <row r="3" ht="72" customHeight="1">
      <c r="A3" s="0" t="inlineStr">
        <is>
          <t xml:space="preserve">JOB02</t>
        </is>
      </c>
      <c r="B3" s="0" t="inlineStr">
        <is>
          <t xml:space="preserve">Hết hạn giữ chỗ thêm người</t>
        </is>
      </c>
      <c r="C3" s="0" t="inlineStr">
        <is>
          <t xml:space="preserve">C</t>
        </is>
      </c>
      <c r="D3" s="0" t="inlineStr">
        <is>
          <t xml:space="preserve">BE-C14</t>
        </is>
      </c>
      <c r="E3" s="0" t="inlineStr">
        <is>
          <t xml:space="preserve">Theo phút (đề xuất)</t>
        </is>
      </c>
      <c r="F3" s="0" t="inlineStr">
        <is>
          <t xml:space="preserve">APPROVED hold_expires_at≤now → EXPIRED; không chạm COMPLETED/member đã tạo.</t>
        </is>
      </c>
      <c r="G3" s="0" t="inlineStr">
        <is>
          <t xml:space="preserve">Capacity không tính hold quá hạn kể cả job chưa chạy.</t>
        </is>
      </c>
      <c r="H3" s="0" t="str">
        <f>INDEX(BE_Tasks!$P$2:$P$53,MATCH("BE-C14",BE_Tasks!$A$2:$A$53,0))</f>
        <v>Chưa làm</v>
      </c>
    </row>
    <row r="4" ht="72" customHeight="1">
      <c r="A4" s="2" t="inlineStr">
        <is>
          <t xml:space="preserve">JOB03</t>
        </is>
      </c>
      <c r="B4" s="2" t="inlineStr">
        <is>
          <t xml:space="preserve">Quyền nhà quá hạn</t>
        </is>
      </c>
      <c r="C4" s="2" t="inlineStr">
        <is>
          <t xml:space="preserve">B</t>
        </is>
      </c>
      <c r="D4" s="2" t="inlineStr">
        <is>
          <t xml:space="preserve">BE-B18</t>
        </is>
      </c>
      <c r="E4" s="2" t="inlineStr">
        <is>
          <t xml:space="preserve">Hàng ngày theo Việt Nam (đề xuất)</t>
        </is>
      </c>
      <c r="F4" s="2" t="inlineStr">
        <is>
          <t xml:space="preserve">APPROVED valid_until &lt; todayVN → EXPIRED, giữ hồ sơ/tệp; view hiệu lực chặn ngay.</t>
        </is>
      </c>
      <c r="G4" s="2" t="inlineStr">
        <is>
          <t xml:space="preserve">Không tự kết thúc hợp đồng cũ, không tự xóa tin.</t>
        </is>
      </c>
      <c r="H4" s="2" t="str">
        <f>INDEX(BE_Tasks!$P$2:$P$53,MATCH("BE-B18",BE_Tasks!$A$2:$A$53,0))</f>
        <v>Chưa làm</v>
      </c>
    </row>
    <row r="5" ht="72" customHeight="1">
      <c r="A5" s="0" t="inlineStr">
        <is>
          <t xml:space="preserve">JOB04</t>
        </is>
      </c>
      <c r="B5" s="0" t="inlineStr">
        <is>
          <t xml:space="preserve">Hóa đơn quá hạn</t>
        </is>
      </c>
      <c r="C5" s="0" t="inlineStr">
        <is>
          <t xml:space="preserve">A</t>
        </is>
      </c>
      <c r="D5" s="0" t="inlineStr">
        <is>
          <t xml:space="preserve">BE-A13</t>
        </is>
      </c>
      <c r="E5" s="0" t="inlineStr">
        <is>
          <t xml:space="preserve">Hàng ngày theo Việt Nam (đề xuất)</t>
        </is>
      </c>
      <c r="F5" s="0" t="inlineStr">
        <is>
          <t xml:space="preserve">UNPAID có due_date&lt;todayVN → OVERDUE; không sửa PAID/CANCELLED.</t>
        </is>
      </c>
      <c r="G5" s="0" t="inlineStr">
        <is>
          <t xml:space="preserve">Lặp không gửi trùng nhắc nợ; event_key ổn định.</t>
        </is>
      </c>
      <c r="H5" s="0" t="str">
        <f>INDEX(BE_Tasks!$P$2:$P$53,MATCH("BE-A13",BE_Tasks!$A$2:$A$53,0))</f>
        <v>Chưa làm</v>
      </c>
    </row>
    <row r="6" ht="72" customHeight="1">
      <c r="A6" s="2" t="inlineStr">
        <is>
          <t xml:space="preserve">JOB05</t>
        </is>
      </c>
      <c r="B6" s="2" t="inlineStr">
        <is>
          <t xml:space="preserve">Dọn token/phiên/tệp staged</t>
        </is>
      </c>
      <c r="C6" s="2" t="inlineStr">
        <is>
          <t xml:space="preserve">A</t>
        </is>
      </c>
      <c r="D6" s="2" t="inlineStr">
        <is>
          <t xml:space="preserve">BE-A15</t>
        </is>
      </c>
      <c r="E6" s="2" t="inlineStr">
        <is>
          <t xml:space="preserve">Hàng ngày (đề xuất)</t>
        </is>
      </c>
      <c r="F6" s="2" t="inlineStr">
        <is>
          <t xml:space="preserve">Thu hồi/xóa theo chính sách D01/D05, không xóa tệp proof/hợp đồng đang được giữ.</t>
        </is>
      </c>
      <c r="G6" s="2" t="inlineStr">
        <is>
          <t xml:space="preserve">Kiểm tra tham chiếu trước khi xóa object; không log OTP.</t>
        </is>
      </c>
      <c r="H6" s="2" t="str">
        <f>INDEX(BE_Tasks!$P$2:$P$53,MATCH("BE-A15",BE_Tasks!$A$2:$A$53,0))</f>
        <v>Chưa làm</v>
      </c>
    </row>
    <row r="7" ht="72" customHeight="1">
      <c r="A7" s="0" t="inlineStr">
        <is>
          <t xml:space="preserve">JOB06</t>
        </is>
      </c>
      <c r="B7" s="0" t="inlineStr">
        <is>
          <t xml:space="preserve">Phát sự kiện sau commit</t>
        </is>
      </c>
      <c r="C7" s="0" t="inlineStr">
        <is>
          <t xml:space="preserve">A</t>
        </is>
      </c>
      <c r="D7" s="0" t="inlineStr">
        <is>
          <t xml:space="preserve">BE-A14</t>
        </is>
      </c>
      <c r="E7" s="0" t="inlineStr">
        <is>
          <t xml:space="preserve">Liên tục (đề xuất)</t>
        </is>
      </c>
      <c r="F7" s="0" t="inlineStr">
        <is>
          <t xml:space="preserve">Delivery theo eventId/recipient, retry/backoff/dedupe; chỉ phát dữ liệu tối thiểu.</t>
        </is>
      </c>
      <c r="G7" s="0" t="inlineStr">
        <is>
          <t xml:space="preserve">Giữ nghiệp vụ đúng nếu kênh SSE mất kết nối; client fetch lại.</t>
        </is>
      </c>
      <c r="H7" s="0" t="str">
        <f>INDEX(BE_Tasks!$P$2:$P$53,MATCH("BE-A14",BE_Tasks!$A$2:$A$53,0))</f>
        <v>Chưa làm</v>
      </c>
    </row>
    <row r="8" ht="72" customHeight="1">
      <c r="A8" s="2" t="inlineStr">
        <is>
          <t xml:space="preserve">OPS01</t>
        </is>
      </c>
      <c r="B8" s="2" t="inlineStr">
        <is>
          <t xml:space="preserve">Triển khai schema/migration</t>
        </is>
      </c>
      <c r="C8" s="2" t="inlineStr">
        <is>
          <t xml:space="preserve">A</t>
        </is>
      </c>
      <c r="D8" s="2" t="inlineStr">
        <is>
          <t xml:space="preserve">BE-A17</t>
        </is>
      </c>
      <c r="E8" s="2" t="inlineStr">
        <is>
          <t xml:space="preserve">Một lần theo phiên bản</t>
        </is>
      </c>
      <c r="F8" s="2" t="inlineStr">
        <is>
          <t xml:space="preserve">Tạo mới HOẶC nâng cấp theo thứ tự README; dừng khi preflight lỗi; không có HTTP endpoint chạy SQL.</t>
        </is>
      </c>
      <c r="G8" s="2" t="inlineStr">
        <is>
          <t xml:space="preserve">Sao lưu + dry run trên DB tạm; không dùng --force.</t>
        </is>
      </c>
      <c r="H8" s="2" t="str">
        <f>INDEX(BE_Tasks!$P$2:$P$53,MATCH("BE-A17",BE_Tasks!$A$2:$A$53,0))</f>
        <v>Chưa làm</v>
      </c>
    </row>
    <row r="9" ht="72" customHeight="1">
      <c r="A9" s="0" t="inlineStr">
        <is>
          <t xml:space="preserve">OPS02</t>
        </is>
      </c>
      <c r="B9" s="0" t="inlineStr">
        <is>
          <t xml:space="preserve">Đối soát dữ liệu cư trú</t>
        </is>
      </c>
      <c r="C9" s="0" t="inlineStr">
        <is>
          <t xml:space="preserve">C</t>
        </is>
      </c>
      <c r="D9" s="0" t="inlineStr">
        <is>
          <t xml:space="preserve">BE-C14</t>
        </is>
      </c>
      <c r="E9" s="0" t="inlineStr">
        <is>
          <t xml:space="preserve">Khi có cảnh báo (đề xuất)</t>
        </is>
      </c>
      <c r="F9" s="0" t="inlineStr">
        <is>
          <t xml:space="preserve">ACTIVE trên contract đóng vẫn tính tải; báo cáo lỗi thay vì đoán ngày rời/nhận đại diện.</t>
        </is>
      </c>
      <c r="G9" s="0" t="inlineStr">
        <is>
          <t xml:space="preserve">Không tự mở lại hợp đồng, không xóa lịch sử.</t>
        </is>
      </c>
      <c r="H9" s="0" t="str">
        <f>INDEX(BE_Tasks!$P$2:$P$53,MATCH("BE-C14",BE_Tasks!$A$2:$A$53,0))</f>
        <v>Chưa làm</v>
      </c>
    </row>
    <row r="10" ht="72" customHeight="1">
      <c r="A10" s="2" t="inlineStr">
        <is>
          <t xml:space="preserve">OPS03</t>
        </is>
      </c>
      <c r="B10" s="2" t="inlineStr">
        <is>
          <t xml:space="preserve">Hợp đồng hết ngày kết thúc</t>
        </is>
      </c>
      <c r="C10" s="2" t="inlineStr">
        <is>
          <t xml:space="preserve">C</t>
        </is>
      </c>
      <c r="D10" s="2" t="inlineStr">
        <is>
          <t xml:space="preserve">BE-C14</t>
        </is>
      </c>
      <c r="E10" s="2" t="inlineStr">
        <is>
          <t xml:space="preserve">Cần chốt chính sách</t>
        </is>
      </c>
      <c r="F10" s="2" t="inlineStr">
        <is>
          <t xml:space="preserve">Không tự đóng hợp đồng bỏ lại cư dân ACTIVE. EXPIRED có trong schema; cần quy trình bàn giao/kết thúc/đối soát rõ.</t>
        </is>
      </c>
      <c r="G10" s="2" t="inlineStr">
        <is>
          <t xml:space="preserve">Giữ nghĩa vụ hóa đơn và người ở, không suy đoán đã rời.</t>
        </is>
      </c>
      <c r="H10" s="2" t="str">
        <f>INDEX(BE_Tasks!$P$2:$P$53,MATCH("BE-C14",BE_Tasks!$A$2:$A$53,0))</f>
        <v>Chưa làm</v>
      </c>
    </row>
  </sheetData>
  <autoFilter ref="A1:H10"/>
  <pageMargins left="0.25" right="0.25" top="0.5" bottom="0.5" header="0.2" footer="0.2"/>
  <pageSetup orientation="landscape" paperSize="9"/>
</worksheet>
</file>

<file path=xl/worksheets/sheet10.xml><?xml version="1.0" encoding="utf-8"?>
<worksheet xmlns="http://schemas.openxmlformats.org/spreadsheetml/2006/main" xmlns:r="http://schemas.openxmlformats.org/officeDocument/2006/relationships">
  <dimension ref="A1:G17"/>
  <sheetViews>
    <sheetView workbookViewId="0">
      <pane xSplit="0" ySplit="1" topLeftCell="A2" activePane="bottomRight" state="frozen"/>
    </sheetView>
  </sheetViews>
  <sheetFormatPr defaultRowHeight="20"/>
  <cols>
    <col min="1" max="1" width="24" customWidth="1"/>
    <col min="2" max="2" width="50" customWidth="1"/>
    <col min="3" max="3" width="50" customWidth="1"/>
    <col min="4" max="4" width="24" customWidth="1"/>
    <col min="5" max="5" width="125" customWidth="1"/>
    <col min="6" max="6" width="24" customWidth="1"/>
    <col min="7" max="7" width="70" customWidth="1"/>
  </cols>
  <sheetData>
    <row r="1" ht="38" customHeight="1">
      <c r="A1" s="1" t="inlineStr">
        <is>
          <t xml:space="preserve">ID</t>
        </is>
      </c>
      <c r="B1" s="1" t="inlineStr">
        <is>
          <t xml:space="preserve">Ca kiểm thử</t>
        </is>
      </c>
      <c r="C1" s="1" t="inlineStr">
        <is>
          <t xml:space="preserve">Task chịu trách nhiệm</t>
        </is>
      </c>
      <c r="D1" s="1" t="inlineStr">
        <is>
          <t xml:space="preserve">Owner liên quan</t>
        </is>
      </c>
      <c r="E1" s="1" t="inlineStr">
        <is>
          <t xml:space="preserve">Kịch bản</t>
        </is>
      </c>
      <c r="F1" s="1" t="inlineStr">
        <is>
          <t xml:space="preserve">Kết quả</t>
        </is>
      </c>
      <c r="G1" s="1" t="inlineStr">
        <is>
          <t xml:space="preserve">Bằng chứng / lỗi</t>
        </is>
      </c>
    </row>
    <row r="2" ht="72" customHeight="1">
      <c r="A2" s="2" t="inlineStr">
        <is>
          <t xml:space="preserve">QA01</t>
        </is>
      </c>
      <c r="B2" s="2" t="inlineStr">
        <is>
          <t xml:space="preserve">Giới hạn tin chờ</t>
        </is>
      </c>
      <c r="C2" s="2" t="inlineStr">
        <is>
          <t xml:space="preserve">BE-B06, BE-B19</t>
        </is>
      </c>
      <c r="D2" s="2" t="inlineStr">
        <is>
          <t xml:space="preserve">B</t>
        </is>
      </c>
      <c r="E2" s="2" t="inlineStr">
        <is>
          <t xml:space="preserve">4 submit đồng thời cùng room: tối đa 3 PENDING; sửa một tin PENDING không chiếm slot mới.</t>
        </is>
      </c>
      <c r="F2" s="2" t="inlineStr">
        <is>
          <t xml:space="preserve">Chưa chạy</t>
        </is>
      </c>
      <c r="G2" s="2" t="inlineStr">
        <is>
          <t xml:space="preserve"/>
        </is>
      </c>
    </row>
    <row r="3" ht="72" customHeight="1">
      <c r="A3" s="0" t="inlineStr">
        <is>
          <t xml:space="preserve">QA02</t>
        </is>
      </c>
      <c r="B3" s="0" t="inlineStr">
        <is>
          <t xml:space="preserve">Tranh cùng khoảng giờ</t>
        </is>
      </c>
      <c r="C3" s="0" t="inlineStr">
        <is>
          <t xml:space="preserve">BE-B08, BE-B09, BE-B19</t>
        </is>
      </c>
      <c r="D3" s="0" t="inlineStr">
        <is>
          <t xml:space="preserve">B</t>
        </is>
      </c>
      <c r="E3" s="0" t="inlineStr">
        <is>
          <t xml:space="preserve">2 accept/propose khác nhau cùng khoảng giờ: chỉ một SCHEDULED; hai lịch liền kề được phép.</t>
        </is>
      </c>
      <c r="F3" s="0" t="inlineStr">
        <is>
          <t xml:space="preserve">Chưa chạy</t>
        </is>
      </c>
      <c r="G3" s="0" t="inlineStr">
        <is>
          <t xml:space="preserve"/>
        </is>
      </c>
    </row>
    <row r="4" ht="72" customHeight="1">
      <c r="A4" s="2" t="inlineStr">
        <is>
          <t xml:space="preserve">QA03</t>
        </is>
      </c>
      <c r="B4" s="2" t="inlineStr">
        <is>
          <t xml:space="preserve">Tranh giữ phòng</t>
        </is>
      </c>
      <c r="C4" s="2" t="inlineStr">
        <is>
          <t xml:space="preserve">BE-B10, BE-C05, BE-C15</t>
        </is>
      </c>
      <c r="D4" s="2" t="inlineStr">
        <is>
          <t xml:space="preserve">B, C</t>
        </is>
      </c>
      <c r="E4" s="2" t="inlineStr">
        <is>
          <t xml:space="preserve">2 lịch COMPLETED+AGREED cùng room tạo hợp đồng: chỉ một open contract; rollback mọi side effect bên thua.</t>
        </is>
      </c>
      <c r="F4" s="2" t="inlineStr">
        <is>
          <t xml:space="preserve">Chưa chạy</t>
        </is>
      </c>
      <c r="G4" s="2" t="inlineStr">
        <is>
          <t xml:space="preserve"/>
        </is>
      </c>
    </row>
    <row r="5" ht="72" customHeight="1">
      <c r="A5" s="0" t="inlineStr">
        <is>
          <t xml:space="preserve">QA04</t>
        </is>
      </c>
      <c r="B5" s="0" t="inlineStr">
        <is>
          <t xml:space="preserve">Đóng lịch khi giữ phòng</t>
        </is>
      </c>
      <c r="C5" s="0" t="inlineStr">
        <is>
          <t xml:space="preserve">BE-B10, BE-B19, BE-C05</t>
        </is>
      </c>
      <c r="D5" s="0" t="inlineStr">
        <is>
          <t xml:space="preserve">B, C</t>
        </is>
      </c>
      <c r="E5" s="0" t="inlineStr">
        <is>
          <t xml:space="preserve">Hủy SCHEDULED tương lai và reject pending còn hạn trên tất cả bài cùng room; giữ lịch đang diễn ra/đã kết thúc. Hủy contract không hồi lịch.</t>
        </is>
      </c>
      <c r="F5" s="0" t="inlineStr">
        <is>
          <t xml:space="preserve">Chưa chạy</t>
        </is>
      </c>
      <c r="G5" s="0" t="inlineStr">
        <is>
          <t xml:space="preserve"/>
        </is>
      </c>
    </row>
    <row r="6" ht="72" customHeight="1">
      <c r="A6" s="2" t="inlineStr">
        <is>
          <t xml:space="preserve">QA05</t>
        </is>
      </c>
      <c r="B6" s="2" t="inlineStr">
        <is>
          <t xml:space="preserve">Giới hạn người ở</t>
        </is>
      </c>
      <c r="C6" s="2" t="inlineStr">
        <is>
          <t xml:space="preserve">BE-B02, BE-C07, BE-C10, BE-C15</t>
        </is>
      </c>
      <c r="D6" s="2" t="inlineStr">
        <is>
          <t xml:space="preserve">B, C</t>
        </is>
      </c>
      <c r="E6" s="2" t="inlineStr">
        <is>
          <t xml:space="preserve">2 approve tranh chỗ cuối: chỉ một giữ được. Hold quá 48h không tính capacity/không complete dù job chưa chạy.</t>
        </is>
      </c>
      <c r="F6" s="2" t="inlineStr">
        <is>
          <t xml:space="preserve">Chưa chạy</t>
        </is>
      </c>
      <c r="G6" s="2" t="inlineStr">
        <is>
          <t xml:space="preserve"/>
        </is>
      </c>
    </row>
    <row r="7" ht="72" customHeight="1">
      <c r="A7" s="0" t="inlineStr">
        <is>
          <t xml:space="preserve">QA06</t>
        </is>
      </c>
      <c r="B7" s="0" t="inlineStr">
        <is>
          <t xml:space="preserve">Xác nhận revision cũ</t>
        </is>
      </c>
      <c r="C7" s="0" t="inlineStr">
        <is>
          <t xml:space="preserve">BE-C04, BE-C06, BE-C15</t>
        </is>
      </c>
      <c r="D7" s="0" t="inlineStr">
        <is>
          <t xml:space="preserve">C</t>
        </is>
      </c>
      <c r="E7" s="0" t="inlineStr">
        <is>
          <t xml:space="preserve">Đại diện mở revision A, chủ gửi B trước confirm: request A phải 409, không xác nhận B ngoài ý muốn (D10).</t>
        </is>
      </c>
      <c r="F7" s="0" t="inlineStr">
        <is>
          <t xml:space="preserve">Chưa chạy</t>
        </is>
      </c>
      <c r="G7" s="0" t="inlineStr">
        <is>
          <t xml:space="preserve"/>
        </is>
      </c>
    </row>
    <row r="8" ht="72" customHeight="1">
      <c r="A8" s="2" t="inlineStr">
        <is>
          <t xml:space="preserve">QA07</t>
        </is>
      </c>
      <c r="B8" s="2" t="inlineStr">
        <is>
          <t xml:space="preserve">Bàn giao đại diện</t>
        </is>
      </c>
      <c r="C8" s="2" t="inlineStr">
        <is>
          <t xml:space="preserve">BE-C11, BE-C15</t>
        </is>
      </c>
      <c r="D8" s="2" t="inlineStr">
        <is>
          <t xml:space="preserve">C</t>
        </is>
      </c>
      <c r="E8" s="2" t="inlineStr">
        <is>
          <t xml:space="preserve">Người cũ LEFT, người mới cùng hợp đồng ACTIVE, history đúng; request cũ hủy; payer/viewing/giá/ngày hợp đồng cũ giữ.</t>
        </is>
      </c>
      <c r="F8" s="2" t="inlineStr">
        <is>
          <t xml:space="preserve">Chưa chạy</t>
        </is>
      </c>
      <c r="G8" s="2" t="inlineStr">
        <is>
          <t xml:space="preserve"/>
        </is>
      </c>
    </row>
    <row r="9" ht="72" customHeight="1">
      <c r="A9" s="0" t="inlineStr">
        <is>
          <t xml:space="preserve">QA08</t>
        </is>
      </c>
      <c r="B9" s="0" t="inlineStr">
        <is>
          <t xml:space="preserve">Rollback đổi phòng</t>
        </is>
      </c>
      <c r="C9" s="0" t="inlineStr">
        <is>
          <t xml:space="preserve">BE-C12, BE-C15</t>
        </is>
      </c>
      <c r="D9" s="0" t="inlineStr">
        <is>
          <t xml:space="preserve">C</t>
        </is>
      </c>
      <c r="E9" s="0" t="inlineStr">
        <is>
          <t xml:space="preserve">Đích mất chỗ/quyền trước apply: không đóng nguồn. Thành công chuyển đủ ACTIVE+PLANNED, đích PLANNED chờ move-in.</t>
        </is>
      </c>
      <c r="F9" s="0" t="inlineStr">
        <is>
          <t xml:space="preserve">Chưa chạy</t>
        </is>
      </c>
      <c r="G9" s="0" t="inlineStr">
        <is>
          <t xml:space="preserve"/>
        </is>
      </c>
    </row>
    <row r="10" ht="72" customHeight="1">
      <c r="A10" s="2" t="inlineStr">
        <is>
          <t xml:space="preserve">QA09</t>
        </is>
      </c>
      <c r="B10" s="2" t="inlineStr">
        <is>
          <t xml:space="preserve">Mất quyền nhà</t>
        </is>
      </c>
      <c r="C10" s="2" t="inlineStr">
        <is>
          <t xml:space="preserve">BE-A12, BE-B02, BE-B05, BE-B06, BE-B07, BE-B18, BE-B19, BE-C11, BE-C12, BE-C15</t>
        </is>
      </c>
      <c r="D10" s="2" t="inlineStr">
        <is>
          <t xml:space="preserve">A, B, C</t>
        </is>
      </c>
      <c r="E10" s="2" t="inlineStr">
        <is>
          <t xml:space="preserve">Hết hạn/thu hồi/đổi định danh/khóa landlord: public ẩn ngay, thuê mới/gia hạn/đích bị chặn, rời/kết thúc cũ vẫn hoạt động.</t>
        </is>
      </c>
      <c r="F10" s="2" t="inlineStr">
        <is>
          <t xml:space="preserve">Chưa chạy</t>
        </is>
      </c>
      <c r="G10" s="2" t="inlineStr">
        <is>
          <t xml:space="preserve"/>
        </is>
      </c>
    </row>
    <row r="11" ht="72" customHeight="1">
      <c r="A11" s="0" t="inlineStr">
        <is>
          <t xml:space="preserve">QA10</t>
        </is>
      </c>
      <c r="B11" s="0" t="inlineStr">
        <is>
          <t xml:space="preserve">Hóa đơn bất biến</t>
        </is>
      </c>
      <c r="C11" s="0" t="inlineStr">
        <is>
          <t xml:space="preserve">BE-A10, BE-A13, BE-A16, BE-B03</t>
        </is>
      </c>
      <c r="D11" s="0" t="inlineStr">
        <is>
          <t xml:space="preserve">A, B</t>
        </is>
      </c>
      <c r="E11" s="0" t="inlineStr">
        <is>
          <t xml:space="preserve">Đổi giá dịch vụ/đại diện sau phát hành: invoice cũ không đổi. Kỳ trùng bị chặn; override=0 giữ 0; meter cuối&lt;đầu bị chặn.</t>
        </is>
      </c>
      <c r="F11" s="0" t="inlineStr">
        <is>
          <t xml:space="preserve">Chưa chạy</t>
        </is>
      </c>
      <c r="G11" s="0" t="inlineStr">
        <is>
          <t xml:space="preserve"/>
        </is>
      </c>
    </row>
    <row r="12" ht="72" customHeight="1">
      <c r="A12" s="2" t="inlineStr">
        <is>
          <t xml:space="preserve">QA11</t>
        </is>
      </c>
      <c r="B12" s="2" t="inlineStr">
        <is>
          <t xml:space="preserve">Phân quyền chéo tài khoản</t>
        </is>
      </c>
      <c r="C12" s="2" t="inlineStr">
        <is>
          <t xml:space="preserve">BE-A16, BE-C02</t>
        </is>
      </c>
      <c r="D12" s="2" t="inlineStr">
        <is>
          <t xml:space="preserve">A, C</t>
        </is>
      </c>
      <c r="E12" s="2" t="inlineStr">
        <is>
          <t xml:space="preserve">Thử ID nhà/contract/member/file/chat/invoice của người khác, bao gồm nested route không khớp parent; không lộ PII.</t>
        </is>
      </c>
      <c r="F12" s="2" t="inlineStr">
        <is>
          <t xml:space="preserve">Chưa chạy</t>
        </is>
      </c>
      <c r="G12" s="2" t="inlineStr">
        <is>
          <t xml:space="preserve"/>
        </is>
      </c>
    </row>
    <row r="13" ht="72" customHeight="1">
      <c r="A13" s="0" t="inlineStr">
        <is>
          <t xml:space="preserve">QA12</t>
        </is>
      </c>
      <c r="B13" s="0" t="inlineStr">
        <is>
          <t xml:space="preserve">Idempotency và mất mạng</t>
        </is>
      </c>
      <c r="C13" s="0" t="inlineStr">
        <is>
          <t xml:space="preserve">BE-A04, BE-A14, BE-A16</t>
        </is>
      </c>
      <c r="D13" s="0" t="inlineStr">
        <is>
          <t xml:space="preserve">A</t>
        </is>
      </c>
      <c r="E13" s="0" t="inlineStr">
        <is>
          <t xml:space="preserve">Retry sau commit/trả response lỗi: cùng key/payload nhận kết quả cũ; khác payload 409; không lặp member/invoice/notification.</t>
        </is>
      </c>
      <c r="F13" s="0" t="inlineStr">
        <is>
          <t xml:space="preserve">Chưa chạy</t>
        </is>
      </c>
      <c r="G13" s="0" t="inlineStr">
        <is>
          <t xml:space="preserve"/>
        </is>
      </c>
    </row>
    <row r="14" ht="72" customHeight="1">
      <c r="A14" s="2" t="inlineStr">
        <is>
          <t xml:space="preserve">QA13</t>
        </is>
      </c>
      <c r="B14" s="2" t="inlineStr">
        <is>
          <t xml:space="preserve">Thẻ bài chia sẻ bị ẩn</t>
        </is>
      </c>
      <c r="C14" s="2" t="inlineStr">
        <is>
          <t xml:space="preserve">BE-A11, BE-B07, BE-B19</t>
        </is>
      </c>
      <c r="D14" s="2" t="inlineStr">
        <is>
          <t xml:space="preserve">A, B</t>
        </is>
      </c>
      <c r="E14" s="2" t="inlineStr">
        <is>
          <t xml:space="preserve">Ẩn đúng postId đã share: sharedPost null/unavailable, không lộ ảnh/tiêu đề hoặc tự đổi sang tin khác của phòng.</t>
        </is>
      </c>
      <c r="F14" s="2" t="inlineStr">
        <is>
          <t xml:space="preserve">Chưa chạy</t>
        </is>
      </c>
      <c r="G14" s="2" t="inlineStr">
        <is>
          <t xml:space="preserve"/>
        </is>
      </c>
    </row>
    <row r="15" ht="72" customHeight="1">
      <c r="A15" s="0" t="inlineStr">
        <is>
          <t xml:space="preserve">QA14</t>
        </is>
      </c>
      <c r="B15" s="0" t="inlineStr">
        <is>
          <t xml:space="preserve">Ngày giờ Việt Nam</t>
        </is>
      </c>
      <c r="C15" s="0" t="inlineStr">
        <is>
          <t xml:space="preserve">BE-B08, BE-B09, BE-B19</t>
        </is>
      </c>
      <c r="D15" s="0" t="inlineStr">
        <is>
          <t xml:space="preserve">B</t>
        </is>
      </c>
      <c r="E15" s="0" t="inlineStr">
        <is>
          <t xml:space="preserve">Thiết bị timezone khác, lịch vẫn đúng UTC+7; kiểm thử sát 00:00, expiredAt và endDate inclusive.</t>
        </is>
      </c>
      <c r="F15" s="0" t="inlineStr">
        <is>
          <t xml:space="preserve">Chưa chạy</t>
        </is>
      </c>
      <c r="G15" s="0" t="inlineStr">
        <is>
          <t xml:space="preserve"/>
        </is>
      </c>
    </row>
    <row r="16" ht="72" customHeight="1">
      <c r="A16" s="2" t="inlineStr">
        <is>
          <t xml:space="preserve">QA15</t>
        </is>
      </c>
      <c r="B16" s="2" t="inlineStr">
        <is>
          <t xml:space="preserve">Chứng cứ tệp</t>
        </is>
      </c>
      <c r="C16" s="2" t="inlineStr">
        <is>
          <t xml:space="preserve">BE-A05, BE-A16, BE-B05, BE-B19</t>
        </is>
      </c>
      <c r="D16" s="2" t="inlineStr">
        <is>
          <t xml:space="preserve">A, B</t>
        </is>
      </c>
      <c r="E16" s="2" t="inlineStr">
        <is>
          <t xml:space="preserve">MIME giả, size vượt, file của người khác, PRIVATE đổi PUBLIC, file proof đã nộp bị xóa/đổi bytes: đều bị từ chối.</t>
        </is>
      </c>
      <c r="F16" s="2" t="inlineStr">
        <is>
          <t xml:space="preserve">Chưa chạy</t>
        </is>
      </c>
      <c r="G16" s="2" t="inlineStr">
        <is>
          <t xml:space="preserve"/>
        </is>
      </c>
    </row>
    <row r="17" ht="72" customHeight="1">
      <c r="A17" s="0" t="inlineStr">
        <is>
          <t xml:space="preserve">QA16</t>
        </is>
      </c>
      <c r="B17" s="0" t="inlineStr">
        <is>
          <t xml:space="preserve">Tài khoản nhiều vai trò/phiên</t>
        </is>
      </c>
      <c r="C17" s="0" t="inlineStr">
        <is>
          <t xml:space="preserve">BE-A03, BE-A12, BE-A16</t>
        </is>
      </c>
      <c r="D17" s="0" t="inlineStr">
        <is>
          <t xml:space="preserve">A</t>
        </is>
      </c>
      <c r="E17" s="0" t="inlineStr">
        <is>
          <t xml:space="preserve">Role demo không cấp quyền; users.role không thay bảng role; JWT phiên revoked/LOCKED bị chặn trên mọi endpoint riêng tư.</t>
        </is>
      </c>
      <c r="F17" s="0" t="inlineStr">
        <is>
          <t xml:space="preserve">Chưa chạy</t>
        </is>
      </c>
      <c r="G17" s="0" t="inlineStr">
        <is>
          <t xml:space="preserve"/>
        </is>
      </c>
    </row>
  </sheetData>
  <autoFilter ref="A1:G17"/>
  <dataValidations count="1">
    <dataValidation type="list" allowBlank="1" showErrorMessage="1" errorTitle="Giá trị không hợp lệ" error="Chọn từ danh sách." sqref="F2:F17">
      <formula1>"Chưa chạy,Pass,Fail,Bị chặn"</formula1>
    </dataValidation>
  </dataValidations>
  <pageMargins left="0.25" right="0.25" top="0.5" bottom="0.5" header="0.2" footer="0.2"/>
  <pageSetup orientation="landscape" paperSize="9"/>
</worksheet>
</file>

<file path=xl/worksheets/sheet11.xml><?xml version="1.0" encoding="utf-8"?>
<worksheet xmlns="http://schemas.openxmlformats.org/spreadsheetml/2006/main">
  <dimension ref="A1"/>
  <sheetData/>
</worksheet>
</file>

<file path=xl/worksheets/sheet12.xml><?xml version="1.0" encoding="utf-8"?>
<worksheet xmlns="http://schemas.openxmlformats.org/spreadsheetml/2006/main">
  <dimension ref="A1"/>
  <sheetData/>
</worksheet>
</file>